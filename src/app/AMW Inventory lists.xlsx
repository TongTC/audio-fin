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p\Desktop\excees2\src\app\"/>
    </mc:Choice>
  </mc:AlternateContent>
  <xr:revisionPtr revIDLastSave="0" documentId="13_ncr:1_{7BF8CE3C-7531-4678-8752-8DF2172430D8}" xr6:coauthVersionLast="47" xr6:coauthVersionMax="47" xr10:uidLastSave="{00000000-0000-0000-0000-000000000000}"/>
  <bookViews>
    <workbookView xWindow="-108" yWindow="-108" windowWidth="23256" windowHeight="12456" activeTab="1" xr2:uid="{94C5B963-8770-4D4E-8E14-E0F0DD3F7990}"/>
  </bookViews>
  <sheets>
    <sheet name="Inventory list" sheetId="2" r:id="rId1"/>
    <sheet name="Sheet2" sheetId="4" r:id="rId2"/>
    <sheet name="Sheet4" sheetId="6" r:id="rId3"/>
    <sheet name="Sheet1" sheetId="3" r:id="rId4"/>
  </sheets>
  <definedNames>
    <definedName name="_xlnm._FilterDatabase" localSheetId="0" hidden="1">'Inventory list'!$A$1:$BGY$1</definedName>
    <definedName name="_xlnm._FilterDatabase" localSheetId="3" hidden="1">Sheet1!$E$5:$I$1556</definedName>
    <definedName name="_xlnm._FilterDatabase" localSheetId="1" hidden="1">Sheet2!$A$1:$J$1552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2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T33" i="3" s="1"/>
  <c r="L34" i="3"/>
  <c r="T34" i="3" s="1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T49" i="3" s="1"/>
  <c r="L50" i="3"/>
  <c r="T50" i="3" s="1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T65" i="3" s="1"/>
  <c r="L66" i="3"/>
  <c r="T66" i="3" s="1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T81" i="3" s="1"/>
  <c r="L82" i="3"/>
  <c r="T82" i="3" s="1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T97" i="3" s="1"/>
  <c r="L98" i="3"/>
  <c r="T98" i="3" s="1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T114" i="3" s="1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T129" i="3" s="1"/>
  <c r="L130" i="3"/>
  <c r="T130" i="3" s="1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T145" i="3" s="1"/>
  <c r="L146" i="3"/>
  <c r="T146" i="3" s="1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T161" i="3" s="1"/>
  <c r="L162" i="3"/>
  <c r="T162" i="3" s="1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T177" i="3" s="1"/>
  <c r="L178" i="3"/>
  <c r="T178" i="3" s="1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T193" i="3" s="1"/>
  <c r="L194" i="3"/>
  <c r="T194" i="3" s="1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T209" i="3" s="1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T225" i="3" s="1"/>
  <c r="L226" i="3"/>
  <c r="T226" i="3" s="1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T241" i="3" s="1"/>
  <c r="L242" i="3"/>
  <c r="T242" i="3" s="1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T257" i="3" s="1"/>
  <c r="L258" i="3"/>
  <c r="T258" i="3" s="1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T273" i="3" s="1"/>
  <c r="L274" i="3"/>
  <c r="T274" i="3" s="1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T290" i="3" s="1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T306" i="3" s="1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T321" i="3" s="1"/>
  <c r="L322" i="3"/>
  <c r="T322" i="3" s="1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T337" i="3" s="1"/>
  <c r="L338" i="3"/>
  <c r="T338" i="3" s="1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T353" i="3" s="1"/>
  <c r="L354" i="3"/>
  <c r="T354" i="3" s="1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T369" i="3" s="1"/>
  <c r="L370" i="3"/>
  <c r="T370" i="3" s="1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T385" i="3" s="1"/>
  <c r="L386" i="3"/>
  <c r="T386" i="3" s="1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T401" i="3" s="1"/>
  <c r="L402" i="3"/>
  <c r="T402" i="3" s="1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T417" i="3" s="1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T433" i="3" s="1"/>
  <c r="L434" i="3"/>
  <c r="T434" i="3" s="1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T449" i="3" s="1"/>
  <c r="L450" i="3"/>
  <c r="T450" i="3" s="1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T465" i="3" s="1"/>
  <c r="L466" i="3"/>
  <c r="T466" i="3" s="1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T482" i="3" s="1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T498" i="3" s="1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T513" i="3" s="1"/>
  <c r="L514" i="3"/>
  <c r="T514" i="3" s="1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T529" i="3" s="1"/>
  <c r="L530" i="3"/>
  <c r="T530" i="3" s="1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T545" i="3" s="1"/>
  <c r="L546" i="3"/>
  <c r="T546" i="3" s="1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T561" i="3" s="1"/>
  <c r="L562" i="3"/>
  <c r="T562" i="3" s="1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T577" i="3" s="1"/>
  <c r="L578" i="3"/>
  <c r="T578" i="3" s="1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T593" i="3" s="1"/>
  <c r="L594" i="3"/>
  <c r="T594" i="3" s="1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T609" i="3" s="1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T625" i="3" s="1"/>
  <c r="L626" i="3"/>
  <c r="T626" i="3" s="1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T641" i="3" s="1"/>
  <c r="L642" i="3"/>
  <c r="T642" i="3" s="1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T657" i="3" s="1"/>
  <c r="L658" i="3"/>
  <c r="T658" i="3" s="1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T674" i="3" s="1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T689" i="3" s="1"/>
  <c r="L690" i="3"/>
  <c r="T690" i="3" s="1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T705" i="3" s="1"/>
  <c r="L706" i="3"/>
  <c r="T706" i="3" s="1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T721" i="3" s="1"/>
  <c r="L722" i="3"/>
  <c r="T722" i="3" s="1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T737" i="3" s="1"/>
  <c r="L738" i="3"/>
  <c r="T738" i="3" s="1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T753" i="3" s="1"/>
  <c r="L754" i="3"/>
  <c r="T754" i="3" s="1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T769" i="3" s="1"/>
  <c r="L770" i="3"/>
  <c r="T770" i="3" s="1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T785" i="3" s="1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T801" i="3" s="1"/>
  <c r="L802" i="3"/>
  <c r="T802" i="3" s="1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T817" i="3" s="1"/>
  <c r="L818" i="3"/>
  <c r="T818" i="3" s="1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T833" i="3" s="1"/>
  <c r="L834" i="3"/>
  <c r="T834" i="3" s="1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T849" i="3" s="1"/>
  <c r="L850" i="3"/>
  <c r="T850" i="3" s="1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T866" i="3" s="1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T881" i="3" s="1"/>
  <c r="L882" i="3"/>
  <c r="T882" i="3" s="1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T897" i="3" s="1"/>
  <c r="L898" i="3"/>
  <c r="T898" i="3" s="1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T913" i="3" s="1"/>
  <c r="L914" i="3"/>
  <c r="T914" i="3" s="1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T929" i="3" s="1"/>
  <c r="L930" i="3"/>
  <c r="T930" i="3" s="1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T945" i="3" s="1"/>
  <c r="L946" i="3"/>
  <c r="T946" i="3" s="1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T961" i="3" s="1"/>
  <c r="L962" i="3"/>
  <c r="T962" i="3" s="1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T977" i="3" s="1"/>
  <c r="L978" i="3"/>
  <c r="T978" i="3" s="1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T993" i="3" s="1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T1009" i="3" s="1"/>
  <c r="L1010" i="3"/>
  <c r="T1010" i="3" s="1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T1025" i="3" s="1"/>
  <c r="L1026" i="3"/>
  <c r="T1026" i="3" s="1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T1041" i="3" s="1"/>
  <c r="L1042" i="3"/>
  <c r="T1042" i="3" s="1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T1057" i="3" s="1"/>
  <c r="L1058" i="3"/>
  <c r="T1058" i="3" s="1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T1074" i="3" s="1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T1090" i="3" s="1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T1105" i="3" s="1"/>
  <c r="L1106" i="3"/>
  <c r="T1106" i="3" s="1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T1121" i="3" s="1"/>
  <c r="L1122" i="3"/>
  <c r="T1122" i="3" s="1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T1137" i="3" s="1"/>
  <c r="L1138" i="3"/>
  <c r="T1138" i="3" s="1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T1153" i="3" s="1"/>
  <c r="L1154" i="3"/>
  <c r="T1154" i="3" s="1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T1169" i="3" s="1"/>
  <c r="L1170" i="3"/>
  <c r="T1170" i="3" s="1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T1185" i="3" s="1"/>
  <c r="L1186" i="3"/>
  <c r="T1186" i="3" s="1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T1201" i="3" s="1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T1217" i="3" s="1"/>
  <c r="L1218" i="3"/>
  <c r="T1218" i="3" s="1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T1233" i="3" s="1"/>
  <c r="L1234" i="3"/>
  <c r="T1234" i="3" s="1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T1249" i="3" s="1"/>
  <c r="L1250" i="3"/>
  <c r="T1250" i="3" s="1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T1265" i="3" s="1"/>
  <c r="L1266" i="3"/>
  <c r="T1266" i="3" s="1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T1282" i="3" s="1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T1297" i="3" s="1"/>
  <c r="L1298" i="3"/>
  <c r="T1298" i="3" s="1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T1313" i="3" s="1"/>
  <c r="L1314" i="3"/>
  <c r="T1314" i="3" s="1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T1329" i="3" s="1"/>
  <c r="L1330" i="3"/>
  <c r="T1330" i="3" s="1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T1345" i="3" s="1"/>
  <c r="L1346" i="3"/>
  <c r="T1346" i="3" s="1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T1361" i="3" s="1"/>
  <c r="L1362" i="3"/>
  <c r="T1362" i="3" s="1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T1377" i="3" s="1"/>
  <c r="L1378" i="3"/>
  <c r="T1378" i="3" s="1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T1393" i="3" s="1"/>
  <c r="L1394" i="3"/>
  <c r="T1394" i="3" s="1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T1409" i="3" s="1"/>
  <c r="L1410" i="3"/>
  <c r="T1410" i="3" s="1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T1425" i="3" s="1"/>
  <c r="L1426" i="3"/>
  <c r="T1426" i="3" s="1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T1442" i="3" s="1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T1457" i="3" s="1"/>
  <c r="L1458" i="3"/>
  <c r="T1458" i="3" s="1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T1473" i="3" s="1"/>
  <c r="L1474" i="3"/>
  <c r="T1474" i="3" s="1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T1489" i="3" s="1"/>
  <c r="L1490" i="3"/>
  <c r="T1490" i="3" s="1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T1505" i="3" s="1"/>
  <c r="L1506" i="3"/>
  <c r="T1506" i="3" s="1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T1521" i="3" s="1"/>
  <c r="L1522" i="3"/>
  <c r="T1522" i="3" s="1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T1537" i="3" s="1"/>
  <c r="L1538" i="3"/>
  <c r="T1538" i="3" s="1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T1553" i="3" s="1"/>
  <c r="L1554" i="3"/>
  <c r="T1554" i="3" s="1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9" i="3"/>
  <c r="T99" i="3"/>
  <c r="T147" i="3"/>
  <c r="T163" i="3"/>
  <c r="T195" i="3"/>
  <c r="T210" i="3"/>
  <c r="T243" i="3"/>
  <c r="T355" i="3"/>
  <c r="T403" i="3"/>
  <c r="T418" i="3"/>
  <c r="T419" i="3"/>
  <c r="T451" i="3"/>
  <c r="T499" i="3"/>
  <c r="T579" i="3"/>
  <c r="T610" i="3"/>
  <c r="T611" i="3"/>
  <c r="T659" i="3"/>
  <c r="T675" i="3"/>
  <c r="T707" i="3"/>
  <c r="T755" i="3"/>
  <c r="T786" i="3"/>
  <c r="T835" i="3"/>
  <c r="T867" i="3"/>
  <c r="T963" i="3"/>
  <c r="T994" i="3"/>
  <c r="T1011" i="3"/>
  <c r="T1091" i="3"/>
  <c r="T1107" i="3"/>
  <c r="T1202" i="3"/>
  <c r="T1219" i="3"/>
  <c r="T1267" i="3"/>
  <c r="T1347" i="3"/>
  <c r="T1363" i="3"/>
  <c r="T1379" i="3"/>
  <c r="T1395" i="3"/>
  <c r="T1411" i="3"/>
  <c r="T1427" i="3"/>
  <c r="T1443" i="3"/>
  <c r="T1459" i="3"/>
  <c r="T1475" i="3"/>
  <c r="T1491" i="3"/>
  <c r="T1507" i="3"/>
  <c r="T1523" i="3"/>
  <c r="T1539" i="3"/>
  <c r="T1555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X12" i="3"/>
  <c r="FY12" i="3"/>
  <c r="FZ12" i="3"/>
  <c r="GA12" i="3"/>
  <c r="GB12" i="3"/>
  <c r="GC12" i="3"/>
  <c r="GD12" i="3"/>
  <c r="GE12" i="3"/>
  <c r="GF12" i="3"/>
  <c r="GG12" i="3"/>
  <c r="GH12" i="3"/>
  <c r="GI12" i="3"/>
  <c r="GJ12" i="3"/>
  <c r="GK12" i="3"/>
  <c r="GL12" i="3"/>
  <c r="GM12" i="3"/>
  <c r="GN12" i="3"/>
  <c r="GO12" i="3"/>
  <c r="GP12" i="3"/>
  <c r="GQ12" i="3"/>
  <c r="GR12" i="3"/>
  <c r="GS12" i="3"/>
  <c r="GT12" i="3"/>
  <c r="GU12" i="3"/>
  <c r="GV12" i="3"/>
  <c r="GW12" i="3"/>
  <c r="GX12" i="3"/>
  <c r="GY12" i="3"/>
  <c r="GZ12" i="3"/>
  <c r="HA12" i="3"/>
  <c r="HB12" i="3"/>
  <c r="HC12" i="3"/>
  <c r="HD12" i="3"/>
  <c r="HE12" i="3"/>
  <c r="HF12" i="3"/>
  <c r="HG12" i="3"/>
  <c r="HH12" i="3"/>
  <c r="HI12" i="3"/>
  <c r="HJ12" i="3"/>
  <c r="HK12" i="3"/>
  <c r="HL12" i="3"/>
  <c r="HM12" i="3"/>
  <c r="HN12" i="3"/>
  <c r="HO12" i="3"/>
  <c r="HP12" i="3"/>
  <c r="HQ12" i="3"/>
  <c r="HR12" i="3"/>
  <c r="HS12" i="3"/>
  <c r="HT12" i="3"/>
  <c r="HU12" i="3"/>
  <c r="HV12" i="3"/>
  <c r="HW12" i="3"/>
  <c r="HX12" i="3"/>
  <c r="HY12" i="3"/>
  <c r="HZ12" i="3"/>
  <c r="IA12" i="3"/>
  <c r="IB12" i="3"/>
  <c r="IC12" i="3"/>
  <c r="ID12" i="3"/>
  <c r="IE12" i="3"/>
  <c r="IF12" i="3"/>
  <c r="IG12" i="3"/>
  <c r="IH12" i="3"/>
  <c r="II12" i="3"/>
  <c r="IJ12" i="3"/>
  <c r="IK12" i="3"/>
  <c r="IL12" i="3"/>
  <c r="IM12" i="3"/>
  <c r="IN12" i="3"/>
  <c r="IO12" i="3"/>
  <c r="IP12" i="3"/>
  <c r="IQ12" i="3"/>
  <c r="IR12" i="3"/>
  <c r="IS12" i="3"/>
  <c r="IT12" i="3"/>
  <c r="IU12" i="3"/>
  <c r="IV12" i="3"/>
  <c r="IW12" i="3"/>
  <c r="IX12" i="3"/>
  <c r="IY12" i="3"/>
  <c r="IZ12" i="3"/>
  <c r="JA12" i="3"/>
  <c r="JB12" i="3"/>
  <c r="JC12" i="3"/>
  <c r="JD12" i="3"/>
  <c r="JE12" i="3"/>
  <c r="JF12" i="3"/>
  <c r="JG12" i="3"/>
  <c r="JH12" i="3"/>
  <c r="JI12" i="3"/>
  <c r="JJ12" i="3"/>
  <c r="JK12" i="3"/>
  <c r="JL12" i="3"/>
  <c r="JM12" i="3"/>
  <c r="JN12" i="3"/>
  <c r="JO12" i="3"/>
  <c r="JP12" i="3"/>
  <c r="JQ12" i="3"/>
  <c r="JR12" i="3"/>
  <c r="JS12" i="3"/>
  <c r="JT12" i="3"/>
  <c r="JU12" i="3"/>
  <c r="JV12" i="3"/>
  <c r="JW12" i="3"/>
  <c r="JX12" i="3"/>
  <c r="JY12" i="3"/>
  <c r="JZ12" i="3"/>
  <c r="KA12" i="3"/>
  <c r="KB12" i="3"/>
  <c r="KC12" i="3"/>
  <c r="KD12" i="3"/>
  <c r="KE12" i="3"/>
  <c r="KF12" i="3"/>
  <c r="KG12" i="3"/>
  <c r="KH12" i="3"/>
  <c r="KI12" i="3"/>
  <c r="KJ12" i="3"/>
  <c r="KK12" i="3"/>
  <c r="KL12" i="3"/>
  <c r="KM12" i="3"/>
  <c r="KN12" i="3"/>
  <c r="KO12" i="3"/>
  <c r="KP12" i="3"/>
  <c r="KQ12" i="3"/>
  <c r="KR12" i="3"/>
  <c r="KS12" i="3"/>
  <c r="KT12" i="3"/>
  <c r="KU12" i="3"/>
  <c r="KV12" i="3"/>
  <c r="KW12" i="3"/>
  <c r="KX12" i="3"/>
  <c r="KY12" i="3"/>
  <c r="KZ12" i="3"/>
  <c r="LA12" i="3"/>
  <c r="LB12" i="3"/>
  <c r="LC12" i="3"/>
  <c r="LD12" i="3"/>
  <c r="LE12" i="3"/>
  <c r="LF12" i="3"/>
  <c r="LG12" i="3"/>
  <c r="LH12" i="3"/>
  <c r="LI12" i="3"/>
  <c r="LJ12" i="3"/>
  <c r="LK12" i="3"/>
  <c r="LL12" i="3"/>
  <c r="LM12" i="3"/>
  <c r="LN12" i="3"/>
  <c r="LO12" i="3"/>
  <c r="LP12" i="3"/>
  <c r="LQ12" i="3"/>
  <c r="LR12" i="3"/>
  <c r="LS12" i="3"/>
  <c r="LT12" i="3"/>
  <c r="LU12" i="3"/>
  <c r="LV12" i="3"/>
  <c r="LW12" i="3"/>
  <c r="LX12" i="3"/>
  <c r="LY12" i="3"/>
  <c r="LZ12" i="3"/>
  <c r="MA12" i="3"/>
  <c r="MB12" i="3"/>
  <c r="MC12" i="3"/>
  <c r="MD12" i="3"/>
  <c r="ME12" i="3"/>
  <c r="MF12" i="3"/>
  <c r="MG12" i="3"/>
  <c r="MH12" i="3"/>
  <c r="MI12" i="3"/>
  <c r="MJ12" i="3"/>
  <c r="MK12" i="3"/>
  <c r="ML12" i="3"/>
  <c r="MM12" i="3"/>
  <c r="MN12" i="3"/>
  <c r="MO12" i="3"/>
  <c r="MP12" i="3"/>
  <c r="MQ12" i="3"/>
  <c r="MR12" i="3"/>
  <c r="MS12" i="3"/>
  <c r="MT12" i="3"/>
  <c r="MU12" i="3"/>
  <c r="MV12" i="3"/>
  <c r="MW12" i="3"/>
  <c r="MX12" i="3"/>
  <c r="MY12" i="3"/>
  <c r="MZ12" i="3"/>
  <c r="NA12" i="3"/>
  <c r="NB12" i="3"/>
  <c r="NC12" i="3"/>
  <c r="ND12" i="3"/>
  <c r="NE12" i="3"/>
  <c r="NF12" i="3"/>
  <c r="NG12" i="3"/>
  <c r="NH12" i="3"/>
  <c r="NI12" i="3"/>
  <c r="NJ12" i="3"/>
  <c r="NK12" i="3"/>
  <c r="NL12" i="3"/>
  <c r="NM12" i="3"/>
  <c r="NN12" i="3"/>
  <c r="NO12" i="3"/>
  <c r="NP12" i="3"/>
  <c r="NQ12" i="3"/>
  <c r="NR12" i="3"/>
  <c r="NS12" i="3"/>
  <c r="NT12" i="3"/>
  <c r="NU12" i="3"/>
  <c r="NV12" i="3"/>
  <c r="NW12" i="3"/>
  <c r="NX12" i="3"/>
  <c r="NY12" i="3"/>
  <c r="NZ12" i="3"/>
  <c r="OA12" i="3"/>
  <c r="OB12" i="3"/>
  <c r="OC12" i="3"/>
  <c r="OD12" i="3"/>
  <c r="OE12" i="3"/>
  <c r="OF12" i="3"/>
  <c r="OG12" i="3"/>
  <c r="OH12" i="3"/>
  <c r="OI12" i="3"/>
  <c r="OJ12" i="3"/>
  <c r="OK12" i="3"/>
  <c r="OL12" i="3"/>
  <c r="OM12" i="3"/>
  <c r="ON12" i="3"/>
  <c r="OO12" i="3"/>
  <c r="OP12" i="3"/>
  <c r="OQ12" i="3"/>
  <c r="OR12" i="3"/>
  <c r="OS12" i="3"/>
  <c r="OT12" i="3"/>
  <c r="OU12" i="3"/>
  <c r="OV12" i="3"/>
  <c r="OW12" i="3"/>
  <c r="OX12" i="3"/>
  <c r="OY12" i="3"/>
  <c r="OZ12" i="3"/>
  <c r="PA12" i="3"/>
  <c r="PB12" i="3"/>
  <c r="PC12" i="3"/>
  <c r="PD12" i="3"/>
  <c r="PE12" i="3"/>
  <c r="PF12" i="3"/>
  <c r="PG12" i="3"/>
  <c r="PH12" i="3"/>
  <c r="PI12" i="3"/>
  <c r="PJ12" i="3"/>
  <c r="PK12" i="3"/>
  <c r="PL12" i="3"/>
  <c r="PM12" i="3"/>
  <c r="PN12" i="3"/>
  <c r="PO12" i="3"/>
  <c r="PP12" i="3"/>
  <c r="PQ12" i="3"/>
  <c r="PR12" i="3"/>
  <c r="PS12" i="3"/>
  <c r="PT12" i="3"/>
  <c r="PU12" i="3"/>
  <c r="PV12" i="3"/>
  <c r="PW12" i="3"/>
  <c r="PX12" i="3"/>
  <c r="PY12" i="3"/>
  <c r="PZ12" i="3"/>
  <c r="QA12" i="3"/>
  <c r="QB12" i="3"/>
  <c r="QC12" i="3"/>
  <c r="QD12" i="3"/>
  <c r="QE12" i="3"/>
  <c r="QF12" i="3"/>
  <c r="QG12" i="3"/>
  <c r="QH12" i="3"/>
  <c r="QI12" i="3"/>
  <c r="QJ12" i="3"/>
  <c r="QK12" i="3"/>
  <c r="QL12" i="3"/>
  <c r="QM12" i="3"/>
  <c r="QN12" i="3"/>
  <c r="QO12" i="3"/>
  <c r="QP12" i="3"/>
  <c r="QQ12" i="3"/>
  <c r="QR12" i="3"/>
  <c r="QS12" i="3"/>
  <c r="QT12" i="3"/>
  <c r="QU12" i="3"/>
  <c r="QV12" i="3"/>
  <c r="QW12" i="3"/>
  <c r="QX12" i="3"/>
  <c r="QY12" i="3"/>
  <c r="QZ12" i="3"/>
  <c r="RA12" i="3"/>
  <c r="RB12" i="3"/>
  <c r="RC12" i="3"/>
  <c r="RD12" i="3"/>
  <c r="RE12" i="3"/>
  <c r="RF12" i="3"/>
  <c r="RG12" i="3"/>
  <c r="RH12" i="3"/>
  <c r="RI12" i="3"/>
  <c r="RJ12" i="3"/>
  <c r="RK12" i="3"/>
  <c r="RL12" i="3"/>
  <c r="RM12" i="3"/>
  <c r="RN12" i="3"/>
  <c r="RO12" i="3"/>
  <c r="RP12" i="3"/>
  <c r="RQ12" i="3"/>
  <c r="RR12" i="3"/>
  <c r="RS12" i="3"/>
  <c r="RT12" i="3"/>
  <c r="RU12" i="3"/>
  <c r="RV12" i="3"/>
  <c r="RW12" i="3"/>
  <c r="RX12" i="3"/>
  <c r="RY12" i="3"/>
  <c r="RZ12" i="3"/>
  <c r="SA12" i="3"/>
  <c r="SB12" i="3"/>
  <c r="SC12" i="3"/>
  <c r="SD12" i="3"/>
  <c r="SE12" i="3"/>
  <c r="SF12" i="3"/>
  <c r="SG12" i="3"/>
  <c r="SH12" i="3"/>
  <c r="SI12" i="3"/>
  <c r="SJ12" i="3"/>
  <c r="SK12" i="3"/>
  <c r="SL12" i="3"/>
  <c r="SM12" i="3"/>
  <c r="SN12" i="3"/>
  <c r="SO12" i="3"/>
  <c r="SP12" i="3"/>
  <c r="SQ12" i="3"/>
  <c r="SR12" i="3"/>
  <c r="SS12" i="3"/>
  <c r="ST12" i="3"/>
  <c r="SU12" i="3"/>
  <c r="SV12" i="3"/>
  <c r="SW12" i="3"/>
  <c r="SX12" i="3"/>
  <c r="SY12" i="3"/>
  <c r="SZ12" i="3"/>
  <c r="TA12" i="3"/>
  <c r="TB12" i="3"/>
  <c r="TC12" i="3"/>
  <c r="TD12" i="3"/>
  <c r="TE12" i="3"/>
  <c r="TF12" i="3"/>
  <c r="TG12" i="3"/>
  <c r="TH12" i="3"/>
  <c r="TI12" i="3"/>
  <c r="TJ12" i="3"/>
  <c r="TK12" i="3"/>
  <c r="TL12" i="3"/>
  <c r="TM12" i="3"/>
  <c r="TN12" i="3"/>
  <c r="TO12" i="3"/>
  <c r="TP12" i="3"/>
  <c r="TQ12" i="3"/>
  <c r="TR12" i="3"/>
  <c r="TS12" i="3"/>
  <c r="TT12" i="3"/>
  <c r="TU12" i="3"/>
  <c r="TV12" i="3"/>
  <c r="TW12" i="3"/>
  <c r="TX12" i="3"/>
  <c r="TY12" i="3"/>
  <c r="TZ12" i="3"/>
  <c r="UA12" i="3"/>
  <c r="UB12" i="3"/>
  <c r="UC12" i="3"/>
  <c r="UD12" i="3"/>
  <c r="UE12" i="3"/>
  <c r="UF12" i="3"/>
  <c r="UG12" i="3"/>
  <c r="UH12" i="3"/>
  <c r="UI12" i="3"/>
  <c r="UJ12" i="3"/>
  <c r="UK12" i="3"/>
  <c r="UL12" i="3"/>
  <c r="UM12" i="3"/>
  <c r="UN12" i="3"/>
  <c r="UO12" i="3"/>
  <c r="UP12" i="3"/>
  <c r="UQ12" i="3"/>
  <c r="UR12" i="3"/>
  <c r="US12" i="3"/>
  <c r="UT12" i="3"/>
  <c r="UU12" i="3"/>
  <c r="UV12" i="3"/>
  <c r="UW12" i="3"/>
  <c r="UX12" i="3"/>
  <c r="UY12" i="3"/>
  <c r="UZ12" i="3"/>
  <c r="VA12" i="3"/>
  <c r="VB12" i="3"/>
  <c r="VC12" i="3"/>
  <c r="VD12" i="3"/>
  <c r="VE12" i="3"/>
  <c r="VF12" i="3"/>
  <c r="VG12" i="3"/>
  <c r="VH12" i="3"/>
  <c r="VI12" i="3"/>
  <c r="VJ12" i="3"/>
  <c r="VK12" i="3"/>
  <c r="VL12" i="3"/>
  <c r="VM12" i="3"/>
  <c r="VN12" i="3"/>
  <c r="VO12" i="3"/>
  <c r="VP12" i="3"/>
  <c r="VQ12" i="3"/>
  <c r="VR12" i="3"/>
  <c r="VS12" i="3"/>
  <c r="VT12" i="3"/>
  <c r="VU12" i="3"/>
  <c r="VV12" i="3"/>
  <c r="VW12" i="3"/>
  <c r="VX12" i="3"/>
  <c r="VY12" i="3"/>
  <c r="VZ12" i="3"/>
  <c r="WA12" i="3"/>
  <c r="WB12" i="3"/>
  <c r="WC12" i="3"/>
  <c r="WD12" i="3"/>
  <c r="WE12" i="3"/>
  <c r="WF12" i="3"/>
  <c r="WG12" i="3"/>
  <c r="WH12" i="3"/>
  <c r="WI12" i="3"/>
  <c r="WJ12" i="3"/>
  <c r="WK12" i="3"/>
  <c r="WL12" i="3"/>
  <c r="WM12" i="3"/>
  <c r="WN12" i="3"/>
  <c r="WO12" i="3"/>
  <c r="WP12" i="3"/>
  <c r="WQ12" i="3"/>
  <c r="WR12" i="3"/>
  <c r="WS12" i="3"/>
  <c r="WT12" i="3"/>
  <c r="WU12" i="3"/>
  <c r="WV12" i="3"/>
  <c r="WW12" i="3"/>
  <c r="WX12" i="3"/>
  <c r="WY12" i="3"/>
  <c r="WZ12" i="3"/>
  <c r="XA12" i="3"/>
  <c r="XB12" i="3"/>
  <c r="XC12" i="3"/>
  <c r="XD12" i="3"/>
  <c r="XE12" i="3"/>
  <c r="XF12" i="3"/>
  <c r="XG12" i="3"/>
  <c r="XH12" i="3"/>
  <c r="XI12" i="3"/>
  <c r="XJ12" i="3"/>
  <c r="XK12" i="3"/>
  <c r="XL12" i="3"/>
  <c r="XM12" i="3"/>
  <c r="XN12" i="3"/>
  <c r="XO12" i="3"/>
  <c r="XP12" i="3"/>
  <c r="XQ12" i="3"/>
  <c r="XR12" i="3"/>
  <c r="XS12" i="3"/>
  <c r="XT12" i="3"/>
  <c r="XU12" i="3"/>
  <c r="XV12" i="3"/>
  <c r="XW12" i="3"/>
  <c r="XX12" i="3"/>
  <c r="XY12" i="3"/>
  <c r="XZ12" i="3"/>
  <c r="YA12" i="3"/>
  <c r="YB12" i="3"/>
  <c r="YC12" i="3"/>
  <c r="YD12" i="3"/>
  <c r="YE12" i="3"/>
  <c r="YF12" i="3"/>
  <c r="YG12" i="3"/>
  <c r="YH12" i="3"/>
  <c r="YI12" i="3"/>
  <c r="YJ12" i="3"/>
  <c r="YK12" i="3"/>
  <c r="YL12" i="3"/>
  <c r="YM12" i="3"/>
  <c r="YN12" i="3"/>
  <c r="YO12" i="3"/>
  <c r="YP12" i="3"/>
  <c r="YQ12" i="3"/>
  <c r="YR12" i="3"/>
  <c r="YS12" i="3"/>
  <c r="YT12" i="3"/>
  <c r="YU12" i="3"/>
  <c r="YV12" i="3"/>
  <c r="YW12" i="3"/>
  <c r="YX12" i="3"/>
  <c r="YY12" i="3"/>
  <c r="YZ12" i="3"/>
  <c r="ZA12" i="3"/>
  <c r="ZB12" i="3"/>
  <c r="ZC12" i="3"/>
  <c r="ZD12" i="3"/>
  <c r="ZE12" i="3"/>
  <c r="ZF12" i="3"/>
  <c r="ZG12" i="3"/>
  <c r="ZH12" i="3"/>
  <c r="ZI12" i="3"/>
  <c r="ZJ12" i="3"/>
  <c r="ZK12" i="3"/>
  <c r="ZL12" i="3"/>
  <c r="ZM12" i="3"/>
  <c r="ZN12" i="3"/>
  <c r="ZO12" i="3"/>
  <c r="ZP12" i="3"/>
  <c r="ZQ12" i="3"/>
  <c r="ZR12" i="3"/>
  <c r="ZS12" i="3"/>
  <c r="ZT12" i="3"/>
  <c r="ZU12" i="3"/>
  <c r="ZV12" i="3"/>
  <c r="ZW12" i="3"/>
  <c r="ZX12" i="3"/>
  <c r="ZY12" i="3"/>
  <c r="ZZ12" i="3"/>
  <c r="AAA12" i="3"/>
  <c r="AAB12" i="3"/>
  <c r="AAC12" i="3"/>
  <c r="AAD12" i="3"/>
  <c r="AAE12" i="3"/>
  <c r="AAF12" i="3"/>
  <c r="AAG12" i="3"/>
  <c r="AAH12" i="3"/>
  <c r="AAI12" i="3"/>
  <c r="AAJ12" i="3"/>
  <c r="AAK12" i="3"/>
  <c r="AAL12" i="3"/>
  <c r="AAM12" i="3"/>
  <c r="AAN12" i="3"/>
  <c r="AAO12" i="3"/>
  <c r="AAP12" i="3"/>
  <c r="AAQ12" i="3"/>
  <c r="AAR12" i="3"/>
  <c r="AAS12" i="3"/>
  <c r="AAT12" i="3"/>
  <c r="AAU12" i="3"/>
  <c r="AAV12" i="3"/>
  <c r="AAW12" i="3"/>
  <c r="AAX12" i="3"/>
  <c r="AAY12" i="3"/>
  <c r="AAZ12" i="3"/>
  <c r="ABA12" i="3"/>
  <c r="ABB12" i="3"/>
  <c r="ABC12" i="3"/>
  <c r="ABD12" i="3"/>
  <c r="ABE12" i="3"/>
  <c r="ABF12" i="3"/>
  <c r="ABG12" i="3"/>
  <c r="ABH12" i="3"/>
  <c r="ABI12" i="3"/>
  <c r="ABJ12" i="3"/>
  <c r="ABK12" i="3"/>
  <c r="ABL12" i="3"/>
  <c r="ABM12" i="3"/>
  <c r="ABN12" i="3"/>
  <c r="ABO12" i="3"/>
  <c r="ABP12" i="3"/>
  <c r="ABQ12" i="3"/>
  <c r="ABR12" i="3"/>
  <c r="ABS12" i="3"/>
  <c r="ABT12" i="3"/>
  <c r="ABU12" i="3"/>
  <c r="ABV12" i="3"/>
  <c r="ABW12" i="3"/>
  <c r="ABX12" i="3"/>
  <c r="ABY12" i="3"/>
  <c r="ABZ12" i="3"/>
  <c r="ACA12" i="3"/>
  <c r="ACB12" i="3"/>
  <c r="ACC12" i="3"/>
  <c r="ACD12" i="3"/>
  <c r="ACE12" i="3"/>
  <c r="ACF12" i="3"/>
  <c r="ACG12" i="3"/>
  <c r="ACH12" i="3"/>
  <c r="ACI12" i="3"/>
  <c r="ACJ12" i="3"/>
  <c r="ACK12" i="3"/>
  <c r="ACL12" i="3"/>
  <c r="ACM12" i="3"/>
  <c r="ACN12" i="3"/>
  <c r="ACO12" i="3"/>
  <c r="ACP12" i="3"/>
  <c r="ACQ12" i="3"/>
  <c r="ACR12" i="3"/>
  <c r="ACS12" i="3"/>
  <c r="ACT12" i="3"/>
  <c r="ACU12" i="3"/>
  <c r="ACV12" i="3"/>
  <c r="ACW12" i="3"/>
  <c r="ACX12" i="3"/>
  <c r="ACY12" i="3"/>
  <c r="ACZ12" i="3"/>
  <c r="ADA12" i="3"/>
  <c r="ADB12" i="3"/>
  <c r="ADC12" i="3"/>
  <c r="ADD12" i="3"/>
  <c r="ADE12" i="3"/>
  <c r="ADF12" i="3"/>
  <c r="ADG12" i="3"/>
  <c r="ADH12" i="3"/>
  <c r="ADI12" i="3"/>
  <c r="ADJ12" i="3"/>
  <c r="ADK12" i="3"/>
  <c r="ADL12" i="3"/>
  <c r="ADM12" i="3"/>
  <c r="ADN12" i="3"/>
  <c r="ADO12" i="3"/>
  <c r="ADP12" i="3"/>
  <c r="ADQ12" i="3"/>
  <c r="ADR12" i="3"/>
  <c r="ADS12" i="3"/>
  <c r="ADT12" i="3"/>
  <c r="ADU12" i="3"/>
  <c r="ADV12" i="3"/>
  <c r="ADW12" i="3"/>
  <c r="ADX12" i="3"/>
  <c r="ADY12" i="3"/>
  <c r="ADZ12" i="3"/>
  <c r="AEA12" i="3"/>
  <c r="AEB12" i="3"/>
  <c r="AEC12" i="3"/>
  <c r="AED12" i="3"/>
  <c r="AEE12" i="3"/>
  <c r="AEF12" i="3"/>
  <c r="AEG12" i="3"/>
  <c r="AEH12" i="3"/>
  <c r="AEI12" i="3"/>
  <c r="AEJ12" i="3"/>
  <c r="AEK12" i="3"/>
  <c r="AEL12" i="3"/>
  <c r="AEM12" i="3"/>
  <c r="AEN12" i="3"/>
  <c r="AEO12" i="3"/>
  <c r="AEP12" i="3"/>
  <c r="AEQ12" i="3"/>
  <c r="AER12" i="3"/>
  <c r="AES12" i="3"/>
  <c r="AET12" i="3"/>
  <c r="AEU12" i="3"/>
  <c r="AEV12" i="3"/>
  <c r="AEW12" i="3"/>
  <c r="AEX12" i="3"/>
  <c r="AEY12" i="3"/>
  <c r="AEZ12" i="3"/>
  <c r="AFA12" i="3"/>
  <c r="AFB12" i="3"/>
  <c r="AFC12" i="3"/>
  <c r="AFD12" i="3"/>
  <c r="AFE12" i="3"/>
  <c r="AFF12" i="3"/>
  <c r="AFG12" i="3"/>
  <c r="AFH12" i="3"/>
  <c r="AFI12" i="3"/>
  <c r="AFJ12" i="3"/>
  <c r="AFK12" i="3"/>
  <c r="AFL12" i="3"/>
  <c r="AFM12" i="3"/>
  <c r="AFN12" i="3"/>
  <c r="AFO12" i="3"/>
  <c r="AFP12" i="3"/>
  <c r="AFQ12" i="3"/>
  <c r="AFR12" i="3"/>
  <c r="AFS12" i="3"/>
  <c r="AFT12" i="3"/>
  <c r="AFU12" i="3"/>
  <c r="AFV12" i="3"/>
  <c r="AFW12" i="3"/>
  <c r="AFX12" i="3"/>
  <c r="AFY12" i="3"/>
  <c r="AFZ12" i="3"/>
  <c r="AGA12" i="3"/>
  <c r="AGB12" i="3"/>
  <c r="AGC12" i="3"/>
  <c r="AGD12" i="3"/>
  <c r="AGE12" i="3"/>
  <c r="AGF12" i="3"/>
  <c r="AGG12" i="3"/>
  <c r="AGH12" i="3"/>
  <c r="AGI12" i="3"/>
  <c r="AGJ12" i="3"/>
  <c r="AGK12" i="3"/>
  <c r="AGL12" i="3"/>
  <c r="AGM12" i="3"/>
  <c r="AGN12" i="3"/>
  <c r="AGO12" i="3"/>
  <c r="AGP12" i="3"/>
  <c r="AGQ12" i="3"/>
  <c r="AGR12" i="3"/>
  <c r="AGS12" i="3"/>
  <c r="AGT12" i="3"/>
  <c r="AGU12" i="3"/>
  <c r="AGV12" i="3"/>
  <c r="AGW12" i="3"/>
  <c r="AGX12" i="3"/>
  <c r="AGY12" i="3"/>
  <c r="AGZ12" i="3"/>
  <c r="AHA12" i="3"/>
  <c r="AHB12" i="3"/>
  <c r="AHC12" i="3"/>
  <c r="AHD12" i="3"/>
  <c r="AHE12" i="3"/>
  <c r="AHF12" i="3"/>
  <c r="AHG12" i="3"/>
  <c r="AHH12" i="3"/>
  <c r="AHI12" i="3"/>
  <c r="AHJ12" i="3"/>
  <c r="AHK12" i="3"/>
  <c r="AHL12" i="3"/>
  <c r="AHM12" i="3"/>
  <c r="AHN12" i="3"/>
  <c r="AHO12" i="3"/>
  <c r="AHP12" i="3"/>
  <c r="AHQ12" i="3"/>
  <c r="AHR12" i="3"/>
  <c r="AHS12" i="3"/>
  <c r="AHT12" i="3"/>
  <c r="AHU12" i="3"/>
  <c r="AHV12" i="3"/>
  <c r="AHW12" i="3"/>
  <c r="AHX12" i="3"/>
  <c r="AHY12" i="3"/>
  <c r="AHZ12" i="3"/>
  <c r="AIA12" i="3"/>
  <c r="AIB12" i="3"/>
  <c r="AIC12" i="3"/>
  <c r="AID12" i="3"/>
  <c r="AIE12" i="3"/>
  <c r="AIF12" i="3"/>
  <c r="AIG12" i="3"/>
  <c r="AIH12" i="3"/>
  <c r="AII12" i="3"/>
  <c r="AIJ12" i="3"/>
  <c r="AIK12" i="3"/>
  <c r="AIL12" i="3"/>
  <c r="AIM12" i="3"/>
  <c r="AIN12" i="3"/>
  <c r="AIO12" i="3"/>
  <c r="AIP12" i="3"/>
  <c r="AIQ12" i="3"/>
  <c r="AIR12" i="3"/>
  <c r="AIS12" i="3"/>
  <c r="AIT12" i="3"/>
  <c r="AIU12" i="3"/>
  <c r="AIV12" i="3"/>
  <c r="AIW12" i="3"/>
  <c r="AIX12" i="3"/>
  <c r="AIY12" i="3"/>
  <c r="AIZ12" i="3"/>
  <c r="AJA12" i="3"/>
  <c r="AJB12" i="3"/>
  <c r="AJC12" i="3"/>
  <c r="AJD12" i="3"/>
  <c r="AJE12" i="3"/>
  <c r="AJF12" i="3"/>
  <c r="AJG12" i="3"/>
  <c r="AJH12" i="3"/>
  <c r="AJI12" i="3"/>
  <c r="AJJ12" i="3"/>
  <c r="AJK12" i="3"/>
  <c r="AJL12" i="3"/>
  <c r="AJM12" i="3"/>
  <c r="AJN12" i="3"/>
  <c r="AJO12" i="3"/>
  <c r="AJP12" i="3"/>
  <c r="AJQ12" i="3"/>
  <c r="AJR12" i="3"/>
  <c r="AJS12" i="3"/>
  <c r="AJT12" i="3"/>
  <c r="AJU12" i="3"/>
  <c r="AJV12" i="3"/>
  <c r="AJW12" i="3"/>
  <c r="AJX12" i="3"/>
  <c r="AJY12" i="3"/>
  <c r="AJZ12" i="3"/>
  <c r="AKA12" i="3"/>
  <c r="AKB12" i="3"/>
  <c r="AKC12" i="3"/>
  <c r="AKD12" i="3"/>
  <c r="AKE12" i="3"/>
  <c r="AKF12" i="3"/>
  <c r="AKG12" i="3"/>
  <c r="AKH12" i="3"/>
  <c r="AKI12" i="3"/>
  <c r="AKJ12" i="3"/>
  <c r="AKK12" i="3"/>
  <c r="AKL12" i="3"/>
  <c r="AKM12" i="3"/>
  <c r="AKN12" i="3"/>
  <c r="AKO12" i="3"/>
  <c r="AKP12" i="3"/>
  <c r="AKQ12" i="3"/>
  <c r="AKR12" i="3"/>
  <c r="AKS12" i="3"/>
  <c r="AKT12" i="3"/>
  <c r="AKU12" i="3"/>
  <c r="AKV12" i="3"/>
  <c r="AKW12" i="3"/>
  <c r="AKX12" i="3"/>
  <c r="AKY12" i="3"/>
  <c r="AKZ12" i="3"/>
  <c r="ALA12" i="3"/>
  <c r="ALB12" i="3"/>
  <c r="ALC12" i="3"/>
  <c r="ALD12" i="3"/>
  <c r="ALE12" i="3"/>
  <c r="ALF12" i="3"/>
  <c r="ALG12" i="3"/>
  <c r="ALH12" i="3"/>
  <c r="ALI12" i="3"/>
  <c r="ALJ12" i="3"/>
  <c r="ALK12" i="3"/>
  <c r="ALL12" i="3"/>
  <c r="ALM12" i="3"/>
  <c r="ALN12" i="3"/>
  <c r="ALO12" i="3"/>
  <c r="ALP12" i="3"/>
  <c r="ALQ12" i="3"/>
  <c r="ALR12" i="3"/>
  <c r="ALS12" i="3"/>
  <c r="ALT12" i="3"/>
  <c r="ALU12" i="3"/>
  <c r="ALV12" i="3"/>
  <c r="ALW12" i="3"/>
  <c r="ALX12" i="3"/>
  <c r="ALY12" i="3"/>
  <c r="ALZ12" i="3"/>
  <c r="AMA12" i="3"/>
  <c r="AMB12" i="3"/>
  <c r="AMC12" i="3"/>
  <c r="AMD12" i="3"/>
  <c r="AME12" i="3"/>
  <c r="AMF12" i="3"/>
  <c r="AMG12" i="3"/>
  <c r="AMH12" i="3"/>
  <c r="AMI12" i="3"/>
  <c r="AMJ12" i="3"/>
  <c r="AMK12" i="3"/>
  <c r="AML12" i="3"/>
  <c r="AMM12" i="3"/>
  <c r="AMN12" i="3"/>
  <c r="AMO12" i="3"/>
  <c r="AMP12" i="3"/>
  <c r="AMQ12" i="3"/>
  <c r="AMR12" i="3"/>
  <c r="AMS12" i="3"/>
  <c r="AMT12" i="3"/>
  <c r="AMU12" i="3"/>
  <c r="AMV12" i="3"/>
  <c r="AMW12" i="3"/>
  <c r="AMX12" i="3"/>
  <c r="AMY12" i="3"/>
  <c r="AMZ12" i="3"/>
  <c r="ANA12" i="3"/>
  <c r="ANB12" i="3"/>
  <c r="ANC12" i="3"/>
  <c r="AND12" i="3"/>
  <c r="ANE12" i="3"/>
  <c r="ANF12" i="3"/>
  <c r="ANG12" i="3"/>
  <c r="ANH12" i="3"/>
  <c r="ANI12" i="3"/>
  <c r="ANJ12" i="3"/>
  <c r="ANK12" i="3"/>
  <c r="ANL12" i="3"/>
  <c r="ANM12" i="3"/>
  <c r="ANN12" i="3"/>
  <c r="ANO12" i="3"/>
  <c r="ANP12" i="3"/>
  <c r="ANQ12" i="3"/>
  <c r="ANR12" i="3"/>
  <c r="ANS12" i="3"/>
  <c r="ANT12" i="3"/>
  <c r="ANU12" i="3"/>
  <c r="ANV12" i="3"/>
  <c r="ANW12" i="3"/>
  <c r="ANX12" i="3"/>
  <c r="ANY12" i="3"/>
  <c r="ANZ12" i="3"/>
  <c r="AOA12" i="3"/>
  <c r="AOB12" i="3"/>
  <c r="AOC12" i="3"/>
  <c r="AOD12" i="3"/>
  <c r="AOE12" i="3"/>
  <c r="AOF12" i="3"/>
  <c r="AOG12" i="3"/>
  <c r="AOH12" i="3"/>
  <c r="AOI12" i="3"/>
  <c r="AOJ12" i="3"/>
  <c r="AOK12" i="3"/>
  <c r="AOL12" i="3"/>
  <c r="AOM12" i="3"/>
  <c r="AON12" i="3"/>
  <c r="AOO12" i="3"/>
  <c r="AOP12" i="3"/>
  <c r="AOQ12" i="3"/>
  <c r="AOR12" i="3"/>
  <c r="AOS12" i="3"/>
  <c r="AOT12" i="3"/>
  <c r="AOU12" i="3"/>
  <c r="AOV12" i="3"/>
  <c r="AOW12" i="3"/>
  <c r="AOX12" i="3"/>
  <c r="AOY12" i="3"/>
  <c r="AOZ12" i="3"/>
  <c r="APA12" i="3"/>
  <c r="APB12" i="3"/>
  <c r="APC12" i="3"/>
  <c r="APD12" i="3"/>
  <c r="APE12" i="3"/>
  <c r="APF12" i="3"/>
  <c r="APG12" i="3"/>
  <c r="APH12" i="3"/>
  <c r="API12" i="3"/>
  <c r="APJ12" i="3"/>
  <c r="APK12" i="3"/>
  <c r="APL12" i="3"/>
  <c r="APM12" i="3"/>
  <c r="APN12" i="3"/>
  <c r="APO12" i="3"/>
  <c r="APP12" i="3"/>
  <c r="APQ12" i="3"/>
  <c r="APR12" i="3"/>
  <c r="APS12" i="3"/>
  <c r="APT12" i="3"/>
  <c r="APU12" i="3"/>
  <c r="APV12" i="3"/>
  <c r="APW12" i="3"/>
  <c r="APX12" i="3"/>
  <c r="APY12" i="3"/>
  <c r="APZ12" i="3"/>
  <c r="AQA12" i="3"/>
  <c r="AQB12" i="3"/>
  <c r="AQC12" i="3"/>
  <c r="AQD12" i="3"/>
  <c r="AQE12" i="3"/>
  <c r="AQF12" i="3"/>
  <c r="AQG12" i="3"/>
  <c r="AQH12" i="3"/>
  <c r="AQI12" i="3"/>
  <c r="AQJ12" i="3"/>
  <c r="AQK12" i="3"/>
  <c r="AQL12" i="3"/>
  <c r="AQM12" i="3"/>
  <c r="AQN12" i="3"/>
  <c r="AQO12" i="3"/>
  <c r="AQP12" i="3"/>
  <c r="AQQ12" i="3"/>
  <c r="AQR12" i="3"/>
  <c r="AQS12" i="3"/>
  <c r="AQT12" i="3"/>
  <c r="AQU12" i="3"/>
  <c r="AQV12" i="3"/>
  <c r="AQW12" i="3"/>
  <c r="AQX12" i="3"/>
  <c r="AQY12" i="3"/>
  <c r="AQZ12" i="3"/>
  <c r="ARA12" i="3"/>
  <c r="ARB12" i="3"/>
  <c r="ARC12" i="3"/>
  <c r="ARD12" i="3"/>
  <c r="ARE12" i="3"/>
  <c r="ARF12" i="3"/>
  <c r="ARG12" i="3"/>
  <c r="ARH12" i="3"/>
  <c r="ARI12" i="3"/>
  <c r="ARJ12" i="3"/>
  <c r="ARK12" i="3"/>
  <c r="ARL12" i="3"/>
  <c r="ARM12" i="3"/>
  <c r="ARN12" i="3"/>
  <c r="ARO12" i="3"/>
  <c r="ARP12" i="3"/>
  <c r="ARQ12" i="3"/>
  <c r="ARR12" i="3"/>
  <c r="ARS12" i="3"/>
  <c r="ART12" i="3"/>
  <c r="ARU12" i="3"/>
  <c r="ARV12" i="3"/>
  <c r="ARW12" i="3"/>
  <c r="ARX12" i="3"/>
  <c r="ARY12" i="3"/>
  <c r="ARZ12" i="3"/>
  <c r="ASA12" i="3"/>
  <c r="ASB12" i="3"/>
  <c r="ASC12" i="3"/>
  <c r="ASD12" i="3"/>
  <c r="ASE12" i="3"/>
  <c r="ASF12" i="3"/>
  <c r="ASG12" i="3"/>
  <c r="ASH12" i="3"/>
  <c r="ASI12" i="3"/>
  <c r="ASJ12" i="3"/>
  <c r="ASK12" i="3"/>
  <c r="ASL12" i="3"/>
  <c r="ASM12" i="3"/>
  <c r="ASN12" i="3"/>
  <c r="ASO12" i="3"/>
  <c r="ASP12" i="3"/>
  <c r="ASQ12" i="3"/>
  <c r="ASR12" i="3"/>
  <c r="ASS12" i="3"/>
  <c r="AST12" i="3"/>
  <c r="ASU12" i="3"/>
  <c r="ASV12" i="3"/>
  <c r="ASW12" i="3"/>
  <c r="ASX12" i="3"/>
  <c r="ASY12" i="3"/>
  <c r="ASZ12" i="3"/>
  <c r="ATA12" i="3"/>
  <c r="ATB12" i="3"/>
  <c r="ATC12" i="3"/>
  <c r="ATD12" i="3"/>
  <c r="ATE12" i="3"/>
  <c r="ATF12" i="3"/>
  <c r="ATG12" i="3"/>
  <c r="ATH12" i="3"/>
  <c r="ATI12" i="3"/>
  <c r="ATJ12" i="3"/>
  <c r="ATK12" i="3"/>
  <c r="ATL12" i="3"/>
  <c r="ATM12" i="3"/>
  <c r="ATN12" i="3"/>
  <c r="ATO12" i="3"/>
  <c r="ATP12" i="3"/>
  <c r="ATQ12" i="3"/>
  <c r="ATR12" i="3"/>
  <c r="ATS12" i="3"/>
  <c r="ATT12" i="3"/>
  <c r="ATU12" i="3"/>
  <c r="ATV12" i="3"/>
  <c r="ATW12" i="3"/>
  <c r="ATX12" i="3"/>
  <c r="ATY12" i="3"/>
  <c r="ATZ12" i="3"/>
  <c r="AUA12" i="3"/>
  <c r="AUB12" i="3"/>
  <c r="AUC12" i="3"/>
  <c r="AUD12" i="3"/>
  <c r="AUE12" i="3"/>
  <c r="AUF12" i="3"/>
  <c r="AUG12" i="3"/>
  <c r="AUH12" i="3"/>
  <c r="AUI12" i="3"/>
  <c r="AUJ12" i="3"/>
  <c r="AUK12" i="3"/>
  <c r="AUL12" i="3"/>
  <c r="AUM12" i="3"/>
  <c r="AUN12" i="3"/>
  <c r="AUO12" i="3"/>
  <c r="AUP12" i="3"/>
  <c r="AUQ12" i="3"/>
  <c r="AUR12" i="3"/>
  <c r="AUS12" i="3"/>
  <c r="AUT12" i="3"/>
  <c r="AUU12" i="3"/>
  <c r="AUV12" i="3"/>
  <c r="AUW12" i="3"/>
  <c r="AUX12" i="3"/>
  <c r="AUY12" i="3"/>
  <c r="AUZ12" i="3"/>
  <c r="AVA12" i="3"/>
  <c r="AVB12" i="3"/>
  <c r="AVC12" i="3"/>
  <c r="AVD12" i="3"/>
  <c r="AVE12" i="3"/>
  <c r="AVF12" i="3"/>
  <c r="AVG12" i="3"/>
  <c r="AVH12" i="3"/>
  <c r="AVI12" i="3"/>
  <c r="AVJ12" i="3"/>
  <c r="AVK12" i="3"/>
  <c r="AVL12" i="3"/>
  <c r="AVM12" i="3"/>
  <c r="AVN12" i="3"/>
  <c r="AVO12" i="3"/>
  <c r="AVP12" i="3"/>
  <c r="AVQ12" i="3"/>
  <c r="AVR12" i="3"/>
  <c r="AVS12" i="3"/>
  <c r="AVT12" i="3"/>
  <c r="AVU12" i="3"/>
  <c r="AVV12" i="3"/>
  <c r="AVW12" i="3"/>
  <c r="AVX12" i="3"/>
  <c r="AVY12" i="3"/>
  <c r="AVZ12" i="3"/>
  <c r="AWA12" i="3"/>
  <c r="AWB12" i="3"/>
  <c r="AWC12" i="3"/>
  <c r="AWD12" i="3"/>
  <c r="AWE12" i="3"/>
  <c r="AWF12" i="3"/>
  <c r="AWG12" i="3"/>
  <c r="AWH12" i="3"/>
  <c r="AWI12" i="3"/>
  <c r="AWJ12" i="3"/>
  <c r="AWK12" i="3"/>
  <c r="AWL12" i="3"/>
  <c r="AWM12" i="3"/>
  <c r="AWN12" i="3"/>
  <c r="AWO12" i="3"/>
  <c r="AWP12" i="3"/>
  <c r="AWQ12" i="3"/>
  <c r="AWR12" i="3"/>
  <c r="AWS12" i="3"/>
  <c r="AWT12" i="3"/>
  <c r="AWU12" i="3"/>
  <c r="AWV12" i="3"/>
  <c r="AWW12" i="3"/>
  <c r="AWX12" i="3"/>
  <c r="AWY12" i="3"/>
  <c r="AWZ12" i="3"/>
  <c r="AXA12" i="3"/>
  <c r="AXB12" i="3"/>
  <c r="AXC12" i="3"/>
  <c r="AXD12" i="3"/>
  <c r="AXE12" i="3"/>
  <c r="AXF12" i="3"/>
  <c r="AXG12" i="3"/>
  <c r="AXH12" i="3"/>
  <c r="AXI12" i="3"/>
  <c r="AXJ12" i="3"/>
  <c r="AXK12" i="3"/>
  <c r="AXL12" i="3"/>
  <c r="AXM12" i="3"/>
  <c r="AXN12" i="3"/>
  <c r="AXO12" i="3"/>
  <c r="AXP12" i="3"/>
  <c r="AXQ12" i="3"/>
  <c r="AXR12" i="3"/>
  <c r="AXS12" i="3"/>
  <c r="AXT12" i="3"/>
  <c r="AXU12" i="3"/>
  <c r="AXV12" i="3"/>
  <c r="AXW12" i="3"/>
  <c r="AXX12" i="3"/>
  <c r="AXY12" i="3"/>
  <c r="AXZ12" i="3"/>
  <c r="AYA12" i="3"/>
  <c r="AYB12" i="3"/>
  <c r="AYC12" i="3"/>
  <c r="AYD12" i="3"/>
  <c r="AYE12" i="3"/>
  <c r="AYF12" i="3"/>
  <c r="AYG12" i="3"/>
  <c r="AYH12" i="3"/>
  <c r="AYI12" i="3"/>
  <c r="AYJ12" i="3"/>
  <c r="AYK12" i="3"/>
  <c r="AYL12" i="3"/>
  <c r="AYM12" i="3"/>
  <c r="AYN12" i="3"/>
  <c r="AYO12" i="3"/>
  <c r="AYP12" i="3"/>
  <c r="AYQ12" i="3"/>
  <c r="AYR12" i="3"/>
  <c r="AYS12" i="3"/>
  <c r="AYT12" i="3"/>
  <c r="AYU12" i="3"/>
  <c r="AYV12" i="3"/>
  <c r="AYW12" i="3"/>
  <c r="AYX12" i="3"/>
  <c r="AYY12" i="3"/>
  <c r="AYZ12" i="3"/>
  <c r="AZA12" i="3"/>
  <c r="AZB12" i="3"/>
  <c r="AZC12" i="3"/>
  <c r="AZD12" i="3"/>
  <c r="AZE12" i="3"/>
  <c r="AZF12" i="3"/>
  <c r="AZG12" i="3"/>
  <c r="AZH12" i="3"/>
  <c r="AZI12" i="3"/>
  <c r="AZJ12" i="3"/>
  <c r="AZK12" i="3"/>
  <c r="AZL12" i="3"/>
  <c r="AZM12" i="3"/>
  <c r="AZN12" i="3"/>
  <c r="AZO12" i="3"/>
  <c r="AZP12" i="3"/>
  <c r="AZQ12" i="3"/>
  <c r="AZR12" i="3"/>
  <c r="AZS12" i="3"/>
  <c r="AZT12" i="3"/>
  <c r="AZU12" i="3"/>
  <c r="AZV12" i="3"/>
  <c r="AZW12" i="3"/>
  <c r="AZX12" i="3"/>
  <c r="AZY12" i="3"/>
  <c r="AZZ12" i="3"/>
  <c r="BAA12" i="3"/>
  <c r="BAB12" i="3"/>
  <c r="BAC12" i="3"/>
  <c r="BAD12" i="3"/>
  <c r="BAE12" i="3"/>
  <c r="BAF12" i="3"/>
  <c r="BAG12" i="3"/>
  <c r="BAH12" i="3"/>
  <c r="BAI12" i="3"/>
  <c r="BAJ12" i="3"/>
  <c r="BAK12" i="3"/>
  <c r="BAL12" i="3"/>
  <c r="BAM12" i="3"/>
  <c r="BAN12" i="3"/>
  <c r="BAO12" i="3"/>
  <c r="BAP12" i="3"/>
  <c r="BAQ12" i="3"/>
  <c r="BAR12" i="3"/>
  <c r="BAS12" i="3"/>
  <c r="BAT12" i="3"/>
  <c r="BAU12" i="3"/>
  <c r="BAV12" i="3"/>
  <c r="BAW12" i="3"/>
  <c r="BAX12" i="3"/>
  <c r="BAY12" i="3"/>
  <c r="BAZ12" i="3"/>
  <c r="BBA12" i="3"/>
  <c r="BBB12" i="3"/>
  <c r="BBC12" i="3"/>
  <c r="BBD12" i="3"/>
  <c r="BBE12" i="3"/>
  <c r="BBF12" i="3"/>
  <c r="BBG12" i="3"/>
  <c r="BBH12" i="3"/>
  <c r="BBI12" i="3"/>
  <c r="BBJ12" i="3"/>
  <c r="BBK12" i="3"/>
  <c r="BBL12" i="3"/>
  <c r="BBM12" i="3"/>
  <c r="BBN12" i="3"/>
  <c r="BBO12" i="3"/>
  <c r="BBP12" i="3"/>
  <c r="BBQ12" i="3"/>
  <c r="BBR12" i="3"/>
  <c r="BBS12" i="3"/>
  <c r="BBT12" i="3"/>
  <c r="BBU12" i="3"/>
  <c r="BBV12" i="3"/>
  <c r="BBW12" i="3"/>
  <c r="BBX12" i="3"/>
  <c r="BBY12" i="3"/>
  <c r="BBZ12" i="3"/>
  <c r="BCA12" i="3"/>
  <c r="BCB12" i="3"/>
  <c r="BCC12" i="3"/>
  <c r="BCD12" i="3"/>
  <c r="BCE12" i="3"/>
  <c r="BCF12" i="3"/>
  <c r="BCG12" i="3"/>
  <c r="BCH12" i="3"/>
  <c r="BCI12" i="3"/>
  <c r="BCJ12" i="3"/>
  <c r="BCK12" i="3"/>
  <c r="BCL12" i="3"/>
  <c r="BCM12" i="3"/>
  <c r="BCN12" i="3"/>
  <c r="BCO12" i="3"/>
  <c r="BCP12" i="3"/>
  <c r="BCQ12" i="3"/>
  <c r="BCR12" i="3"/>
  <c r="BCS12" i="3"/>
  <c r="BCT12" i="3"/>
  <c r="BCU12" i="3"/>
  <c r="BCV12" i="3"/>
  <c r="BCW12" i="3"/>
  <c r="BCX12" i="3"/>
  <c r="BCY12" i="3"/>
  <c r="BCZ12" i="3"/>
  <c r="BDA12" i="3"/>
  <c r="BDB12" i="3"/>
  <c r="BDC12" i="3"/>
  <c r="BDD12" i="3"/>
  <c r="BDE12" i="3"/>
  <c r="BDF12" i="3"/>
  <c r="BDG12" i="3"/>
  <c r="BDH12" i="3"/>
  <c r="BDI12" i="3"/>
  <c r="BDJ12" i="3"/>
  <c r="BDK12" i="3"/>
  <c r="BDL12" i="3"/>
  <c r="BDM12" i="3"/>
  <c r="BDN12" i="3"/>
  <c r="BDO12" i="3"/>
  <c r="BDP12" i="3"/>
  <c r="BDQ12" i="3"/>
  <c r="BDR12" i="3"/>
  <c r="BDS12" i="3"/>
  <c r="BDT12" i="3"/>
  <c r="BDU12" i="3"/>
  <c r="BDV12" i="3"/>
  <c r="BDW12" i="3"/>
  <c r="BDX12" i="3"/>
  <c r="BDY12" i="3"/>
  <c r="BDZ12" i="3"/>
  <c r="BEA12" i="3"/>
  <c r="BEB12" i="3"/>
  <c r="BEC12" i="3"/>
  <c r="BED12" i="3"/>
  <c r="BEE12" i="3"/>
  <c r="BEF12" i="3"/>
  <c r="BEG12" i="3"/>
  <c r="BEH12" i="3"/>
  <c r="BEI12" i="3"/>
  <c r="BEJ12" i="3"/>
  <c r="BEK12" i="3"/>
  <c r="BEL12" i="3"/>
  <c r="BEM12" i="3"/>
  <c r="BEN12" i="3"/>
  <c r="BEO12" i="3"/>
  <c r="BEP12" i="3"/>
  <c r="BEQ12" i="3"/>
  <c r="BER12" i="3"/>
  <c r="BES12" i="3"/>
  <c r="BET12" i="3"/>
  <c r="BEU12" i="3"/>
  <c r="BEV12" i="3"/>
  <c r="BEW12" i="3"/>
  <c r="BEX12" i="3"/>
  <c r="BEY12" i="3"/>
  <c r="BEZ12" i="3"/>
  <c r="BFA12" i="3"/>
  <c r="BFB12" i="3"/>
  <c r="BFC12" i="3"/>
  <c r="BFD12" i="3"/>
  <c r="BFE12" i="3"/>
  <c r="BFF12" i="3"/>
  <c r="BFG12" i="3"/>
  <c r="BFH12" i="3"/>
  <c r="BFI12" i="3"/>
  <c r="BFJ12" i="3"/>
  <c r="BFK12" i="3"/>
  <c r="BFL12" i="3"/>
  <c r="BFM12" i="3"/>
  <c r="BFN12" i="3"/>
  <c r="BFO12" i="3"/>
  <c r="BFP12" i="3"/>
  <c r="BFQ12" i="3"/>
  <c r="BFR12" i="3"/>
  <c r="BFS12" i="3"/>
  <c r="BFT12" i="3"/>
  <c r="BFU12" i="3"/>
  <c r="BFV12" i="3"/>
  <c r="BFW12" i="3"/>
  <c r="BFX12" i="3"/>
  <c r="BFY12" i="3"/>
  <c r="BFZ12" i="3"/>
  <c r="BGA12" i="3"/>
  <c r="BGB12" i="3"/>
  <c r="BGC12" i="3"/>
  <c r="BGD12" i="3"/>
  <c r="BGE12" i="3"/>
  <c r="BGF12" i="3"/>
  <c r="BGG12" i="3"/>
  <c r="BGH12" i="3"/>
  <c r="BGI12" i="3"/>
  <c r="BGJ12" i="3"/>
  <c r="BGK12" i="3"/>
  <c r="BGL12" i="3"/>
  <c r="BGM12" i="3"/>
  <c r="BGN12" i="3"/>
  <c r="BGO12" i="3"/>
  <c r="BGP12" i="3"/>
  <c r="BGQ12" i="3"/>
  <c r="BGR12" i="3"/>
  <c r="BGS12" i="3"/>
  <c r="BGT12" i="3"/>
  <c r="BGU12" i="3"/>
  <c r="BGV12" i="3"/>
  <c r="BGW12" i="3"/>
  <c r="BGX12" i="3"/>
  <c r="BGY12" i="3"/>
  <c r="BGZ12" i="3"/>
  <c r="BHA12" i="3"/>
  <c r="BHB12" i="3"/>
  <c r="BHC12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FU13" i="3"/>
  <c r="FV13" i="3"/>
  <c r="FW13" i="3"/>
  <c r="FX13" i="3"/>
  <c r="FY13" i="3"/>
  <c r="FZ13" i="3"/>
  <c r="GA13" i="3"/>
  <c r="GB13" i="3"/>
  <c r="GC13" i="3"/>
  <c r="GD13" i="3"/>
  <c r="GE13" i="3"/>
  <c r="GF13" i="3"/>
  <c r="GG13" i="3"/>
  <c r="GH13" i="3"/>
  <c r="GI13" i="3"/>
  <c r="GJ13" i="3"/>
  <c r="GK13" i="3"/>
  <c r="GL13" i="3"/>
  <c r="GM13" i="3"/>
  <c r="GN13" i="3"/>
  <c r="GO13" i="3"/>
  <c r="GP13" i="3"/>
  <c r="GQ13" i="3"/>
  <c r="GR13" i="3"/>
  <c r="GS13" i="3"/>
  <c r="GT13" i="3"/>
  <c r="GU13" i="3"/>
  <c r="GV13" i="3"/>
  <c r="GW13" i="3"/>
  <c r="GX13" i="3"/>
  <c r="GY13" i="3"/>
  <c r="GZ13" i="3"/>
  <c r="HA13" i="3"/>
  <c r="HB13" i="3"/>
  <c r="HC13" i="3"/>
  <c r="HD13" i="3"/>
  <c r="HE13" i="3"/>
  <c r="HF13" i="3"/>
  <c r="HG13" i="3"/>
  <c r="HH13" i="3"/>
  <c r="HI13" i="3"/>
  <c r="HJ13" i="3"/>
  <c r="HK13" i="3"/>
  <c r="HL13" i="3"/>
  <c r="HM13" i="3"/>
  <c r="HN13" i="3"/>
  <c r="HO13" i="3"/>
  <c r="HP13" i="3"/>
  <c r="HQ13" i="3"/>
  <c r="HR13" i="3"/>
  <c r="HS13" i="3"/>
  <c r="HT13" i="3"/>
  <c r="HU13" i="3"/>
  <c r="HV13" i="3"/>
  <c r="HW13" i="3"/>
  <c r="HX13" i="3"/>
  <c r="HY13" i="3"/>
  <c r="HZ13" i="3"/>
  <c r="IA13" i="3"/>
  <c r="IB13" i="3"/>
  <c r="IC13" i="3"/>
  <c r="ID13" i="3"/>
  <c r="IE13" i="3"/>
  <c r="IF13" i="3"/>
  <c r="IG13" i="3"/>
  <c r="IH13" i="3"/>
  <c r="II13" i="3"/>
  <c r="IJ13" i="3"/>
  <c r="IK13" i="3"/>
  <c r="IL13" i="3"/>
  <c r="IM13" i="3"/>
  <c r="IN13" i="3"/>
  <c r="IO13" i="3"/>
  <c r="IP13" i="3"/>
  <c r="IQ13" i="3"/>
  <c r="IR13" i="3"/>
  <c r="IS13" i="3"/>
  <c r="IT13" i="3"/>
  <c r="IU13" i="3"/>
  <c r="IV13" i="3"/>
  <c r="IW13" i="3"/>
  <c r="IX13" i="3"/>
  <c r="IY13" i="3"/>
  <c r="IZ13" i="3"/>
  <c r="JA13" i="3"/>
  <c r="JB13" i="3"/>
  <c r="JC13" i="3"/>
  <c r="JD13" i="3"/>
  <c r="JE13" i="3"/>
  <c r="JF13" i="3"/>
  <c r="JG13" i="3"/>
  <c r="JH13" i="3"/>
  <c r="JI13" i="3"/>
  <c r="JJ13" i="3"/>
  <c r="JK13" i="3"/>
  <c r="JL13" i="3"/>
  <c r="JM13" i="3"/>
  <c r="JN13" i="3"/>
  <c r="JO13" i="3"/>
  <c r="JP13" i="3"/>
  <c r="JQ13" i="3"/>
  <c r="JR13" i="3"/>
  <c r="JS13" i="3"/>
  <c r="JT13" i="3"/>
  <c r="JU13" i="3"/>
  <c r="JV13" i="3"/>
  <c r="JW13" i="3"/>
  <c r="JX13" i="3"/>
  <c r="JY13" i="3"/>
  <c r="JZ13" i="3"/>
  <c r="KA13" i="3"/>
  <c r="KB13" i="3"/>
  <c r="KC13" i="3"/>
  <c r="KD13" i="3"/>
  <c r="KE13" i="3"/>
  <c r="KF13" i="3"/>
  <c r="KG13" i="3"/>
  <c r="KH13" i="3"/>
  <c r="KI13" i="3"/>
  <c r="KJ13" i="3"/>
  <c r="KK13" i="3"/>
  <c r="KL13" i="3"/>
  <c r="KM13" i="3"/>
  <c r="KN13" i="3"/>
  <c r="KO13" i="3"/>
  <c r="KP13" i="3"/>
  <c r="KQ13" i="3"/>
  <c r="KR13" i="3"/>
  <c r="KS13" i="3"/>
  <c r="KT13" i="3"/>
  <c r="KU13" i="3"/>
  <c r="KV13" i="3"/>
  <c r="KW13" i="3"/>
  <c r="KX13" i="3"/>
  <c r="KY13" i="3"/>
  <c r="KZ13" i="3"/>
  <c r="LA13" i="3"/>
  <c r="LB13" i="3"/>
  <c r="LC13" i="3"/>
  <c r="LD13" i="3"/>
  <c r="LE13" i="3"/>
  <c r="LF13" i="3"/>
  <c r="LG13" i="3"/>
  <c r="LH13" i="3"/>
  <c r="LI13" i="3"/>
  <c r="LJ13" i="3"/>
  <c r="LK13" i="3"/>
  <c r="LL13" i="3"/>
  <c r="LM13" i="3"/>
  <c r="LN13" i="3"/>
  <c r="LO13" i="3"/>
  <c r="LP13" i="3"/>
  <c r="LQ13" i="3"/>
  <c r="LR13" i="3"/>
  <c r="LS13" i="3"/>
  <c r="LT13" i="3"/>
  <c r="LU13" i="3"/>
  <c r="LV13" i="3"/>
  <c r="LW13" i="3"/>
  <c r="LX13" i="3"/>
  <c r="LY13" i="3"/>
  <c r="LZ13" i="3"/>
  <c r="MA13" i="3"/>
  <c r="MB13" i="3"/>
  <c r="MC13" i="3"/>
  <c r="MD13" i="3"/>
  <c r="ME13" i="3"/>
  <c r="MF13" i="3"/>
  <c r="MG13" i="3"/>
  <c r="MH13" i="3"/>
  <c r="MI13" i="3"/>
  <c r="MJ13" i="3"/>
  <c r="MK13" i="3"/>
  <c r="ML13" i="3"/>
  <c r="MM13" i="3"/>
  <c r="MN13" i="3"/>
  <c r="MO13" i="3"/>
  <c r="MP13" i="3"/>
  <c r="MQ13" i="3"/>
  <c r="MR13" i="3"/>
  <c r="MS13" i="3"/>
  <c r="MT13" i="3"/>
  <c r="MU13" i="3"/>
  <c r="MV13" i="3"/>
  <c r="MW13" i="3"/>
  <c r="MX13" i="3"/>
  <c r="MY13" i="3"/>
  <c r="MZ13" i="3"/>
  <c r="NA13" i="3"/>
  <c r="NB13" i="3"/>
  <c r="NC13" i="3"/>
  <c r="ND13" i="3"/>
  <c r="NE13" i="3"/>
  <c r="NF13" i="3"/>
  <c r="NG13" i="3"/>
  <c r="NH13" i="3"/>
  <c r="NI13" i="3"/>
  <c r="NJ13" i="3"/>
  <c r="NK13" i="3"/>
  <c r="NL13" i="3"/>
  <c r="NM13" i="3"/>
  <c r="NN13" i="3"/>
  <c r="NO13" i="3"/>
  <c r="NP13" i="3"/>
  <c r="NQ13" i="3"/>
  <c r="NR13" i="3"/>
  <c r="NS13" i="3"/>
  <c r="NT13" i="3"/>
  <c r="NU13" i="3"/>
  <c r="NV13" i="3"/>
  <c r="NW13" i="3"/>
  <c r="NX13" i="3"/>
  <c r="NY13" i="3"/>
  <c r="NZ13" i="3"/>
  <c r="OA13" i="3"/>
  <c r="OB13" i="3"/>
  <c r="OC13" i="3"/>
  <c r="OD13" i="3"/>
  <c r="OE13" i="3"/>
  <c r="OF13" i="3"/>
  <c r="OG13" i="3"/>
  <c r="OH13" i="3"/>
  <c r="OI13" i="3"/>
  <c r="OJ13" i="3"/>
  <c r="OK13" i="3"/>
  <c r="OL13" i="3"/>
  <c r="OM13" i="3"/>
  <c r="ON13" i="3"/>
  <c r="OO13" i="3"/>
  <c r="OP13" i="3"/>
  <c r="OQ13" i="3"/>
  <c r="OR13" i="3"/>
  <c r="OS13" i="3"/>
  <c r="OT13" i="3"/>
  <c r="OU13" i="3"/>
  <c r="OV13" i="3"/>
  <c r="OW13" i="3"/>
  <c r="OX13" i="3"/>
  <c r="OY13" i="3"/>
  <c r="OZ13" i="3"/>
  <c r="PA13" i="3"/>
  <c r="PB13" i="3"/>
  <c r="PC13" i="3"/>
  <c r="PD13" i="3"/>
  <c r="PE13" i="3"/>
  <c r="PF13" i="3"/>
  <c r="PG13" i="3"/>
  <c r="PH13" i="3"/>
  <c r="PI13" i="3"/>
  <c r="PJ13" i="3"/>
  <c r="PK13" i="3"/>
  <c r="PL13" i="3"/>
  <c r="PM13" i="3"/>
  <c r="PN13" i="3"/>
  <c r="PO13" i="3"/>
  <c r="PP13" i="3"/>
  <c r="PQ13" i="3"/>
  <c r="PR13" i="3"/>
  <c r="PS13" i="3"/>
  <c r="PT13" i="3"/>
  <c r="PU13" i="3"/>
  <c r="PV13" i="3"/>
  <c r="PW13" i="3"/>
  <c r="PX13" i="3"/>
  <c r="PY13" i="3"/>
  <c r="PZ13" i="3"/>
  <c r="QA13" i="3"/>
  <c r="QB13" i="3"/>
  <c r="QC13" i="3"/>
  <c r="QD13" i="3"/>
  <c r="QE13" i="3"/>
  <c r="QF13" i="3"/>
  <c r="QG13" i="3"/>
  <c r="QH13" i="3"/>
  <c r="QI13" i="3"/>
  <c r="QJ13" i="3"/>
  <c r="QK13" i="3"/>
  <c r="QL13" i="3"/>
  <c r="QM13" i="3"/>
  <c r="QN13" i="3"/>
  <c r="QO13" i="3"/>
  <c r="QP13" i="3"/>
  <c r="QQ13" i="3"/>
  <c r="QR13" i="3"/>
  <c r="QS13" i="3"/>
  <c r="QT13" i="3"/>
  <c r="QU13" i="3"/>
  <c r="QV13" i="3"/>
  <c r="QW13" i="3"/>
  <c r="QX13" i="3"/>
  <c r="QY13" i="3"/>
  <c r="QZ13" i="3"/>
  <c r="RA13" i="3"/>
  <c r="RB13" i="3"/>
  <c r="RC13" i="3"/>
  <c r="RD13" i="3"/>
  <c r="RE13" i="3"/>
  <c r="RF13" i="3"/>
  <c r="RG13" i="3"/>
  <c r="RH13" i="3"/>
  <c r="RI13" i="3"/>
  <c r="RJ13" i="3"/>
  <c r="RK13" i="3"/>
  <c r="RL13" i="3"/>
  <c r="RM13" i="3"/>
  <c r="RN13" i="3"/>
  <c r="RO13" i="3"/>
  <c r="RP13" i="3"/>
  <c r="RQ13" i="3"/>
  <c r="RR13" i="3"/>
  <c r="RS13" i="3"/>
  <c r="RT13" i="3"/>
  <c r="RU13" i="3"/>
  <c r="RV13" i="3"/>
  <c r="RW13" i="3"/>
  <c r="RX13" i="3"/>
  <c r="RY13" i="3"/>
  <c r="RZ13" i="3"/>
  <c r="SA13" i="3"/>
  <c r="SB13" i="3"/>
  <c r="SC13" i="3"/>
  <c r="SD13" i="3"/>
  <c r="SE13" i="3"/>
  <c r="SF13" i="3"/>
  <c r="SG13" i="3"/>
  <c r="SH13" i="3"/>
  <c r="SI13" i="3"/>
  <c r="SJ13" i="3"/>
  <c r="SK13" i="3"/>
  <c r="SL13" i="3"/>
  <c r="SM13" i="3"/>
  <c r="SN13" i="3"/>
  <c r="SO13" i="3"/>
  <c r="SP13" i="3"/>
  <c r="SQ13" i="3"/>
  <c r="SR13" i="3"/>
  <c r="SS13" i="3"/>
  <c r="ST13" i="3"/>
  <c r="SU13" i="3"/>
  <c r="SV13" i="3"/>
  <c r="SW13" i="3"/>
  <c r="SX13" i="3"/>
  <c r="SY13" i="3"/>
  <c r="SZ13" i="3"/>
  <c r="TA13" i="3"/>
  <c r="TB13" i="3"/>
  <c r="TC13" i="3"/>
  <c r="TD13" i="3"/>
  <c r="TE13" i="3"/>
  <c r="TF13" i="3"/>
  <c r="TG13" i="3"/>
  <c r="TH13" i="3"/>
  <c r="TI13" i="3"/>
  <c r="TJ13" i="3"/>
  <c r="TK13" i="3"/>
  <c r="TL13" i="3"/>
  <c r="TM13" i="3"/>
  <c r="TN13" i="3"/>
  <c r="TO13" i="3"/>
  <c r="TP13" i="3"/>
  <c r="TQ13" i="3"/>
  <c r="TR13" i="3"/>
  <c r="TS13" i="3"/>
  <c r="TT13" i="3"/>
  <c r="TU13" i="3"/>
  <c r="TV13" i="3"/>
  <c r="TW13" i="3"/>
  <c r="TX13" i="3"/>
  <c r="TY13" i="3"/>
  <c r="TZ13" i="3"/>
  <c r="UA13" i="3"/>
  <c r="UB13" i="3"/>
  <c r="UC13" i="3"/>
  <c r="UD13" i="3"/>
  <c r="UE13" i="3"/>
  <c r="UF13" i="3"/>
  <c r="UG13" i="3"/>
  <c r="UH13" i="3"/>
  <c r="UI13" i="3"/>
  <c r="UJ13" i="3"/>
  <c r="UK13" i="3"/>
  <c r="UL13" i="3"/>
  <c r="UM13" i="3"/>
  <c r="UN13" i="3"/>
  <c r="UO13" i="3"/>
  <c r="UP13" i="3"/>
  <c r="UQ13" i="3"/>
  <c r="UR13" i="3"/>
  <c r="US13" i="3"/>
  <c r="UT13" i="3"/>
  <c r="UU13" i="3"/>
  <c r="UV13" i="3"/>
  <c r="UW13" i="3"/>
  <c r="UX13" i="3"/>
  <c r="UY13" i="3"/>
  <c r="UZ13" i="3"/>
  <c r="VA13" i="3"/>
  <c r="VB13" i="3"/>
  <c r="VC13" i="3"/>
  <c r="VD13" i="3"/>
  <c r="VE13" i="3"/>
  <c r="VF13" i="3"/>
  <c r="VG13" i="3"/>
  <c r="VH13" i="3"/>
  <c r="VI13" i="3"/>
  <c r="VJ13" i="3"/>
  <c r="VK13" i="3"/>
  <c r="VL13" i="3"/>
  <c r="VM13" i="3"/>
  <c r="VN13" i="3"/>
  <c r="VO13" i="3"/>
  <c r="VP13" i="3"/>
  <c r="VQ13" i="3"/>
  <c r="VR13" i="3"/>
  <c r="VS13" i="3"/>
  <c r="VT13" i="3"/>
  <c r="VU13" i="3"/>
  <c r="VV13" i="3"/>
  <c r="VW13" i="3"/>
  <c r="VX13" i="3"/>
  <c r="VY13" i="3"/>
  <c r="VZ13" i="3"/>
  <c r="WA13" i="3"/>
  <c r="WB13" i="3"/>
  <c r="WC13" i="3"/>
  <c r="WD13" i="3"/>
  <c r="WE13" i="3"/>
  <c r="WF13" i="3"/>
  <c r="WG13" i="3"/>
  <c r="WH13" i="3"/>
  <c r="WI13" i="3"/>
  <c r="WJ13" i="3"/>
  <c r="WK13" i="3"/>
  <c r="WL13" i="3"/>
  <c r="WM13" i="3"/>
  <c r="WN13" i="3"/>
  <c r="WO13" i="3"/>
  <c r="WP13" i="3"/>
  <c r="WQ13" i="3"/>
  <c r="WR13" i="3"/>
  <c r="WS13" i="3"/>
  <c r="WT13" i="3"/>
  <c r="WU13" i="3"/>
  <c r="WV13" i="3"/>
  <c r="WW13" i="3"/>
  <c r="WX13" i="3"/>
  <c r="WY13" i="3"/>
  <c r="WZ13" i="3"/>
  <c r="XA13" i="3"/>
  <c r="XB13" i="3"/>
  <c r="XC13" i="3"/>
  <c r="XD13" i="3"/>
  <c r="XE13" i="3"/>
  <c r="XF13" i="3"/>
  <c r="XG13" i="3"/>
  <c r="XH13" i="3"/>
  <c r="XI13" i="3"/>
  <c r="XJ13" i="3"/>
  <c r="XK13" i="3"/>
  <c r="XL13" i="3"/>
  <c r="XM13" i="3"/>
  <c r="XN13" i="3"/>
  <c r="XO13" i="3"/>
  <c r="XP13" i="3"/>
  <c r="XQ13" i="3"/>
  <c r="XR13" i="3"/>
  <c r="XS13" i="3"/>
  <c r="XT13" i="3"/>
  <c r="XU13" i="3"/>
  <c r="XV13" i="3"/>
  <c r="XW13" i="3"/>
  <c r="XX13" i="3"/>
  <c r="XY13" i="3"/>
  <c r="XZ13" i="3"/>
  <c r="YA13" i="3"/>
  <c r="YB13" i="3"/>
  <c r="YC13" i="3"/>
  <c r="YD13" i="3"/>
  <c r="YE13" i="3"/>
  <c r="YF13" i="3"/>
  <c r="YG13" i="3"/>
  <c r="YH13" i="3"/>
  <c r="YI13" i="3"/>
  <c r="YJ13" i="3"/>
  <c r="YK13" i="3"/>
  <c r="YL13" i="3"/>
  <c r="YM13" i="3"/>
  <c r="YN13" i="3"/>
  <c r="YO13" i="3"/>
  <c r="YP13" i="3"/>
  <c r="YQ13" i="3"/>
  <c r="YR13" i="3"/>
  <c r="YS13" i="3"/>
  <c r="YT13" i="3"/>
  <c r="YU13" i="3"/>
  <c r="YV13" i="3"/>
  <c r="YW13" i="3"/>
  <c r="YX13" i="3"/>
  <c r="YY13" i="3"/>
  <c r="YZ13" i="3"/>
  <c r="ZA13" i="3"/>
  <c r="ZB13" i="3"/>
  <c r="ZC13" i="3"/>
  <c r="ZD13" i="3"/>
  <c r="ZE13" i="3"/>
  <c r="ZF13" i="3"/>
  <c r="ZG13" i="3"/>
  <c r="ZH13" i="3"/>
  <c r="ZI13" i="3"/>
  <c r="ZJ13" i="3"/>
  <c r="ZK13" i="3"/>
  <c r="ZL13" i="3"/>
  <c r="ZM13" i="3"/>
  <c r="ZN13" i="3"/>
  <c r="ZO13" i="3"/>
  <c r="ZP13" i="3"/>
  <c r="ZQ13" i="3"/>
  <c r="ZR13" i="3"/>
  <c r="ZS13" i="3"/>
  <c r="ZT13" i="3"/>
  <c r="ZU13" i="3"/>
  <c r="ZV13" i="3"/>
  <c r="ZW13" i="3"/>
  <c r="ZX13" i="3"/>
  <c r="ZY13" i="3"/>
  <c r="ZZ13" i="3"/>
  <c r="AAA13" i="3"/>
  <c r="AAB13" i="3"/>
  <c r="AAC13" i="3"/>
  <c r="AAD13" i="3"/>
  <c r="AAE13" i="3"/>
  <c r="AAF13" i="3"/>
  <c r="AAG13" i="3"/>
  <c r="AAH13" i="3"/>
  <c r="AAI13" i="3"/>
  <c r="AAJ13" i="3"/>
  <c r="AAK13" i="3"/>
  <c r="AAL13" i="3"/>
  <c r="AAM13" i="3"/>
  <c r="AAN13" i="3"/>
  <c r="AAO13" i="3"/>
  <c r="AAP13" i="3"/>
  <c r="AAQ13" i="3"/>
  <c r="AAR13" i="3"/>
  <c r="AAS13" i="3"/>
  <c r="AAT13" i="3"/>
  <c r="AAU13" i="3"/>
  <c r="AAV13" i="3"/>
  <c r="AAW13" i="3"/>
  <c r="AAX13" i="3"/>
  <c r="AAY13" i="3"/>
  <c r="AAZ13" i="3"/>
  <c r="ABA13" i="3"/>
  <c r="ABB13" i="3"/>
  <c r="ABC13" i="3"/>
  <c r="ABD13" i="3"/>
  <c r="ABE13" i="3"/>
  <c r="ABF13" i="3"/>
  <c r="ABG13" i="3"/>
  <c r="ABH13" i="3"/>
  <c r="ABI13" i="3"/>
  <c r="ABJ13" i="3"/>
  <c r="ABK13" i="3"/>
  <c r="ABL13" i="3"/>
  <c r="ABM13" i="3"/>
  <c r="ABN13" i="3"/>
  <c r="ABO13" i="3"/>
  <c r="ABP13" i="3"/>
  <c r="ABQ13" i="3"/>
  <c r="ABR13" i="3"/>
  <c r="ABS13" i="3"/>
  <c r="ABT13" i="3"/>
  <c r="ABU13" i="3"/>
  <c r="ABV13" i="3"/>
  <c r="ABW13" i="3"/>
  <c r="ABX13" i="3"/>
  <c r="ABY13" i="3"/>
  <c r="ABZ13" i="3"/>
  <c r="ACA13" i="3"/>
  <c r="ACB13" i="3"/>
  <c r="ACC13" i="3"/>
  <c r="ACD13" i="3"/>
  <c r="ACE13" i="3"/>
  <c r="ACF13" i="3"/>
  <c r="ACG13" i="3"/>
  <c r="ACH13" i="3"/>
  <c r="ACI13" i="3"/>
  <c r="ACJ13" i="3"/>
  <c r="ACK13" i="3"/>
  <c r="ACL13" i="3"/>
  <c r="ACM13" i="3"/>
  <c r="ACN13" i="3"/>
  <c r="ACO13" i="3"/>
  <c r="ACP13" i="3"/>
  <c r="ACQ13" i="3"/>
  <c r="ACR13" i="3"/>
  <c r="ACS13" i="3"/>
  <c r="ACT13" i="3"/>
  <c r="ACU13" i="3"/>
  <c r="ACV13" i="3"/>
  <c r="ACW13" i="3"/>
  <c r="ACX13" i="3"/>
  <c r="ACY13" i="3"/>
  <c r="ACZ13" i="3"/>
  <c r="ADA13" i="3"/>
  <c r="ADB13" i="3"/>
  <c r="ADC13" i="3"/>
  <c r="ADD13" i="3"/>
  <c r="ADE13" i="3"/>
  <c r="ADF13" i="3"/>
  <c r="ADG13" i="3"/>
  <c r="ADH13" i="3"/>
  <c r="ADI13" i="3"/>
  <c r="ADJ13" i="3"/>
  <c r="ADK13" i="3"/>
  <c r="ADL13" i="3"/>
  <c r="ADM13" i="3"/>
  <c r="ADN13" i="3"/>
  <c r="ADO13" i="3"/>
  <c r="ADP13" i="3"/>
  <c r="ADQ13" i="3"/>
  <c r="ADR13" i="3"/>
  <c r="ADS13" i="3"/>
  <c r="ADT13" i="3"/>
  <c r="ADU13" i="3"/>
  <c r="ADV13" i="3"/>
  <c r="ADW13" i="3"/>
  <c r="ADX13" i="3"/>
  <c r="ADY13" i="3"/>
  <c r="ADZ13" i="3"/>
  <c r="AEA13" i="3"/>
  <c r="AEB13" i="3"/>
  <c r="AEC13" i="3"/>
  <c r="AED13" i="3"/>
  <c r="AEE13" i="3"/>
  <c r="AEF13" i="3"/>
  <c r="AEG13" i="3"/>
  <c r="AEH13" i="3"/>
  <c r="AEI13" i="3"/>
  <c r="AEJ13" i="3"/>
  <c r="AEK13" i="3"/>
  <c r="AEL13" i="3"/>
  <c r="AEM13" i="3"/>
  <c r="AEN13" i="3"/>
  <c r="AEO13" i="3"/>
  <c r="AEP13" i="3"/>
  <c r="AEQ13" i="3"/>
  <c r="AER13" i="3"/>
  <c r="AES13" i="3"/>
  <c r="AET13" i="3"/>
  <c r="AEU13" i="3"/>
  <c r="AEV13" i="3"/>
  <c r="AEW13" i="3"/>
  <c r="AEX13" i="3"/>
  <c r="AEY13" i="3"/>
  <c r="AEZ13" i="3"/>
  <c r="AFA13" i="3"/>
  <c r="AFB13" i="3"/>
  <c r="AFC13" i="3"/>
  <c r="AFD13" i="3"/>
  <c r="AFE13" i="3"/>
  <c r="AFF13" i="3"/>
  <c r="AFG13" i="3"/>
  <c r="AFH13" i="3"/>
  <c r="AFI13" i="3"/>
  <c r="AFJ13" i="3"/>
  <c r="AFK13" i="3"/>
  <c r="AFL13" i="3"/>
  <c r="AFM13" i="3"/>
  <c r="AFN13" i="3"/>
  <c r="AFO13" i="3"/>
  <c r="AFP13" i="3"/>
  <c r="AFQ13" i="3"/>
  <c r="AFR13" i="3"/>
  <c r="AFS13" i="3"/>
  <c r="AFT13" i="3"/>
  <c r="AFU13" i="3"/>
  <c r="AFV13" i="3"/>
  <c r="AFW13" i="3"/>
  <c r="AFX13" i="3"/>
  <c r="AFY13" i="3"/>
  <c r="AFZ13" i="3"/>
  <c r="AGA13" i="3"/>
  <c r="AGB13" i="3"/>
  <c r="AGC13" i="3"/>
  <c r="AGD13" i="3"/>
  <c r="AGE13" i="3"/>
  <c r="AGF13" i="3"/>
  <c r="AGG13" i="3"/>
  <c r="AGH13" i="3"/>
  <c r="AGI13" i="3"/>
  <c r="AGJ13" i="3"/>
  <c r="AGK13" i="3"/>
  <c r="AGL13" i="3"/>
  <c r="AGM13" i="3"/>
  <c r="AGN13" i="3"/>
  <c r="AGO13" i="3"/>
  <c r="AGP13" i="3"/>
  <c r="AGQ13" i="3"/>
  <c r="AGR13" i="3"/>
  <c r="AGS13" i="3"/>
  <c r="AGT13" i="3"/>
  <c r="AGU13" i="3"/>
  <c r="AGV13" i="3"/>
  <c r="AGW13" i="3"/>
  <c r="AGX13" i="3"/>
  <c r="AGY13" i="3"/>
  <c r="AGZ13" i="3"/>
  <c r="AHA13" i="3"/>
  <c r="AHB13" i="3"/>
  <c r="AHC13" i="3"/>
  <c r="AHD13" i="3"/>
  <c r="AHE13" i="3"/>
  <c r="AHF13" i="3"/>
  <c r="AHG13" i="3"/>
  <c r="AHH13" i="3"/>
  <c r="AHI13" i="3"/>
  <c r="AHJ13" i="3"/>
  <c r="AHK13" i="3"/>
  <c r="AHL13" i="3"/>
  <c r="AHM13" i="3"/>
  <c r="AHN13" i="3"/>
  <c r="AHO13" i="3"/>
  <c r="AHP13" i="3"/>
  <c r="AHQ13" i="3"/>
  <c r="AHR13" i="3"/>
  <c r="AHS13" i="3"/>
  <c r="AHT13" i="3"/>
  <c r="AHU13" i="3"/>
  <c r="AHV13" i="3"/>
  <c r="AHW13" i="3"/>
  <c r="AHX13" i="3"/>
  <c r="AHY13" i="3"/>
  <c r="AHZ13" i="3"/>
  <c r="AIA13" i="3"/>
  <c r="AIB13" i="3"/>
  <c r="AIC13" i="3"/>
  <c r="AID13" i="3"/>
  <c r="AIE13" i="3"/>
  <c r="AIF13" i="3"/>
  <c r="AIG13" i="3"/>
  <c r="AIH13" i="3"/>
  <c r="AII13" i="3"/>
  <c r="AIJ13" i="3"/>
  <c r="AIK13" i="3"/>
  <c r="AIL13" i="3"/>
  <c r="AIM13" i="3"/>
  <c r="AIN13" i="3"/>
  <c r="AIO13" i="3"/>
  <c r="AIP13" i="3"/>
  <c r="AIQ13" i="3"/>
  <c r="AIR13" i="3"/>
  <c r="AIS13" i="3"/>
  <c r="AIT13" i="3"/>
  <c r="AIU13" i="3"/>
  <c r="AIV13" i="3"/>
  <c r="AIW13" i="3"/>
  <c r="AIX13" i="3"/>
  <c r="AIY13" i="3"/>
  <c r="AIZ13" i="3"/>
  <c r="AJA13" i="3"/>
  <c r="AJB13" i="3"/>
  <c r="AJC13" i="3"/>
  <c r="AJD13" i="3"/>
  <c r="AJE13" i="3"/>
  <c r="AJF13" i="3"/>
  <c r="AJG13" i="3"/>
  <c r="AJH13" i="3"/>
  <c r="AJI13" i="3"/>
  <c r="AJJ13" i="3"/>
  <c r="AJK13" i="3"/>
  <c r="AJL13" i="3"/>
  <c r="AJM13" i="3"/>
  <c r="AJN13" i="3"/>
  <c r="AJO13" i="3"/>
  <c r="AJP13" i="3"/>
  <c r="AJQ13" i="3"/>
  <c r="AJR13" i="3"/>
  <c r="AJS13" i="3"/>
  <c r="AJT13" i="3"/>
  <c r="AJU13" i="3"/>
  <c r="AJV13" i="3"/>
  <c r="AJW13" i="3"/>
  <c r="AJX13" i="3"/>
  <c r="AJY13" i="3"/>
  <c r="AJZ13" i="3"/>
  <c r="AKA13" i="3"/>
  <c r="AKB13" i="3"/>
  <c r="AKC13" i="3"/>
  <c r="AKD13" i="3"/>
  <c r="AKE13" i="3"/>
  <c r="AKF13" i="3"/>
  <c r="AKG13" i="3"/>
  <c r="AKH13" i="3"/>
  <c r="AKI13" i="3"/>
  <c r="AKJ13" i="3"/>
  <c r="AKK13" i="3"/>
  <c r="AKL13" i="3"/>
  <c r="AKM13" i="3"/>
  <c r="AKN13" i="3"/>
  <c r="AKO13" i="3"/>
  <c r="AKP13" i="3"/>
  <c r="AKQ13" i="3"/>
  <c r="AKR13" i="3"/>
  <c r="AKS13" i="3"/>
  <c r="AKT13" i="3"/>
  <c r="AKU13" i="3"/>
  <c r="AKV13" i="3"/>
  <c r="AKW13" i="3"/>
  <c r="AKX13" i="3"/>
  <c r="AKY13" i="3"/>
  <c r="AKZ13" i="3"/>
  <c r="ALA13" i="3"/>
  <c r="ALB13" i="3"/>
  <c r="ALC13" i="3"/>
  <c r="ALD13" i="3"/>
  <c r="ALE13" i="3"/>
  <c r="ALF13" i="3"/>
  <c r="ALG13" i="3"/>
  <c r="ALH13" i="3"/>
  <c r="ALI13" i="3"/>
  <c r="ALJ13" i="3"/>
  <c r="ALK13" i="3"/>
  <c r="ALL13" i="3"/>
  <c r="ALM13" i="3"/>
  <c r="ALN13" i="3"/>
  <c r="ALO13" i="3"/>
  <c r="ALP13" i="3"/>
  <c r="ALQ13" i="3"/>
  <c r="ALR13" i="3"/>
  <c r="ALS13" i="3"/>
  <c r="ALT13" i="3"/>
  <c r="ALU13" i="3"/>
  <c r="ALV13" i="3"/>
  <c r="ALW13" i="3"/>
  <c r="ALX13" i="3"/>
  <c r="ALY13" i="3"/>
  <c r="ALZ13" i="3"/>
  <c r="AMA13" i="3"/>
  <c r="AMB13" i="3"/>
  <c r="AMC13" i="3"/>
  <c r="AMD13" i="3"/>
  <c r="AME13" i="3"/>
  <c r="AMF13" i="3"/>
  <c r="AMG13" i="3"/>
  <c r="AMH13" i="3"/>
  <c r="AMI13" i="3"/>
  <c r="AMJ13" i="3"/>
  <c r="AMK13" i="3"/>
  <c r="AML13" i="3"/>
  <c r="AMM13" i="3"/>
  <c r="AMN13" i="3"/>
  <c r="AMO13" i="3"/>
  <c r="AMP13" i="3"/>
  <c r="AMQ13" i="3"/>
  <c r="AMR13" i="3"/>
  <c r="AMS13" i="3"/>
  <c r="AMT13" i="3"/>
  <c r="AMU13" i="3"/>
  <c r="AMV13" i="3"/>
  <c r="AMW13" i="3"/>
  <c r="AMX13" i="3"/>
  <c r="AMY13" i="3"/>
  <c r="AMZ13" i="3"/>
  <c r="ANA13" i="3"/>
  <c r="ANB13" i="3"/>
  <c r="ANC13" i="3"/>
  <c r="AND13" i="3"/>
  <c r="ANE13" i="3"/>
  <c r="ANF13" i="3"/>
  <c r="ANG13" i="3"/>
  <c r="ANH13" i="3"/>
  <c r="ANI13" i="3"/>
  <c r="ANJ13" i="3"/>
  <c r="ANK13" i="3"/>
  <c r="ANL13" i="3"/>
  <c r="ANM13" i="3"/>
  <c r="ANN13" i="3"/>
  <c r="ANO13" i="3"/>
  <c r="ANP13" i="3"/>
  <c r="ANQ13" i="3"/>
  <c r="ANR13" i="3"/>
  <c r="ANS13" i="3"/>
  <c r="ANT13" i="3"/>
  <c r="ANU13" i="3"/>
  <c r="ANV13" i="3"/>
  <c r="ANW13" i="3"/>
  <c r="ANX13" i="3"/>
  <c r="ANY13" i="3"/>
  <c r="ANZ13" i="3"/>
  <c r="AOA13" i="3"/>
  <c r="AOB13" i="3"/>
  <c r="AOC13" i="3"/>
  <c r="AOD13" i="3"/>
  <c r="AOE13" i="3"/>
  <c r="AOF13" i="3"/>
  <c r="AOG13" i="3"/>
  <c r="AOH13" i="3"/>
  <c r="AOI13" i="3"/>
  <c r="AOJ13" i="3"/>
  <c r="AOK13" i="3"/>
  <c r="AOL13" i="3"/>
  <c r="AOM13" i="3"/>
  <c r="AON13" i="3"/>
  <c r="AOO13" i="3"/>
  <c r="AOP13" i="3"/>
  <c r="AOQ13" i="3"/>
  <c r="AOR13" i="3"/>
  <c r="AOS13" i="3"/>
  <c r="AOT13" i="3"/>
  <c r="AOU13" i="3"/>
  <c r="AOV13" i="3"/>
  <c r="AOW13" i="3"/>
  <c r="AOX13" i="3"/>
  <c r="AOY13" i="3"/>
  <c r="AOZ13" i="3"/>
  <c r="APA13" i="3"/>
  <c r="APB13" i="3"/>
  <c r="APC13" i="3"/>
  <c r="APD13" i="3"/>
  <c r="APE13" i="3"/>
  <c r="APF13" i="3"/>
  <c r="APG13" i="3"/>
  <c r="APH13" i="3"/>
  <c r="API13" i="3"/>
  <c r="APJ13" i="3"/>
  <c r="APK13" i="3"/>
  <c r="APL13" i="3"/>
  <c r="APM13" i="3"/>
  <c r="APN13" i="3"/>
  <c r="APO13" i="3"/>
  <c r="APP13" i="3"/>
  <c r="APQ13" i="3"/>
  <c r="APR13" i="3"/>
  <c r="APS13" i="3"/>
  <c r="APT13" i="3"/>
  <c r="APU13" i="3"/>
  <c r="APV13" i="3"/>
  <c r="APW13" i="3"/>
  <c r="APX13" i="3"/>
  <c r="APY13" i="3"/>
  <c r="APZ13" i="3"/>
  <c r="AQA13" i="3"/>
  <c r="AQB13" i="3"/>
  <c r="AQC13" i="3"/>
  <c r="AQD13" i="3"/>
  <c r="AQE13" i="3"/>
  <c r="AQF13" i="3"/>
  <c r="AQG13" i="3"/>
  <c r="AQH13" i="3"/>
  <c r="AQI13" i="3"/>
  <c r="AQJ13" i="3"/>
  <c r="AQK13" i="3"/>
  <c r="AQL13" i="3"/>
  <c r="AQM13" i="3"/>
  <c r="AQN13" i="3"/>
  <c r="AQO13" i="3"/>
  <c r="AQP13" i="3"/>
  <c r="AQQ13" i="3"/>
  <c r="AQR13" i="3"/>
  <c r="AQS13" i="3"/>
  <c r="AQT13" i="3"/>
  <c r="AQU13" i="3"/>
  <c r="AQV13" i="3"/>
  <c r="AQW13" i="3"/>
  <c r="AQX13" i="3"/>
  <c r="AQY13" i="3"/>
  <c r="AQZ13" i="3"/>
  <c r="ARA13" i="3"/>
  <c r="ARB13" i="3"/>
  <c r="ARC13" i="3"/>
  <c r="ARD13" i="3"/>
  <c r="ARE13" i="3"/>
  <c r="ARF13" i="3"/>
  <c r="ARG13" i="3"/>
  <c r="ARH13" i="3"/>
  <c r="ARI13" i="3"/>
  <c r="ARJ13" i="3"/>
  <c r="ARK13" i="3"/>
  <c r="ARL13" i="3"/>
  <c r="ARM13" i="3"/>
  <c r="ARN13" i="3"/>
  <c r="ARO13" i="3"/>
  <c r="ARP13" i="3"/>
  <c r="ARQ13" i="3"/>
  <c r="ARR13" i="3"/>
  <c r="ARS13" i="3"/>
  <c r="ART13" i="3"/>
  <c r="ARU13" i="3"/>
  <c r="ARV13" i="3"/>
  <c r="ARW13" i="3"/>
  <c r="ARX13" i="3"/>
  <c r="ARY13" i="3"/>
  <c r="ARZ13" i="3"/>
  <c r="ASA13" i="3"/>
  <c r="ASB13" i="3"/>
  <c r="ASC13" i="3"/>
  <c r="ASD13" i="3"/>
  <c r="ASE13" i="3"/>
  <c r="ASF13" i="3"/>
  <c r="ASG13" i="3"/>
  <c r="ASH13" i="3"/>
  <c r="ASI13" i="3"/>
  <c r="ASJ13" i="3"/>
  <c r="ASK13" i="3"/>
  <c r="ASL13" i="3"/>
  <c r="ASM13" i="3"/>
  <c r="ASN13" i="3"/>
  <c r="ASO13" i="3"/>
  <c r="ASP13" i="3"/>
  <c r="ASQ13" i="3"/>
  <c r="ASR13" i="3"/>
  <c r="ASS13" i="3"/>
  <c r="AST13" i="3"/>
  <c r="ASU13" i="3"/>
  <c r="ASV13" i="3"/>
  <c r="ASW13" i="3"/>
  <c r="ASX13" i="3"/>
  <c r="ASY13" i="3"/>
  <c r="ASZ13" i="3"/>
  <c r="ATA13" i="3"/>
  <c r="ATB13" i="3"/>
  <c r="ATC13" i="3"/>
  <c r="ATD13" i="3"/>
  <c r="ATE13" i="3"/>
  <c r="ATF13" i="3"/>
  <c r="ATG13" i="3"/>
  <c r="ATH13" i="3"/>
  <c r="ATI13" i="3"/>
  <c r="ATJ13" i="3"/>
  <c r="ATK13" i="3"/>
  <c r="ATL13" i="3"/>
  <c r="ATM13" i="3"/>
  <c r="ATN13" i="3"/>
  <c r="ATO13" i="3"/>
  <c r="ATP13" i="3"/>
  <c r="ATQ13" i="3"/>
  <c r="ATR13" i="3"/>
  <c r="ATS13" i="3"/>
  <c r="ATT13" i="3"/>
  <c r="ATU13" i="3"/>
  <c r="ATV13" i="3"/>
  <c r="ATW13" i="3"/>
  <c r="ATX13" i="3"/>
  <c r="ATY13" i="3"/>
  <c r="ATZ13" i="3"/>
  <c r="AUA13" i="3"/>
  <c r="AUB13" i="3"/>
  <c r="AUC13" i="3"/>
  <c r="AUD13" i="3"/>
  <c r="AUE13" i="3"/>
  <c r="AUF13" i="3"/>
  <c r="AUG13" i="3"/>
  <c r="AUH13" i="3"/>
  <c r="AUI13" i="3"/>
  <c r="AUJ13" i="3"/>
  <c r="AUK13" i="3"/>
  <c r="AUL13" i="3"/>
  <c r="AUM13" i="3"/>
  <c r="AUN13" i="3"/>
  <c r="AUO13" i="3"/>
  <c r="AUP13" i="3"/>
  <c r="AUQ13" i="3"/>
  <c r="AUR13" i="3"/>
  <c r="AUS13" i="3"/>
  <c r="AUT13" i="3"/>
  <c r="AUU13" i="3"/>
  <c r="AUV13" i="3"/>
  <c r="AUW13" i="3"/>
  <c r="AUX13" i="3"/>
  <c r="AUY13" i="3"/>
  <c r="AUZ13" i="3"/>
  <c r="AVA13" i="3"/>
  <c r="AVB13" i="3"/>
  <c r="AVC13" i="3"/>
  <c r="AVD13" i="3"/>
  <c r="AVE13" i="3"/>
  <c r="AVF13" i="3"/>
  <c r="AVG13" i="3"/>
  <c r="AVH13" i="3"/>
  <c r="AVI13" i="3"/>
  <c r="AVJ13" i="3"/>
  <c r="AVK13" i="3"/>
  <c r="AVL13" i="3"/>
  <c r="AVM13" i="3"/>
  <c r="AVN13" i="3"/>
  <c r="AVO13" i="3"/>
  <c r="AVP13" i="3"/>
  <c r="AVQ13" i="3"/>
  <c r="AVR13" i="3"/>
  <c r="AVS13" i="3"/>
  <c r="AVT13" i="3"/>
  <c r="AVU13" i="3"/>
  <c r="AVV13" i="3"/>
  <c r="AVW13" i="3"/>
  <c r="AVX13" i="3"/>
  <c r="AVY13" i="3"/>
  <c r="AVZ13" i="3"/>
  <c r="AWA13" i="3"/>
  <c r="AWB13" i="3"/>
  <c r="AWC13" i="3"/>
  <c r="AWD13" i="3"/>
  <c r="AWE13" i="3"/>
  <c r="AWF13" i="3"/>
  <c r="AWG13" i="3"/>
  <c r="AWH13" i="3"/>
  <c r="AWI13" i="3"/>
  <c r="AWJ13" i="3"/>
  <c r="AWK13" i="3"/>
  <c r="AWL13" i="3"/>
  <c r="AWM13" i="3"/>
  <c r="AWN13" i="3"/>
  <c r="AWO13" i="3"/>
  <c r="AWP13" i="3"/>
  <c r="AWQ13" i="3"/>
  <c r="AWR13" i="3"/>
  <c r="AWS13" i="3"/>
  <c r="AWT13" i="3"/>
  <c r="AWU13" i="3"/>
  <c r="AWV13" i="3"/>
  <c r="AWW13" i="3"/>
  <c r="AWX13" i="3"/>
  <c r="AWY13" i="3"/>
  <c r="AWZ13" i="3"/>
  <c r="AXA13" i="3"/>
  <c r="AXB13" i="3"/>
  <c r="AXC13" i="3"/>
  <c r="AXD13" i="3"/>
  <c r="AXE13" i="3"/>
  <c r="AXF13" i="3"/>
  <c r="AXG13" i="3"/>
  <c r="AXH13" i="3"/>
  <c r="AXI13" i="3"/>
  <c r="AXJ13" i="3"/>
  <c r="AXK13" i="3"/>
  <c r="AXL13" i="3"/>
  <c r="AXM13" i="3"/>
  <c r="AXN13" i="3"/>
  <c r="AXO13" i="3"/>
  <c r="AXP13" i="3"/>
  <c r="AXQ13" i="3"/>
  <c r="AXR13" i="3"/>
  <c r="AXS13" i="3"/>
  <c r="AXT13" i="3"/>
  <c r="AXU13" i="3"/>
  <c r="AXV13" i="3"/>
  <c r="AXW13" i="3"/>
  <c r="AXX13" i="3"/>
  <c r="AXY13" i="3"/>
  <c r="AXZ13" i="3"/>
  <c r="AYA13" i="3"/>
  <c r="AYB13" i="3"/>
  <c r="AYC13" i="3"/>
  <c r="AYD13" i="3"/>
  <c r="AYE13" i="3"/>
  <c r="AYF13" i="3"/>
  <c r="AYG13" i="3"/>
  <c r="AYH13" i="3"/>
  <c r="AYI13" i="3"/>
  <c r="AYJ13" i="3"/>
  <c r="AYK13" i="3"/>
  <c r="AYL13" i="3"/>
  <c r="AYM13" i="3"/>
  <c r="AYN13" i="3"/>
  <c r="AYO13" i="3"/>
  <c r="AYP13" i="3"/>
  <c r="AYQ13" i="3"/>
  <c r="AYR13" i="3"/>
  <c r="AYS13" i="3"/>
  <c r="AYT13" i="3"/>
  <c r="AYU13" i="3"/>
  <c r="AYV13" i="3"/>
  <c r="AYW13" i="3"/>
  <c r="AYX13" i="3"/>
  <c r="AYY13" i="3"/>
  <c r="AYZ13" i="3"/>
  <c r="AZA13" i="3"/>
  <c r="AZB13" i="3"/>
  <c r="AZC13" i="3"/>
  <c r="AZD13" i="3"/>
  <c r="AZE13" i="3"/>
  <c r="AZF13" i="3"/>
  <c r="AZG13" i="3"/>
  <c r="AZH13" i="3"/>
  <c r="AZI13" i="3"/>
  <c r="AZJ13" i="3"/>
  <c r="AZK13" i="3"/>
  <c r="AZL13" i="3"/>
  <c r="AZM13" i="3"/>
  <c r="AZN13" i="3"/>
  <c r="AZO13" i="3"/>
  <c r="AZP13" i="3"/>
  <c r="AZQ13" i="3"/>
  <c r="AZR13" i="3"/>
  <c r="AZS13" i="3"/>
  <c r="AZT13" i="3"/>
  <c r="AZU13" i="3"/>
  <c r="AZV13" i="3"/>
  <c r="AZW13" i="3"/>
  <c r="AZX13" i="3"/>
  <c r="AZY13" i="3"/>
  <c r="AZZ13" i="3"/>
  <c r="BAA13" i="3"/>
  <c r="BAB13" i="3"/>
  <c r="BAC13" i="3"/>
  <c r="BAD13" i="3"/>
  <c r="BAE13" i="3"/>
  <c r="BAF13" i="3"/>
  <c r="BAG13" i="3"/>
  <c r="BAH13" i="3"/>
  <c r="BAI13" i="3"/>
  <c r="BAJ13" i="3"/>
  <c r="BAK13" i="3"/>
  <c r="BAL13" i="3"/>
  <c r="BAM13" i="3"/>
  <c r="BAN13" i="3"/>
  <c r="BAO13" i="3"/>
  <c r="BAP13" i="3"/>
  <c r="BAQ13" i="3"/>
  <c r="BAR13" i="3"/>
  <c r="BAS13" i="3"/>
  <c r="BAT13" i="3"/>
  <c r="BAU13" i="3"/>
  <c r="BAV13" i="3"/>
  <c r="BAW13" i="3"/>
  <c r="BAX13" i="3"/>
  <c r="BAY13" i="3"/>
  <c r="BAZ13" i="3"/>
  <c r="BBA13" i="3"/>
  <c r="BBB13" i="3"/>
  <c r="BBC13" i="3"/>
  <c r="BBD13" i="3"/>
  <c r="BBE13" i="3"/>
  <c r="BBF13" i="3"/>
  <c r="BBG13" i="3"/>
  <c r="BBH13" i="3"/>
  <c r="BBI13" i="3"/>
  <c r="BBJ13" i="3"/>
  <c r="BBK13" i="3"/>
  <c r="BBL13" i="3"/>
  <c r="BBM13" i="3"/>
  <c r="BBN13" i="3"/>
  <c r="BBO13" i="3"/>
  <c r="BBP13" i="3"/>
  <c r="BBQ13" i="3"/>
  <c r="BBR13" i="3"/>
  <c r="BBS13" i="3"/>
  <c r="BBT13" i="3"/>
  <c r="BBU13" i="3"/>
  <c r="BBV13" i="3"/>
  <c r="BBW13" i="3"/>
  <c r="BBX13" i="3"/>
  <c r="BBY13" i="3"/>
  <c r="BBZ13" i="3"/>
  <c r="BCA13" i="3"/>
  <c r="BCB13" i="3"/>
  <c r="BCC13" i="3"/>
  <c r="BCD13" i="3"/>
  <c r="BCE13" i="3"/>
  <c r="BCF13" i="3"/>
  <c r="BCG13" i="3"/>
  <c r="BCH13" i="3"/>
  <c r="BCI13" i="3"/>
  <c r="BCJ13" i="3"/>
  <c r="BCK13" i="3"/>
  <c r="BCL13" i="3"/>
  <c r="BCM13" i="3"/>
  <c r="BCN13" i="3"/>
  <c r="BCO13" i="3"/>
  <c r="BCP13" i="3"/>
  <c r="BCQ13" i="3"/>
  <c r="BCR13" i="3"/>
  <c r="BCS13" i="3"/>
  <c r="BCT13" i="3"/>
  <c r="BCU13" i="3"/>
  <c r="BCV13" i="3"/>
  <c r="BCW13" i="3"/>
  <c r="BCX13" i="3"/>
  <c r="BCY13" i="3"/>
  <c r="BCZ13" i="3"/>
  <c r="BDA13" i="3"/>
  <c r="BDB13" i="3"/>
  <c r="BDC13" i="3"/>
  <c r="BDD13" i="3"/>
  <c r="BDE13" i="3"/>
  <c r="BDF13" i="3"/>
  <c r="BDG13" i="3"/>
  <c r="BDH13" i="3"/>
  <c r="BDI13" i="3"/>
  <c r="BDJ13" i="3"/>
  <c r="BDK13" i="3"/>
  <c r="BDL13" i="3"/>
  <c r="BDM13" i="3"/>
  <c r="BDN13" i="3"/>
  <c r="BDO13" i="3"/>
  <c r="BDP13" i="3"/>
  <c r="BDQ13" i="3"/>
  <c r="BDR13" i="3"/>
  <c r="BDS13" i="3"/>
  <c r="BDT13" i="3"/>
  <c r="BDU13" i="3"/>
  <c r="BDV13" i="3"/>
  <c r="BDW13" i="3"/>
  <c r="BDX13" i="3"/>
  <c r="BDY13" i="3"/>
  <c r="BDZ13" i="3"/>
  <c r="BEA13" i="3"/>
  <c r="BEB13" i="3"/>
  <c r="BEC13" i="3"/>
  <c r="BED13" i="3"/>
  <c r="BEE13" i="3"/>
  <c r="BEF13" i="3"/>
  <c r="BEG13" i="3"/>
  <c r="BEH13" i="3"/>
  <c r="BEI13" i="3"/>
  <c r="BEJ13" i="3"/>
  <c r="BEK13" i="3"/>
  <c r="BEL13" i="3"/>
  <c r="BEM13" i="3"/>
  <c r="BEN13" i="3"/>
  <c r="BEO13" i="3"/>
  <c r="BEP13" i="3"/>
  <c r="BEQ13" i="3"/>
  <c r="BER13" i="3"/>
  <c r="BES13" i="3"/>
  <c r="BET13" i="3"/>
  <c r="BEU13" i="3"/>
  <c r="BEV13" i="3"/>
  <c r="BEW13" i="3"/>
  <c r="BEX13" i="3"/>
  <c r="BEY13" i="3"/>
  <c r="BEZ13" i="3"/>
  <c r="BFA13" i="3"/>
  <c r="BFB13" i="3"/>
  <c r="BFC13" i="3"/>
  <c r="BFD13" i="3"/>
  <c r="BFE13" i="3"/>
  <c r="BFF13" i="3"/>
  <c r="BFG13" i="3"/>
  <c r="BFH13" i="3"/>
  <c r="BFI13" i="3"/>
  <c r="BFJ13" i="3"/>
  <c r="BFK13" i="3"/>
  <c r="BFL13" i="3"/>
  <c r="BFM13" i="3"/>
  <c r="BFN13" i="3"/>
  <c r="BFO13" i="3"/>
  <c r="BFP13" i="3"/>
  <c r="BFQ13" i="3"/>
  <c r="BFR13" i="3"/>
  <c r="BFS13" i="3"/>
  <c r="BFT13" i="3"/>
  <c r="BFU13" i="3"/>
  <c r="BFV13" i="3"/>
  <c r="BFW13" i="3"/>
  <c r="BFX13" i="3"/>
  <c r="BFY13" i="3"/>
  <c r="BFZ13" i="3"/>
  <c r="BGA13" i="3"/>
  <c r="BGB13" i="3"/>
  <c r="BGC13" i="3"/>
  <c r="BGD13" i="3"/>
  <c r="BGE13" i="3"/>
  <c r="BGF13" i="3"/>
  <c r="BGG13" i="3"/>
  <c r="BGH13" i="3"/>
  <c r="BGI13" i="3"/>
  <c r="BGJ13" i="3"/>
  <c r="BGK13" i="3"/>
  <c r="BGL13" i="3"/>
  <c r="BGM13" i="3"/>
  <c r="BGN13" i="3"/>
  <c r="BGO13" i="3"/>
  <c r="BGP13" i="3"/>
  <c r="BGQ13" i="3"/>
  <c r="BGR13" i="3"/>
  <c r="BGS13" i="3"/>
  <c r="BGT13" i="3"/>
  <c r="BGU13" i="3"/>
  <c r="BGV13" i="3"/>
  <c r="BGW13" i="3"/>
  <c r="BGX13" i="3"/>
  <c r="BGY13" i="3"/>
  <c r="BGZ13" i="3"/>
  <c r="BHA13" i="3"/>
  <c r="BHB13" i="3"/>
  <c r="BHC13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JP14" i="3"/>
  <c r="JQ14" i="3"/>
  <c r="JR14" i="3"/>
  <c r="JS14" i="3"/>
  <c r="JT14" i="3"/>
  <c r="JU14" i="3"/>
  <c r="JV14" i="3"/>
  <c r="JW14" i="3"/>
  <c r="JX14" i="3"/>
  <c r="JY14" i="3"/>
  <c r="JZ14" i="3"/>
  <c r="KA14" i="3"/>
  <c r="KB14" i="3"/>
  <c r="KC14" i="3"/>
  <c r="KD14" i="3"/>
  <c r="KE14" i="3"/>
  <c r="KF14" i="3"/>
  <c r="KG14" i="3"/>
  <c r="KH14" i="3"/>
  <c r="KI14" i="3"/>
  <c r="KJ14" i="3"/>
  <c r="KK14" i="3"/>
  <c r="KL14" i="3"/>
  <c r="KM14" i="3"/>
  <c r="KN14" i="3"/>
  <c r="KO14" i="3"/>
  <c r="KP14" i="3"/>
  <c r="KQ14" i="3"/>
  <c r="KR14" i="3"/>
  <c r="KS14" i="3"/>
  <c r="KT14" i="3"/>
  <c r="KU14" i="3"/>
  <c r="KV14" i="3"/>
  <c r="KW14" i="3"/>
  <c r="KX14" i="3"/>
  <c r="KY14" i="3"/>
  <c r="KZ14" i="3"/>
  <c r="LA14" i="3"/>
  <c r="LB14" i="3"/>
  <c r="LC14" i="3"/>
  <c r="LD14" i="3"/>
  <c r="LE14" i="3"/>
  <c r="LF14" i="3"/>
  <c r="LG14" i="3"/>
  <c r="LH14" i="3"/>
  <c r="LI14" i="3"/>
  <c r="LJ14" i="3"/>
  <c r="LK14" i="3"/>
  <c r="LL14" i="3"/>
  <c r="LM14" i="3"/>
  <c r="LN14" i="3"/>
  <c r="LO14" i="3"/>
  <c r="LP14" i="3"/>
  <c r="LQ14" i="3"/>
  <c r="LR14" i="3"/>
  <c r="LS14" i="3"/>
  <c r="LT14" i="3"/>
  <c r="LU14" i="3"/>
  <c r="LV14" i="3"/>
  <c r="LW14" i="3"/>
  <c r="LX14" i="3"/>
  <c r="LY14" i="3"/>
  <c r="LZ14" i="3"/>
  <c r="MA14" i="3"/>
  <c r="MB14" i="3"/>
  <c r="MC14" i="3"/>
  <c r="MD14" i="3"/>
  <c r="ME14" i="3"/>
  <c r="MF14" i="3"/>
  <c r="MG14" i="3"/>
  <c r="MH14" i="3"/>
  <c r="MI14" i="3"/>
  <c r="MJ14" i="3"/>
  <c r="MK14" i="3"/>
  <c r="ML14" i="3"/>
  <c r="MM14" i="3"/>
  <c r="MN14" i="3"/>
  <c r="MO14" i="3"/>
  <c r="MP14" i="3"/>
  <c r="MQ14" i="3"/>
  <c r="MR14" i="3"/>
  <c r="MS14" i="3"/>
  <c r="MT14" i="3"/>
  <c r="MU14" i="3"/>
  <c r="MV14" i="3"/>
  <c r="MW14" i="3"/>
  <c r="MX14" i="3"/>
  <c r="MY14" i="3"/>
  <c r="MZ14" i="3"/>
  <c r="NA14" i="3"/>
  <c r="NB14" i="3"/>
  <c r="NC14" i="3"/>
  <c r="ND14" i="3"/>
  <c r="NE14" i="3"/>
  <c r="NF14" i="3"/>
  <c r="NG14" i="3"/>
  <c r="NH14" i="3"/>
  <c r="NI14" i="3"/>
  <c r="NJ14" i="3"/>
  <c r="NK14" i="3"/>
  <c r="NL14" i="3"/>
  <c r="NM14" i="3"/>
  <c r="NN14" i="3"/>
  <c r="NO14" i="3"/>
  <c r="NP14" i="3"/>
  <c r="NQ14" i="3"/>
  <c r="NR14" i="3"/>
  <c r="NS14" i="3"/>
  <c r="NT14" i="3"/>
  <c r="NU14" i="3"/>
  <c r="NV14" i="3"/>
  <c r="NW14" i="3"/>
  <c r="NX14" i="3"/>
  <c r="NY14" i="3"/>
  <c r="NZ14" i="3"/>
  <c r="OA14" i="3"/>
  <c r="OB14" i="3"/>
  <c r="OC14" i="3"/>
  <c r="OD14" i="3"/>
  <c r="OE14" i="3"/>
  <c r="OF14" i="3"/>
  <c r="OG14" i="3"/>
  <c r="OH14" i="3"/>
  <c r="OI14" i="3"/>
  <c r="OJ14" i="3"/>
  <c r="OK14" i="3"/>
  <c r="OL14" i="3"/>
  <c r="OM14" i="3"/>
  <c r="ON14" i="3"/>
  <c r="OO14" i="3"/>
  <c r="OP14" i="3"/>
  <c r="OQ14" i="3"/>
  <c r="OR14" i="3"/>
  <c r="OS14" i="3"/>
  <c r="OT14" i="3"/>
  <c r="OU14" i="3"/>
  <c r="OV14" i="3"/>
  <c r="OW14" i="3"/>
  <c r="OX14" i="3"/>
  <c r="OY14" i="3"/>
  <c r="OZ14" i="3"/>
  <c r="PA14" i="3"/>
  <c r="PB14" i="3"/>
  <c r="PC14" i="3"/>
  <c r="PD14" i="3"/>
  <c r="PE14" i="3"/>
  <c r="PF14" i="3"/>
  <c r="PG14" i="3"/>
  <c r="PH14" i="3"/>
  <c r="PI14" i="3"/>
  <c r="PJ14" i="3"/>
  <c r="PK14" i="3"/>
  <c r="PL14" i="3"/>
  <c r="PM14" i="3"/>
  <c r="PN14" i="3"/>
  <c r="PO14" i="3"/>
  <c r="PP14" i="3"/>
  <c r="PQ14" i="3"/>
  <c r="PR14" i="3"/>
  <c r="PS14" i="3"/>
  <c r="PT14" i="3"/>
  <c r="PU14" i="3"/>
  <c r="PV14" i="3"/>
  <c r="PW14" i="3"/>
  <c r="PX14" i="3"/>
  <c r="PY14" i="3"/>
  <c r="PZ14" i="3"/>
  <c r="QA14" i="3"/>
  <c r="QB14" i="3"/>
  <c r="QC14" i="3"/>
  <c r="QD14" i="3"/>
  <c r="QE14" i="3"/>
  <c r="QF14" i="3"/>
  <c r="QG14" i="3"/>
  <c r="QH14" i="3"/>
  <c r="QI14" i="3"/>
  <c r="QJ14" i="3"/>
  <c r="QK14" i="3"/>
  <c r="QL14" i="3"/>
  <c r="QM14" i="3"/>
  <c r="QN14" i="3"/>
  <c r="QO14" i="3"/>
  <c r="QP14" i="3"/>
  <c r="QQ14" i="3"/>
  <c r="QR14" i="3"/>
  <c r="QS14" i="3"/>
  <c r="QT14" i="3"/>
  <c r="QU14" i="3"/>
  <c r="QV14" i="3"/>
  <c r="QW14" i="3"/>
  <c r="QX14" i="3"/>
  <c r="QY14" i="3"/>
  <c r="QZ14" i="3"/>
  <c r="RA14" i="3"/>
  <c r="RB14" i="3"/>
  <c r="RC14" i="3"/>
  <c r="RD14" i="3"/>
  <c r="RE14" i="3"/>
  <c r="RF14" i="3"/>
  <c r="RG14" i="3"/>
  <c r="RH14" i="3"/>
  <c r="RI14" i="3"/>
  <c r="RJ14" i="3"/>
  <c r="RK14" i="3"/>
  <c r="RL14" i="3"/>
  <c r="RM14" i="3"/>
  <c r="RN14" i="3"/>
  <c r="RO14" i="3"/>
  <c r="RP14" i="3"/>
  <c r="RQ14" i="3"/>
  <c r="RR14" i="3"/>
  <c r="RS14" i="3"/>
  <c r="RT14" i="3"/>
  <c r="RU14" i="3"/>
  <c r="RV14" i="3"/>
  <c r="RW14" i="3"/>
  <c r="RX14" i="3"/>
  <c r="RY14" i="3"/>
  <c r="RZ14" i="3"/>
  <c r="SA14" i="3"/>
  <c r="SB14" i="3"/>
  <c r="SC14" i="3"/>
  <c r="SD14" i="3"/>
  <c r="SE14" i="3"/>
  <c r="SF14" i="3"/>
  <c r="SG14" i="3"/>
  <c r="SH14" i="3"/>
  <c r="SI14" i="3"/>
  <c r="SJ14" i="3"/>
  <c r="SK14" i="3"/>
  <c r="SL14" i="3"/>
  <c r="SM14" i="3"/>
  <c r="SN14" i="3"/>
  <c r="SO14" i="3"/>
  <c r="SP14" i="3"/>
  <c r="SQ14" i="3"/>
  <c r="SR14" i="3"/>
  <c r="SS14" i="3"/>
  <c r="ST14" i="3"/>
  <c r="SU14" i="3"/>
  <c r="SV14" i="3"/>
  <c r="SW14" i="3"/>
  <c r="SX14" i="3"/>
  <c r="SY14" i="3"/>
  <c r="SZ14" i="3"/>
  <c r="TA14" i="3"/>
  <c r="TB14" i="3"/>
  <c r="TC14" i="3"/>
  <c r="TD14" i="3"/>
  <c r="TE14" i="3"/>
  <c r="TF14" i="3"/>
  <c r="TG14" i="3"/>
  <c r="TH14" i="3"/>
  <c r="TI14" i="3"/>
  <c r="TJ14" i="3"/>
  <c r="TK14" i="3"/>
  <c r="TL14" i="3"/>
  <c r="TM14" i="3"/>
  <c r="TN14" i="3"/>
  <c r="TO14" i="3"/>
  <c r="TP14" i="3"/>
  <c r="TQ14" i="3"/>
  <c r="TR14" i="3"/>
  <c r="TS14" i="3"/>
  <c r="TT14" i="3"/>
  <c r="TU14" i="3"/>
  <c r="TV14" i="3"/>
  <c r="TW14" i="3"/>
  <c r="TX14" i="3"/>
  <c r="TY14" i="3"/>
  <c r="TZ14" i="3"/>
  <c r="UA14" i="3"/>
  <c r="UB14" i="3"/>
  <c r="UC14" i="3"/>
  <c r="UD14" i="3"/>
  <c r="UE14" i="3"/>
  <c r="UF14" i="3"/>
  <c r="UG14" i="3"/>
  <c r="UH14" i="3"/>
  <c r="UI14" i="3"/>
  <c r="UJ14" i="3"/>
  <c r="UK14" i="3"/>
  <c r="UL14" i="3"/>
  <c r="UM14" i="3"/>
  <c r="UN14" i="3"/>
  <c r="UO14" i="3"/>
  <c r="UP14" i="3"/>
  <c r="UQ14" i="3"/>
  <c r="UR14" i="3"/>
  <c r="US14" i="3"/>
  <c r="UT14" i="3"/>
  <c r="UU14" i="3"/>
  <c r="UV14" i="3"/>
  <c r="UW14" i="3"/>
  <c r="UX14" i="3"/>
  <c r="UY14" i="3"/>
  <c r="UZ14" i="3"/>
  <c r="VA14" i="3"/>
  <c r="VB14" i="3"/>
  <c r="VC14" i="3"/>
  <c r="VD14" i="3"/>
  <c r="VE14" i="3"/>
  <c r="VF14" i="3"/>
  <c r="VG14" i="3"/>
  <c r="VH14" i="3"/>
  <c r="VI14" i="3"/>
  <c r="VJ14" i="3"/>
  <c r="VK14" i="3"/>
  <c r="VL14" i="3"/>
  <c r="VM14" i="3"/>
  <c r="VN14" i="3"/>
  <c r="VO14" i="3"/>
  <c r="VP14" i="3"/>
  <c r="VQ14" i="3"/>
  <c r="VR14" i="3"/>
  <c r="VS14" i="3"/>
  <c r="VT14" i="3"/>
  <c r="VU14" i="3"/>
  <c r="VV14" i="3"/>
  <c r="VW14" i="3"/>
  <c r="VX14" i="3"/>
  <c r="VY14" i="3"/>
  <c r="VZ14" i="3"/>
  <c r="WA14" i="3"/>
  <c r="WB14" i="3"/>
  <c r="WC14" i="3"/>
  <c r="WD14" i="3"/>
  <c r="WE14" i="3"/>
  <c r="WF14" i="3"/>
  <c r="WG14" i="3"/>
  <c r="WH14" i="3"/>
  <c r="WI14" i="3"/>
  <c r="WJ14" i="3"/>
  <c r="WK14" i="3"/>
  <c r="WL14" i="3"/>
  <c r="WM14" i="3"/>
  <c r="WN14" i="3"/>
  <c r="WO14" i="3"/>
  <c r="WP14" i="3"/>
  <c r="WQ14" i="3"/>
  <c r="WR14" i="3"/>
  <c r="WS14" i="3"/>
  <c r="WT14" i="3"/>
  <c r="WU14" i="3"/>
  <c r="WV14" i="3"/>
  <c r="WW14" i="3"/>
  <c r="WX14" i="3"/>
  <c r="WY14" i="3"/>
  <c r="WZ14" i="3"/>
  <c r="XA14" i="3"/>
  <c r="XB14" i="3"/>
  <c r="XC14" i="3"/>
  <c r="XD14" i="3"/>
  <c r="XE14" i="3"/>
  <c r="XF14" i="3"/>
  <c r="XG14" i="3"/>
  <c r="XH14" i="3"/>
  <c r="XI14" i="3"/>
  <c r="XJ14" i="3"/>
  <c r="XK14" i="3"/>
  <c r="XL14" i="3"/>
  <c r="XM14" i="3"/>
  <c r="XN14" i="3"/>
  <c r="XO14" i="3"/>
  <c r="XP14" i="3"/>
  <c r="XQ14" i="3"/>
  <c r="XR14" i="3"/>
  <c r="XS14" i="3"/>
  <c r="XT14" i="3"/>
  <c r="XU14" i="3"/>
  <c r="XV14" i="3"/>
  <c r="XW14" i="3"/>
  <c r="XX14" i="3"/>
  <c r="XY14" i="3"/>
  <c r="XZ14" i="3"/>
  <c r="YA14" i="3"/>
  <c r="YB14" i="3"/>
  <c r="YC14" i="3"/>
  <c r="YD14" i="3"/>
  <c r="YE14" i="3"/>
  <c r="YF14" i="3"/>
  <c r="YG14" i="3"/>
  <c r="YH14" i="3"/>
  <c r="YI14" i="3"/>
  <c r="YJ14" i="3"/>
  <c r="YK14" i="3"/>
  <c r="YL14" i="3"/>
  <c r="YM14" i="3"/>
  <c r="YN14" i="3"/>
  <c r="YO14" i="3"/>
  <c r="YP14" i="3"/>
  <c r="YQ14" i="3"/>
  <c r="YR14" i="3"/>
  <c r="YS14" i="3"/>
  <c r="YT14" i="3"/>
  <c r="YU14" i="3"/>
  <c r="YV14" i="3"/>
  <c r="YW14" i="3"/>
  <c r="YX14" i="3"/>
  <c r="YY14" i="3"/>
  <c r="YZ14" i="3"/>
  <c r="ZA14" i="3"/>
  <c r="ZB14" i="3"/>
  <c r="ZC14" i="3"/>
  <c r="ZD14" i="3"/>
  <c r="ZE14" i="3"/>
  <c r="ZF14" i="3"/>
  <c r="ZG14" i="3"/>
  <c r="ZH14" i="3"/>
  <c r="ZI14" i="3"/>
  <c r="ZJ14" i="3"/>
  <c r="ZK14" i="3"/>
  <c r="ZL14" i="3"/>
  <c r="ZM14" i="3"/>
  <c r="ZN14" i="3"/>
  <c r="ZO14" i="3"/>
  <c r="ZP14" i="3"/>
  <c r="ZQ14" i="3"/>
  <c r="ZR14" i="3"/>
  <c r="ZS14" i="3"/>
  <c r="ZT14" i="3"/>
  <c r="ZU14" i="3"/>
  <c r="ZV14" i="3"/>
  <c r="ZW14" i="3"/>
  <c r="ZX14" i="3"/>
  <c r="ZY14" i="3"/>
  <c r="ZZ14" i="3"/>
  <c r="AAA14" i="3"/>
  <c r="AAB14" i="3"/>
  <c r="AAC14" i="3"/>
  <c r="AAD14" i="3"/>
  <c r="AAE14" i="3"/>
  <c r="AAF14" i="3"/>
  <c r="AAG14" i="3"/>
  <c r="AAH14" i="3"/>
  <c r="AAI14" i="3"/>
  <c r="AAJ14" i="3"/>
  <c r="AAK14" i="3"/>
  <c r="AAL14" i="3"/>
  <c r="AAM14" i="3"/>
  <c r="AAN14" i="3"/>
  <c r="AAO14" i="3"/>
  <c r="AAP14" i="3"/>
  <c r="AAQ14" i="3"/>
  <c r="AAR14" i="3"/>
  <c r="AAS14" i="3"/>
  <c r="AAT14" i="3"/>
  <c r="AAU14" i="3"/>
  <c r="AAV14" i="3"/>
  <c r="AAW14" i="3"/>
  <c r="AAX14" i="3"/>
  <c r="AAY14" i="3"/>
  <c r="AAZ14" i="3"/>
  <c r="ABA14" i="3"/>
  <c r="ABB14" i="3"/>
  <c r="ABC14" i="3"/>
  <c r="ABD14" i="3"/>
  <c r="ABE14" i="3"/>
  <c r="ABF14" i="3"/>
  <c r="ABG14" i="3"/>
  <c r="ABH14" i="3"/>
  <c r="ABI14" i="3"/>
  <c r="ABJ14" i="3"/>
  <c r="ABK14" i="3"/>
  <c r="ABL14" i="3"/>
  <c r="ABM14" i="3"/>
  <c r="ABN14" i="3"/>
  <c r="ABO14" i="3"/>
  <c r="ABP14" i="3"/>
  <c r="ABQ14" i="3"/>
  <c r="ABR14" i="3"/>
  <c r="ABS14" i="3"/>
  <c r="ABT14" i="3"/>
  <c r="ABU14" i="3"/>
  <c r="ABV14" i="3"/>
  <c r="ABW14" i="3"/>
  <c r="ABX14" i="3"/>
  <c r="ABY14" i="3"/>
  <c r="ABZ14" i="3"/>
  <c r="ACA14" i="3"/>
  <c r="ACB14" i="3"/>
  <c r="ACC14" i="3"/>
  <c r="ACD14" i="3"/>
  <c r="ACE14" i="3"/>
  <c r="ACF14" i="3"/>
  <c r="ACG14" i="3"/>
  <c r="ACH14" i="3"/>
  <c r="ACI14" i="3"/>
  <c r="ACJ14" i="3"/>
  <c r="ACK14" i="3"/>
  <c r="ACL14" i="3"/>
  <c r="ACM14" i="3"/>
  <c r="ACN14" i="3"/>
  <c r="ACO14" i="3"/>
  <c r="ACP14" i="3"/>
  <c r="ACQ14" i="3"/>
  <c r="ACR14" i="3"/>
  <c r="ACS14" i="3"/>
  <c r="ACT14" i="3"/>
  <c r="ACU14" i="3"/>
  <c r="ACV14" i="3"/>
  <c r="ACW14" i="3"/>
  <c r="ACX14" i="3"/>
  <c r="ACY14" i="3"/>
  <c r="ACZ14" i="3"/>
  <c r="ADA14" i="3"/>
  <c r="ADB14" i="3"/>
  <c r="ADC14" i="3"/>
  <c r="ADD14" i="3"/>
  <c r="ADE14" i="3"/>
  <c r="ADF14" i="3"/>
  <c r="ADG14" i="3"/>
  <c r="ADH14" i="3"/>
  <c r="ADI14" i="3"/>
  <c r="ADJ14" i="3"/>
  <c r="ADK14" i="3"/>
  <c r="ADL14" i="3"/>
  <c r="ADM14" i="3"/>
  <c r="ADN14" i="3"/>
  <c r="ADO14" i="3"/>
  <c r="ADP14" i="3"/>
  <c r="ADQ14" i="3"/>
  <c r="ADR14" i="3"/>
  <c r="ADS14" i="3"/>
  <c r="ADT14" i="3"/>
  <c r="ADU14" i="3"/>
  <c r="ADV14" i="3"/>
  <c r="ADW14" i="3"/>
  <c r="ADX14" i="3"/>
  <c r="ADY14" i="3"/>
  <c r="ADZ14" i="3"/>
  <c r="AEA14" i="3"/>
  <c r="AEB14" i="3"/>
  <c r="AEC14" i="3"/>
  <c r="AED14" i="3"/>
  <c r="AEE14" i="3"/>
  <c r="AEF14" i="3"/>
  <c r="AEG14" i="3"/>
  <c r="AEH14" i="3"/>
  <c r="AEI14" i="3"/>
  <c r="AEJ14" i="3"/>
  <c r="AEK14" i="3"/>
  <c r="AEL14" i="3"/>
  <c r="AEM14" i="3"/>
  <c r="AEN14" i="3"/>
  <c r="AEO14" i="3"/>
  <c r="AEP14" i="3"/>
  <c r="AEQ14" i="3"/>
  <c r="AER14" i="3"/>
  <c r="AES14" i="3"/>
  <c r="AET14" i="3"/>
  <c r="AEU14" i="3"/>
  <c r="AEV14" i="3"/>
  <c r="AEW14" i="3"/>
  <c r="AEX14" i="3"/>
  <c r="AEY14" i="3"/>
  <c r="AEZ14" i="3"/>
  <c r="AFA14" i="3"/>
  <c r="AFB14" i="3"/>
  <c r="AFC14" i="3"/>
  <c r="AFD14" i="3"/>
  <c r="AFE14" i="3"/>
  <c r="AFF14" i="3"/>
  <c r="AFG14" i="3"/>
  <c r="AFH14" i="3"/>
  <c r="AFI14" i="3"/>
  <c r="AFJ14" i="3"/>
  <c r="AFK14" i="3"/>
  <c r="AFL14" i="3"/>
  <c r="AFM14" i="3"/>
  <c r="AFN14" i="3"/>
  <c r="AFO14" i="3"/>
  <c r="AFP14" i="3"/>
  <c r="AFQ14" i="3"/>
  <c r="AFR14" i="3"/>
  <c r="AFS14" i="3"/>
  <c r="AFT14" i="3"/>
  <c r="AFU14" i="3"/>
  <c r="AFV14" i="3"/>
  <c r="AFW14" i="3"/>
  <c r="AFX14" i="3"/>
  <c r="AFY14" i="3"/>
  <c r="AFZ14" i="3"/>
  <c r="AGA14" i="3"/>
  <c r="AGB14" i="3"/>
  <c r="AGC14" i="3"/>
  <c r="AGD14" i="3"/>
  <c r="AGE14" i="3"/>
  <c r="AGF14" i="3"/>
  <c r="AGG14" i="3"/>
  <c r="AGH14" i="3"/>
  <c r="AGI14" i="3"/>
  <c r="AGJ14" i="3"/>
  <c r="AGK14" i="3"/>
  <c r="AGL14" i="3"/>
  <c r="AGM14" i="3"/>
  <c r="AGN14" i="3"/>
  <c r="AGO14" i="3"/>
  <c r="AGP14" i="3"/>
  <c r="AGQ14" i="3"/>
  <c r="AGR14" i="3"/>
  <c r="AGS14" i="3"/>
  <c r="AGT14" i="3"/>
  <c r="AGU14" i="3"/>
  <c r="AGV14" i="3"/>
  <c r="AGW14" i="3"/>
  <c r="AGX14" i="3"/>
  <c r="AGY14" i="3"/>
  <c r="AGZ14" i="3"/>
  <c r="AHA14" i="3"/>
  <c r="AHB14" i="3"/>
  <c r="AHC14" i="3"/>
  <c r="AHD14" i="3"/>
  <c r="AHE14" i="3"/>
  <c r="AHF14" i="3"/>
  <c r="AHG14" i="3"/>
  <c r="AHH14" i="3"/>
  <c r="AHI14" i="3"/>
  <c r="AHJ14" i="3"/>
  <c r="AHK14" i="3"/>
  <c r="AHL14" i="3"/>
  <c r="AHM14" i="3"/>
  <c r="AHN14" i="3"/>
  <c r="AHO14" i="3"/>
  <c r="AHP14" i="3"/>
  <c r="AHQ14" i="3"/>
  <c r="AHR14" i="3"/>
  <c r="AHS14" i="3"/>
  <c r="AHT14" i="3"/>
  <c r="AHU14" i="3"/>
  <c r="AHV14" i="3"/>
  <c r="AHW14" i="3"/>
  <c r="AHX14" i="3"/>
  <c r="AHY14" i="3"/>
  <c r="AHZ14" i="3"/>
  <c r="AIA14" i="3"/>
  <c r="AIB14" i="3"/>
  <c r="AIC14" i="3"/>
  <c r="AID14" i="3"/>
  <c r="AIE14" i="3"/>
  <c r="AIF14" i="3"/>
  <c r="AIG14" i="3"/>
  <c r="AIH14" i="3"/>
  <c r="AII14" i="3"/>
  <c r="AIJ14" i="3"/>
  <c r="AIK14" i="3"/>
  <c r="AIL14" i="3"/>
  <c r="AIM14" i="3"/>
  <c r="AIN14" i="3"/>
  <c r="AIO14" i="3"/>
  <c r="AIP14" i="3"/>
  <c r="AIQ14" i="3"/>
  <c r="AIR14" i="3"/>
  <c r="AIS14" i="3"/>
  <c r="AIT14" i="3"/>
  <c r="AIU14" i="3"/>
  <c r="AIV14" i="3"/>
  <c r="AIW14" i="3"/>
  <c r="AIX14" i="3"/>
  <c r="AIY14" i="3"/>
  <c r="AIZ14" i="3"/>
  <c r="AJA14" i="3"/>
  <c r="AJB14" i="3"/>
  <c r="AJC14" i="3"/>
  <c r="AJD14" i="3"/>
  <c r="AJE14" i="3"/>
  <c r="AJF14" i="3"/>
  <c r="AJG14" i="3"/>
  <c r="AJH14" i="3"/>
  <c r="AJI14" i="3"/>
  <c r="AJJ14" i="3"/>
  <c r="AJK14" i="3"/>
  <c r="AJL14" i="3"/>
  <c r="AJM14" i="3"/>
  <c r="AJN14" i="3"/>
  <c r="AJO14" i="3"/>
  <c r="AJP14" i="3"/>
  <c r="AJQ14" i="3"/>
  <c r="AJR14" i="3"/>
  <c r="AJS14" i="3"/>
  <c r="AJT14" i="3"/>
  <c r="AJU14" i="3"/>
  <c r="AJV14" i="3"/>
  <c r="AJW14" i="3"/>
  <c r="AJX14" i="3"/>
  <c r="AJY14" i="3"/>
  <c r="AJZ14" i="3"/>
  <c r="AKA14" i="3"/>
  <c r="AKB14" i="3"/>
  <c r="AKC14" i="3"/>
  <c r="AKD14" i="3"/>
  <c r="AKE14" i="3"/>
  <c r="AKF14" i="3"/>
  <c r="AKG14" i="3"/>
  <c r="AKH14" i="3"/>
  <c r="AKI14" i="3"/>
  <c r="AKJ14" i="3"/>
  <c r="AKK14" i="3"/>
  <c r="AKL14" i="3"/>
  <c r="AKM14" i="3"/>
  <c r="AKN14" i="3"/>
  <c r="AKO14" i="3"/>
  <c r="AKP14" i="3"/>
  <c r="AKQ14" i="3"/>
  <c r="AKR14" i="3"/>
  <c r="AKS14" i="3"/>
  <c r="AKT14" i="3"/>
  <c r="AKU14" i="3"/>
  <c r="AKV14" i="3"/>
  <c r="AKW14" i="3"/>
  <c r="AKX14" i="3"/>
  <c r="AKY14" i="3"/>
  <c r="AKZ14" i="3"/>
  <c r="ALA14" i="3"/>
  <c r="ALB14" i="3"/>
  <c r="ALC14" i="3"/>
  <c r="ALD14" i="3"/>
  <c r="ALE14" i="3"/>
  <c r="ALF14" i="3"/>
  <c r="ALG14" i="3"/>
  <c r="ALH14" i="3"/>
  <c r="ALI14" i="3"/>
  <c r="ALJ14" i="3"/>
  <c r="ALK14" i="3"/>
  <c r="ALL14" i="3"/>
  <c r="ALM14" i="3"/>
  <c r="ALN14" i="3"/>
  <c r="ALO14" i="3"/>
  <c r="ALP14" i="3"/>
  <c r="ALQ14" i="3"/>
  <c r="ALR14" i="3"/>
  <c r="ALS14" i="3"/>
  <c r="ALT14" i="3"/>
  <c r="ALU14" i="3"/>
  <c r="ALV14" i="3"/>
  <c r="ALW14" i="3"/>
  <c r="ALX14" i="3"/>
  <c r="ALY14" i="3"/>
  <c r="ALZ14" i="3"/>
  <c r="AMA14" i="3"/>
  <c r="AMB14" i="3"/>
  <c r="AMC14" i="3"/>
  <c r="AMD14" i="3"/>
  <c r="AME14" i="3"/>
  <c r="AMF14" i="3"/>
  <c r="AMG14" i="3"/>
  <c r="AMH14" i="3"/>
  <c r="AMI14" i="3"/>
  <c r="AMJ14" i="3"/>
  <c r="AMK14" i="3"/>
  <c r="AML14" i="3"/>
  <c r="AMM14" i="3"/>
  <c r="AMN14" i="3"/>
  <c r="AMO14" i="3"/>
  <c r="AMP14" i="3"/>
  <c r="AMQ14" i="3"/>
  <c r="AMR14" i="3"/>
  <c r="AMS14" i="3"/>
  <c r="AMT14" i="3"/>
  <c r="AMU14" i="3"/>
  <c r="AMV14" i="3"/>
  <c r="AMW14" i="3"/>
  <c r="AMX14" i="3"/>
  <c r="AMY14" i="3"/>
  <c r="AMZ14" i="3"/>
  <c r="ANA14" i="3"/>
  <c r="ANB14" i="3"/>
  <c r="ANC14" i="3"/>
  <c r="AND14" i="3"/>
  <c r="ANE14" i="3"/>
  <c r="ANF14" i="3"/>
  <c r="ANG14" i="3"/>
  <c r="ANH14" i="3"/>
  <c r="ANI14" i="3"/>
  <c r="ANJ14" i="3"/>
  <c r="ANK14" i="3"/>
  <c r="ANL14" i="3"/>
  <c r="ANM14" i="3"/>
  <c r="ANN14" i="3"/>
  <c r="ANO14" i="3"/>
  <c r="ANP14" i="3"/>
  <c r="ANQ14" i="3"/>
  <c r="ANR14" i="3"/>
  <c r="ANS14" i="3"/>
  <c r="ANT14" i="3"/>
  <c r="ANU14" i="3"/>
  <c r="ANV14" i="3"/>
  <c r="ANW14" i="3"/>
  <c r="ANX14" i="3"/>
  <c r="ANY14" i="3"/>
  <c r="ANZ14" i="3"/>
  <c r="AOA14" i="3"/>
  <c r="AOB14" i="3"/>
  <c r="AOC14" i="3"/>
  <c r="AOD14" i="3"/>
  <c r="AOE14" i="3"/>
  <c r="AOF14" i="3"/>
  <c r="AOG14" i="3"/>
  <c r="AOH14" i="3"/>
  <c r="AOI14" i="3"/>
  <c r="AOJ14" i="3"/>
  <c r="AOK14" i="3"/>
  <c r="AOL14" i="3"/>
  <c r="AOM14" i="3"/>
  <c r="AON14" i="3"/>
  <c r="AOO14" i="3"/>
  <c r="AOP14" i="3"/>
  <c r="AOQ14" i="3"/>
  <c r="AOR14" i="3"/>
  <c r="AOS14" i="3"/>
  <c r="AOT14" i="3"/>
  <c r="AOU14" i="3"/>
  <c r="AOV14" i="3"/>
  <c r="AOW14" i="3"/>
  <c r="AOX14" i="3"/>
  <c r="AOY14" i="3"/>
  <c r="AOZ14" i="3"/>
  <c r="APA14" i="3"/>
  <c r="APB14" i="3"/>
  <c r="APC14" i="3"/>
  <c r="APD14" i="3"/>
  <c r="APE14" i="3"/>
  <c r="APF14" i="3"/>
  <c r="APG14" i="3"/>
  <c r="APH14" i="3"/>
  <c r="API14" i="3"/>
  <c r="APJ14" i="3"/>
  <c r="APK14" i="3"/>
  <c r="APL14" i="3"/>
  <c r="APM14" i="3"/>
  <c r="APN14" i="3"/>
  <c r="APO14" i="3"/>
  <c r="APP14" i="3"/>
  <c r="APQ14" i="3"/>
  <c r="APR14" i="3"/>
  <c r="APS14" i="3"/>
  <c r="APT14" i="3"/>
  <c r="APU14" i="3"/>
  <c r="APV14" i="3"/>
  <c r="APW14" i="3"/>
  <c r="APX14" i="3"/>
  <c r="APY14" i="3"/>
  <c r="APZ14" i="3"/>
  <c r="AQA14" i="3"/>
  <c r="AQB14" i="3"/>
  <c r="AQC14" i="3"/>
  <c r="AQD14" i="3"/>
  <c r="AQE14" i="3"/>
  <c r="AQF14" i="3"/>
  <c r="AQG14" i="3"/>
  <c r="AQH14" i="3"/>
  <c r="AQI14" i="3"/>
  <c r="AQJ14" i="3"/>
  <c r="AQK14" i="3"/>
  <c r="AQL14" i="3"/>
  <c r="AQM14" i="3"/>
  <c r="AQN14" i="3"/>
  <c r="AQO14" i="3"/>
  <c r="AQP14" i="3"/>
  <c r="AQQ14" i="3"/>
  <c r="AQR14" i="3"/>
  <c r="AQS14" i="3"/>
  <c r="AQT14" i="3"/>
  <c r="AQU14" i="3"/>
  <c r="AQV14" i="3"/>
  <c r="AQW14" i="3"/>
  <c r="AQX14" i="3"/>
  <c r="AQY14" i="3"/>
  <c r="AQZ14" i="3"/>
  <c r="ARA14" i="3"/>
  <c r="ARB14" i="3"/>
  <c r="ARC14" i="3"/>
  <c r="ARD14" i="3"/>
  <c r="ARE14" i="3"/>
  <c r="ARF14" i="3"/>
  <c r="ARG14" i="3"/>
  <c r="ARH14" i="3"/>
  <c r="ARI14" i="3"/>
  <c r="ARJ14" i="3"/>
  <c r="ARK14" i="3"/>
  <c r="ARL14" i="3"/>
  <c r="ARM14" i="3"/>
  <c r="ARN14" i="3"/>
  <c r="ARO14" i="3"/>
  <c r="ARP14" i="3"/>
  <c r="ARQ14" i="3"/>
  <c r="ARR14" i="3"/>
  <c r="ARS14" i="3"/>
  <c r="ART14" i="3"/>
  <c r="ARU14" i="3"/>
  <c r="ARV14" i="3"/>
  <c r="ARW14" i="3"/>
  <c r="ARX14" i="3"/>
  <c r="ARY14" i="3"/>
  <c r="ARZ14" i="3"/>
  <c r="ASA14" i="3"/>
  <c r="ASB14" i="3"/>
  <c r="ASC14" i="3"/>
  <c r="ASD14" i="3"/>
  <c r="ASE14" i="3"/>
  <c r="ASF14" i="3"/>
  <c r="ASG14" i="3"/>
  <c r="ASH14" i="3"/>
  <c r="ASI14" i="3"/>
  <c r="ASJ14" i="3"/>
  <c r="ASK14" i="3"/>
  <c r="ASL14" i="3"/>
  <c r="ASM14" i="3"/>
  <c r="ASN14" i="3"/>
  <c r="ASO14" i="3"/>
  <c r="ASP14" i="3"/>
  <c r="ASQ14" i="3"/>
  <c r="ASR14" i="3"/>
  <c r="ASS14" i="3"/>
  <c r="AST14" i="3"/>
  <c r="ASU14" i="3"/>
  <c r="ASV14" i="3"/>
  <c r="ASW14" i="3"/>
  <c r="ASX14" i="3"/>
  <c r="ASY14" i="3"/>
  <c r="ASZ14" i="3"/>
  <c r="ATA14" i="3"/>
  <c r="ATB14" i="3"/>
  <c r="ATC14" i="3"/>
  <c r="ATD14" i="3"/>
  <c r="ATE14" i="3"/>
  <c r="ATF14" i="3"/>
  <c r="ATG14" i="3"/>
  <c r="ATH14" i="3"/>
  <c r="ATI14" i="3"/>
  <c r="ATJ14" i="3"/>
  <c r="ATK14" i="3"/>
  <c r="ATL14" i="3"/>
  <c r="ATM14" i="3"/>
  <c r="ATN14" i="3"/>
  <c r="ATO14" i="3"/>
  <c r="ATP14" i="3"/>
  <c r="ATQ14" i="3"/>
  <c r="ATR14" i="3"/>
  <c r="ATS14" i="3"/>
  <c r="ATT14" i="3"/>
  <c r="ATU14" i="3"/>
  <c r="ATV14" i="3"/>
  <c r="ATW14" i="3"/>
  <c r="ATX14" i="3"/>
  <c r="ATY14" i="3"/>
  <c r="ATZ14" i="3"/>
  <c r="AUA14" i="3"/>
  <c r="AUB14" i="3"/>
  <c r="AUC14" i="3"/>
  <c r="AUD14" i="3"/>
  <c r="AUE14" i="3"/>
  <c r="AUF14" i="3"/>
  <c r="AUG14" i="3"/>
  <c r="AUH14" i="3"/>
  <c r="AUI14" i="3"/>
  <c r="AUJ14" i="3"/>
  <c r="AUK14" i="3"/>
  <c r="AUL14" i="3"/>
  <c r="AUM14" i="3"/>
  <c r="AUN14" i="3"/>
  <c r="AUO14" i="3"/>
  <c r="AUP14" i="3"/>
  <c r="AUQ14" i="3"/>
  <c r="AUR14" i="3"/>
  <c r="AUS14" i="3"/>
  <c r="AUT14" i="3"/>
  <c r="AUU14" i="3"/>
  <c r="AUV14" i="3"/>
  <c r="AUW14" i="3"/>
  <c r="AUX14" i="3"/>
  <c r="AUY14" i="3"/>
  <c r="AUZ14" i="3"/>
  <c r="AVA14" i="3"/>
  <c r="AVB14" i="3"/>
  <c r="AVC14" i="3"/>
  <c r="AVD14" i="3"/>
  <c r="AVE14" i="3"/>
  <c r="AVF14" i="3"/>
  <c r="AVG14" i="3"/>
  <c r="AVH14" i="3"/>
  <c r="AVI14" i="3"/>
  <c r="AVJ14" i="3"/>
  <c r="AVK14" i="3"/>
  <c r="AVL14" i="3"/>
  <c r="AVM14" i="3"/>
  <c r="AVN14" i="3"/>
  <c r="AVO14" i="3"/>
  <c r="AVP14" i="3"/>
  <c r="AVQ14" i="3"/>
  <c r="AVR14" i="3"/>
  <c r="AVS14" i="3"/>
  <c r="AVT14" i="3"/>
  <c r="AVU14" i="3"/>
  <c r="AVV14" i="3"/>
  <c r="AVW14" i="3"/>
  <c r="AVX14" i="3"/>
  <c r="AVY14" i="3"/>
  <c r="AVZ14" i="3"/>
  <c r="AWA14" i="3"/>
  <c r="AWB14" i="3"/>
  <c r="AWC14" i="3"/>
  <c r="AWD14" i="3"/>
  <c r="AWE14" i="3"/>
  <c r="AWF14" i="3"/>
  <c r="AWG14" i="3"/>
  <c r="AWH14" i="3"/>
  <c r="AWI14" i="3"/>
  <c r="AWJ14" i="3"/>
  <c r="AWK14" i="3"/>
  <c r="AWL14" i="3"/>
  <c r="AWM14" i="3"/>
  <c r="AWN14" i="3"/>
  <c r="AWO14" i="3"/>
  <c r="AWP14" i="3"/>
  <c r="AWQ14" i="3"/>
  <c r="AWR14" i="3"/>
  <c r="AWS14" i="3"/>
  <c r="AWT14" i="3"/>
  <c r="AWU14" i="3"/>
  <c r="AWV14" i="3"/>
  <c r="AWW14" i="3"/>
  <c r="AWX14" i="3"/>
  <c r="AWY14" i="3"/>
  <c r="AWZ14" i="3"/>
  <c r="AXA14" i="3"/>
  <c r="AXB14" i="3"/>
  <c r="AXC14" i="3"/>
  <c r="AXD14" i="3"/>
  <c r="AXE14" i="3"/>
  <c r="AXF14" i="3"/>
  <c r="AXG14" i="3"/>
  <c r="AXH14" i="3"/>
  <c r="AXI14" i="3"/>
  <c r="AXJ14" i="3"/>
  <c r="AXK14" i="3"/>
  <c r="AXL14" i="3"/>
  <c r="AXM14" i="3"/>
  <c r="AXN14" i="3"/>
  <c r="AXO14" i="3"/>
  <c r="AXP14" i="3"/>
  <c r="AXQ14" i="3"/>
  <c r="AXR14" i="3"/>
  <c r="AXS14" i="3"/>
  <c r="AXT14" i="3"/>
  <c r="AXU14" i="3"/>
  <c r="AXV14" i="3"/>
  <c r="AXW14" i="3"/>
  <c r="AXX14" i="3"/>
  <c r="AXY14" i="3"/>
  <c r="AXZ14" i="3"/>
  <c r="AYA14" i="3"/>
  <c r="AYB14" i="3"/>
  <c r="AYC14" i="3"/>
  <c r="AYD14" i="3"/>
  <c r="AYE14" i="3"/>
  <c r="AYF14" i="3"/>
  <c r="AYG14" i="3"/>
  <c r="AYH14" i="3"/>
  <c r="AYI14" i="3"/>
  <c r="AYJ14" i="3"/>
  <c r="AYK14" i="3"/>
  <c r="AYL14" i="3"/>
  <c r="AYM14" i="3"/>
  <c r="AYN14" i="3"/>
  <c r="AYO14" i="3"/>
  <c r="AYP14" i="3"/>
  <c r="AYQ14" i="3"/>
  <c r="AYR14" i="3"/>
  <c r="AYS14" i="3"/>
  <c r="AYT14" i="3"/>
  <c r="AYU14" i="3"/>
  <c r="AYV14" i="3"/>
  <c r="AYW14" i="3"/>
  <c r="AYX14" i="3"/>
  <c r="AYY14" i="3"/>
  <c r="AYZ14" i="3"/>
  <c r="AZA14" i="3"/>
  <c r="AZB14" i="3"/>
  <c r="AZC14" i="3"/>
  <c r="AZD14" i="3"/>
  <c r="AZE14" i="3"/>
  <c r="AZF14" i="3"/>
  <c r="AZG14" i="3"/>
  <c r="AZH14" i="3"/>
  <c r="AZI14" i="3"/>
  <c r="AZJ14" i="3"/>
  <c r="AZK14" i="3"/>
  <c r="AZL14" i="3"/>
  <c r="AZM14" i="3"/>
  <c r="AZN14" i="3"/>
  <c r="AZO14" i="3"/>
  <c r="AZP14" i="3"/>
  <c r="AZQ14" i="3"/>
  <c r="AZR14" i="3"/>
  <c r="AZS14" i="3"/>
  <c r="AZT14" i="3"/>
  <c r="AZU14" i="3"/>
  <c r="AZV14" i="3"/>
  <c r="AZW14" i="3"/>
  <c r="AZX14" i="3"/>
  <c r="AZY14" i="3"/>
  <c r="AZZ14" i="3"/>
  <c r="BAA14" i="3"/>
  <c r="BAB14" i="3"/>
  <c r="BAC14" i="3"/>
  <c r="BAD14" i="3"/>
  <c r="BAE14" i="3"/>
  <c r="BAF14" i="3"/>
  <c r="BAG14" i="3"/>
  <c r="BAH14" i="3"/>
  <c r="BAI14" i="3"/>
  <c r="BAJ14" i="3"/>
  <c r="BAK14" i="3"/>
  <c r="BAL14" i="3"/>
  <c r="BAM14" i="3"/>
  <c r="BAN14" i="3"/>
  <c r="BAO14" i="3"/>
  <c r="BAP14" i="3"/>
  <c r="BAQ14" i="3"/>
  <c r="BAR14" i="3"/>
  <c r="BAS14" i="3"/>
  <c r="BAT14" i="3"/>
  <c r="BAU14" i="3"/>
  <c r="BAV14" i="3"/>
  <c r="BAW14" i="3"/>
  <c r="BAX14" i="3"/>
  <c r="BAY14" i="3"/>
  <c r="BAZ14" i="3"/>
  <c r="BBA14" i="3"/>
  <c r="BBB14" i="3"/>
  <c r="BBC14" i="3"/>
  <c r="BBD14" i="3"/>
  <c r="BBE14" i="3"/>
  <c r="BBF14" i="3"/>
  <c r="BBG14" i="3"/>
  <c r="BBH14" i="3"/>
  <c r="BBI14" i="3"/>
  <c r="BBJ14" i="3"/>
  <c r="BBK14" i="3"/>
  <c r="BBL14" i="3"/>
  <c r="BBM14" i="3"/>
  <c r="BBN14" i="3"/>
  <c r="BBO14" i="3"/>
  <c r="BBP14" i="3"/>
  <c r="BBQ14" i="3"/>
  <c r="BBR14" i="3"/>
  <c r="BBS14" i="3"/>
  <c r="BBT14" i="3"/>
  <c r="BBU14" i="3"/>
  <c r="BBV14" i="3"/>
  <c r="BBW14" i="3"/>
  <c r="BBX14" i="3"/>
  <c r="BBY14" i="3"/>
  <c r="BBZ14" i="3"/>
  <c r="BCA14" i="3"/>
  <c r="BCB14" i="3"/>
  <c r="BCC14" i="3"/>
  <c r="BCD14" i="3"/>
  <c r="BCE14" i="3"/>
  <c r="BCF14" i="3"/>
  <c r="BCG14" i="3"/>
  <c r="BCH14" i="3"/>
  <c r="BCI14" i="3"/>
  <c r="BCJ14" i="3"/>
  <c r="BCK14" i="3"/>
  <c r="BCL14" i="3"/>
  <c r="BCM14" i="3"/>
  <c r="BCN14" i="3"/>
  <c r="BCO14" i="3"/>
  <c r="BCP14" i="3"/>
  <c r="BCQ14" i="3"/>
  <c r="BCR14" i="3"/>
  <c r="BCS14" i="3"/>
  <c r="BCT14" i="3"/>
  <c r="BCU14" i="3"/>
  <c r="BCV14" i="3"/>
  <c r="BCW14" i="3"/>
  <c r="BCX14" i="3"/>
  <c r="BCY14" i="3"/>
  <c r="BCZ14" i="3"/>
  <c r="BDA14" i="3"/>
  <c r="BDB14" i="3"/>
  <c r="BDC14" i="3"/>
  <c r="BDD14" i="3"/>
  <c r="BDE14" i="3"/>
  <c r="BDF14" i="3"/>
  <c r="BDG14" i="3"/>
  <c r="BDH14" i="3"/>
  <c r="BDI14" i="3"/>
  <c r="BDJ14" i="3"/>
  <c r="BDK14" i="3"/>
  <c r="BDL14" i="3"/>
  <c r="BDM14" i="3"/>
  <c r="BDN14" i="3"/>
  <c r="BDO14" i="3"/>
  <c r="BDP14" i="3"/>
  <c r="BDQ14" i="3"/>
  <c r="BDR14" i="3"/>
  <c r="BDS14" i="3"/>
  <c r="BDT14" i="3"/>
  <c r="BDU14" i="3"/>
  <c r="BDV14" i="3"/>
  <c r="BDW14" i="3"/>
  <c r="BDX14" i="3"/>
  <c r="BDY14" i="3"/>
  <c r="BDZ14" i="3"/>
  <c r="BEA14" i="3"/>
  <c r="BEB14" i="3"/>
  <c r="BEC14" i="3"/>
  <c r="BED14" i="3"/>
  <c r="BEE14" i="3"/>
  <c r="BEF14" i="3"/>
  <c r="BEG14" i="3"/>
  <c r="BEH14" i="3"/>
  <c r="BEI14" i="3"/>
  <c r="BEJ14" i="3"/>
  <c r="BEK14" i="3"/>
  <c r="BEL14" i="3"/>
  <c r="BEM14" i="3"/>
  <c r="BEN14" i="3"/>
  <c r="BEO14" i="3"/>
  <c r="BEP14" i="3"/>
  <c r="BEQ14" i="3"/>
  <c r="BER14" i="3"/>
  <c r="BES14" i="3"/>
  <c r="BET14" i="3"/>
  <c r="BEU14" i="3"/>
  <c r="BEV14" i="3"/>
  <c r="BEW14" i="3"/>
  <c r="BEX14" i="3"/>
  <c r="BEY14" i="3"/>
  <c r="BEZ14" i="3"/>
  <c r="BFA14" i="3"/>
  <c r="BFB14" i="3"/>
  <c r="BFC14" i="3"/>
  <c r="BFD14" i="3"/>
  <c r="BFE14" i="3"/>
  <c r="BFF14" i="3"/>
  <c r="BFG14" i="3"/>
  <c r="BFH14" i="3"/>
  <c r="BFI14" i="3"/>
  <c r="BFJ14" i="3"/>
  <c r="BFK14" i="3"/>
  <c r="BFL14" i="3"/>
  <c r="BFM14" i="3"/>
  <c r="BFN14" i="3"/>
  <c r="BFO14" i="3"/>
  <c r="BFP14" i="3"/>
  <c r="BFQ14" i="3"/>
  <c r="BFR14" i="3"/>
  <c r="BFS14" i="3"/>
  <c r="BFT14" i="3"/>
  <c r="BFU14" i="3"/>
  <c r="BFV14" i="3"/>
  <c r="BFW14" i="3"/>
  <c r="BFX14" i="3"/>
  <c r="BFY14" i="3"/>
  <c r="BFZ14" i="3"/>
  <c r="BGA14" i="3"/>
  <c r="BGB14" i="3"/>
  <c r="BGC14" i="3"/>
  <c r="BGD14" i="3"/>
  <c r="BGE14" i="3"/>
  <c r="BGF14" i="3"/>
  <c r="BGG14" i="3"/>
  <c r="BGH14" i="3"/>
  <c r="BGI14" i="3"/>
  <c r="BGJ14" i="3"/>
  <c r="BGK14" i="3"/>
  <c r="BGL14" i="3"/>
  <c r="BGM14" i="3"/>
  <c r="BGN14" i="3"/>
  <c r="BGO14" i="3"/>
  <c r="BGP14" i="3"/>
  <c r="BGQ14" i="3"/>
  <c r="BGR14" i="3"/>
  <c r="BGS14" i="3"/>
  <c r="BGT14" i="3"/>
  <c r="BGU14" i="3"/>
  <c r="BGV14" i="3"/>
  <c r="BGW14" i="3"/>
  <c r="BGX14" i="3"/>
  <c r="BGY14" i="3"/>
  <c r="BGZ14" i="3"/>
  <c r="BHA14" i="3"/>
  <c r="BHB14" i="3"/>
  <c r="BHC14" i="3"/>
  <c r="N15" i="3"/>
  <c r="O15" i="3"/>
  <c r="P15" i="3"/>
  <c r="Q15" i="3"/>
  <c r="R15" i="3"/>
  <c r="S15" i="3"/>
  <c r="M19" i="3" s="1" a="1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JP15" i="3"/>
  <c r="JQ15" i="3"/>
  <c r="JR15" i="3"/>
  <c r="JS15" i="3"/>
  <c r="JT15" i="3"/>
  <c r="JU15" i="3"/>
  <c r="JV15" i="3"/>
  <c r="JW15" i="3"/>
  <c r="JX15" i="3"/>
  <c r="JY15" i="3"/>
  <c r="JZ15" i="3"/>
  <c r="KA15" i="3"/>
  <c r="KB15" i="3"/>
  <c r="KC15" i="3"/>
  <c r="KD15" i="3"/>
  <c r="KE15" i="3"/>
  <c r="KF15" i="3"/>
  <c r="KG15" i="3"/>
  <c r="KH15" i="3"/>
  <c r="KI15" i="3"/>
  <c r="KJ15" i="3"/>
  <c r="KK15" i="3"/>
  <c r="KL15" i="3"/>
  <c r="KM15" i="3"/>
  <c r="KN15" i="3"/>
  <c r="KO15" i="3"/>
  <c r="KP15" i="3"/>
  <c r="KQ15" i="3"/>
  <c r="KR15" i="3"/>
  <c r="KS15" i="3"/>
  <c r="KT15" i="3"/>
  <c r="KU15" i="3"/>
  <c r="KV15" i="3"/>
  <c r="KW15" i="3"/>
  <c r="KX15" i="3"/>
  <c r="KY15" i="3"/>
  <c r="KZ15" i="3"/>
  <c r="LA15" i="3"/>
  <c r="LB15" i="3"/>
  <c r="LC15" i="3"/>
  <c r="LD15" i="3"/>
  <c r="LE15" i="3"/>
  <c r="LF15" i="3"/>
  <c r="LG15" i="3"/>
  <c r="LH15" i="3"/>
  <c r="LI15" i="3"/>
  <c r="LJ15" i="3"/>
  <c r="LK15" i="3"/>
  <c r="LL15" i="3"/>
  <c r="LM15" i="3"/>
  <c r="LN15" i="3"/>
  <c r="LO15" i="3"/>
  <c r="LP15" i="3"/>
  <c r="LQ15" i="3"/>
  <c r="LR15" i="3"/>
  <c r="LS15" i="3"/>
  <c r="LT15" i="3"/>
  <c r="LU15" i="3"/>
  <c r="LV15" i="3"/>
  <c r="LW15" i="3"/>
  <c r="LX15" i="3"/>
  <c r="LY15" i="3"/>
  <c r="LZ15" i="3"/>
  <c r="MA15" i="3"/>
  <c r="MB15" i="3"/>
  <c r="MC15" i="3"/>
  <c r="MD15" i="3"/>
  <c r="ME15" i="3"/>
  <c r="MF15" i="3"/>
  <c r="MG15" i="3"/>
  <c r="MH15" i="3"/>
  <c r="MI15" i="3"/>
  <c r="MJ15" i="3"/>
  <c r="MK15" i="3"/>
  <c r="ML15" i="3"/>
  <c r="MM15" i="3"/>
  <c r="MN15" i="3"/>
  <c r="MO15" i="3"/>
  <c r="MP15" i="3"/>
  <c r="MQ15" i="3"/>
  <c r="MR15" i="3"/>
  <c r="MS15" i="3"/>
  <c r="MT15" i="3"/>
  <c r="MU15" i="3"/>
  <c r="MV15" i="3"/>
  <c r="MW15" i="3"/>
  <c r="MX15" i="3"/>
  <c r="MY15" i="3"/>
  <c r="MZ15" i="3"/>
  <c r="NA15" i="3"/>
  <c r="NB15" i="3"/>
  <c r="NC15" i="3"/>
  <c r="ND15" i="3"/>
  <c r="NE15" i="3"/>
  <c r="NF15" i="3"/>
  <c r="NG15" i="3"/>
  <c r="NH15" i="3"/>
  <c r="NI15" i="3"/>
  <c r="NJ15" i="3"/>
  <c r="NK15" i="3"/>
  <c r="NL15" i="3"/>
  <c r="NM15" i="3"/>
  <c r="NN15" i="3"/>
  <c r="NO15" i="3"/>
  <c r="NP15" i="3"/>
  <c r="NQ15" i="3"/>
  <c r="NR15" i="3"/>
  <c r="NS15" i="3"/>
  <c r="NT15" i="3"/>
  <c r="NU15" i="3"/>
  <c r="NV15" i="3"/>
  <c r="NW15" i="3"/>
  <c r="NX15" i="3"/>
  <c r="NY15" i="3"/>
  <c r="NZ15" i="3"/>
  <c r="OA15" i="3"/>
  <c r="OB15" i="3"/>
  <c r="OC15" i="3"/>
  <c r="OD15" i="3"/>
  <c r="OE15" i="3"/>
  <c r="OF15" i="3"/>
  <c r="OG15" i="3"/>
  <c r="OH15" i="3"/>
  <c r="OI15" i="3"/>
  <c r="OJ15" i="3"/>
  <c r="OK15" i="3"/>
  <c r="OL15" i="3"/>
  <c r="OM15" i="3"/>
  <c r="ON15" i="3"/>
  <c r="OO15" i="3"/>
  <c r="OP15" i="3"/>
  <c r="OQ15" i="3"/>
  <c r="OR15" i="3"/>
  <c r="OS15" i="3"/>
  <c r="OT15" i="3"/>
  <c r="OU15" i="3"/>
  <c r="OV15" i="3"/>
  <c r="OW15" i="3"/>
  <c r="OX15" i="3"/>
  <c r="OY15" i="3"/>
  <c r="OZ15" i="3"/>
  <c r="PA15" i="3"/>
  <c r="PB15" i="3"/>
  <c r="PC15" i="3"/>
  <c r="PD15" i="3"/>
  <c r="PE15" i="3"/>
  <c r="PF15" i="3"/>
  <c r="PG15" i="3"/>
  <c r="PH15" i="3"/>
  <c r="PI15" i="3"/>
  <c r="PJ15" i="3"/>
  <c r="PK15" i="3"/>
  <c r="PL15" i="3"/>
  <c r="PM15" i="3"/>
  <c r="PN15" i="3"/>
  <c r="PO15" i="3"/>
  <c r="PP15" i="3"/>
  <c r="PQ15" i="3"/>
  <c r="PR15" i="3"/>
  <c r="PS15" i="3"/>
  <c r="PT15" i="3"/>
  <c r="PU15" i="3"/>
  <c r="PV15" i="3"/>
  <c r="PW15" i="3"/>
  <c r="PX15" i="3"/>
  <c r="PY15" i="3"/>
  <c r="PZ15" i="3"/>
  <c r="QA15" i="3"/>
  <c r="QB15" i="3"/>
  <c r="QC15" i="3"/>
  <c r="QD15" i="3"/>
  <c r="QE15" i="3"/>
  <c r="QF15" i="3"/>
  <c r="QG15" i="3"/>
  <c r="QH15" i="3"/>
  <c r="QI15" i="3"/>
  <c r="QJ15" i="3"/>
  <c r="QK15" i="3"/>
  <c r="QL15" i="3"/>
  <c r="QM15" i="3"/>
  <c r="QN15" i="3"/>
  <c r="QO15" i="3"/>
  <c r="QP15" i="3"/>
  <c r="QQ15" i="3"/>
  <c r="QR15" i="3"/>
  <c r="QS15" i="3"/>
  <c r="QT15" i="3"/>
  <c r="QU15" i="3"/>
  <c r="QV15" i="3"/>
  <c r="QW15" i="3"/>
  <c r="QX15" i="3"/>
  <c r="QY15" i="3"/>
  <c r="QZ15" i="3"/>
  <c r="RA15" i="3"/>
  <c r="RB15" i="3"/>
  <c r="RC15" i="3"/>
  <c r="RD15" i="3"/>
  <c r="RE15" i="3"/>
  <c r="RF15" i="3"/>
  <c r="RG15" i="3"/>
  <c r="RH15" i="3"/>
  <c r="RI15" i="3"/>
  <c r="RJ15" i="3"/>
  <c r="RK15" i="3"/>
  <c r="RL15" i="3"/>
  <c r="RM15" i="3"/>
  <c r="RN15" i="3"/>
  <c r="RO15" i="3"/>
  <c r="RP15" i="3"/>
  <c r="RQ15" i="3"/>
  <c r="RR15" i="3"/>
  <c r="RS15" i="3"/>
  <c r="RT15" i="3"/>
  <c r="RU15" i="3"/>
  <c r="RV15" i="3"/>
  <c r="RW15" i="3"/>
  <c r="RX15" i="3"/>
  <c r="RY15" i="3"/>
  <c r="RZ15" i="3"/>
  <c r="SA15" i="3"/>
  <c r="SB15" i="3"/>
  <c r="SC15" i="3"/>
  <c r="SD15" i="3"/>
  <c r="SE15" i="3"/>
  <c r="SF15" i="3"/>
  <c r="SG15" i="3"/>
  <c r="SH15" i="3"/>
  <c r="SI15" i="3"/>
  <c r="SJ15" i="3"/>
  <c r="SK15" i="3"/>
  <c r="SL15" i="3"/>
  <c r="SM15" i="3"/>
  <c r="SN15" i="3"/>
  <c r="SO15" i="3"/>
  <c r="SP15" i="3"/>
  <c r="SQ15" i="3"/>
  <c r="SR15" i="3"/>
  <c r="SS15" i="3"/>
  <c r="ST15" i="3"/>
  <c r="SU15" i="3"/>
  <c r="SV15" i="3"/>
  <c r="SW15" i="3"/>
  <c r="SX15" i="3"/>
  <c r="SY15" i="3"/>
  <c r="SZ15" i="3"/>
  <c r="TA15" i="3"/>
  <c r="TB15" i="3"/>
  <c r="TC15" i="3"/>
  <c r="TD15" i="3"/>
  <c r="TE15" i="3"/>
  <c r="TF15" i="3"/>
  <c r="TG15" i="3"/>
  <c r="TH15" i="3"/>
  <c r="TI15" i="3"/>
  <c r="TJ15" i="3"/>
  <c r="TK15" i="3"/>
  <c r="TL15" i="3"/>
  <c r="TM15" i="3"/>
  <c r="TN15" i="3"/>
  <c r="TO15" i="3"/>
  <c r="TP15" i="3"/>
  <c r="TQ15" i="3"/>
  <c r="TR15" i="3"/>
  <c r="TS15" i="3"/>
  <c r="TT15" i="3"/>
  <c r="TU15" i="3"/>
  <c r="TV15" i="3"/>
  <c r="TW15" i="3"/>
  <c r="TX15" i="3"/>
  <c r="TY15" i="3"/>
  <c r="TZ15" i="3"/>
  <c r="UA15" i="3"/>
  <c r="UB15" i="3"/>
  <c r="UC15" i="3"/>
  <c r="UD15" i="3"/>
  <c r="UE15" i="3"/>
  <c r="UF15" i="3"/>
  <c r="UG15" i="3"/>
  <c r="UH15" i="3"/>
  <c r="UI15" i="3"/>
  <c r="UJ15" i="3"/>
  <c r="UK15" i="3"/>
  <c r="UL15" i="3"/>
  <c r="UM15" i="3"/>
  <c r="UN15" i="3"/>
  <c r="UO15" i="3"/>
  <c r="UP15" i="3"/>
  <c r="UQ15" i="3"/>
  <c r="UR15" i="3"/>
  <c r="US15" i="3"/>
  <c r="UT15" i="3"/>
  <c r="UU15" i="3"/>
  <c r="UV15" i="3"/>
  <c r="UW15" i="3"/>
  <c r="UX15" i="3"/>
  <c r="UY15" i="3"/>
  <c r="UZ15" i="3"/>
  <c r="VA15" i="3"/>
  <c r="VB15" i="3"/>
  <c r="VC15" i="3"/>
  <c r="VD15" i="3"/>
  <c r="VE15" i="3"/>
  <c r="VF15" i="3"/>
  <c r="VG15" i="3"/>
  <c r="VH15" i="3"/>
  <c r="VI15" i="3"/>
  <c r="VJ15" i="3"/>
  <c r="VK15" i="3"/>
  <c r="VL15" i="3"/>
  <c r="VM15" i="3"/>
  <c r="VN15" i="3"/>
  <c r="VO15" i="3"/>
  <c r="VP15" i="3"/>
  <c r="VQ15" i="3"/>
  <c r="VR15" i="3"/>
  <c r="VS15" i="3"/>
  <c r="VT15" i="3"/>
  <c r="VU15" i="3"/>
  <c r="VV15" i="3"/>
  <c r="VW15" i="3"/>
  <c r="VX15" i="3"/>
  <c r="VY15" i="3"/>
  <c r="VZ15" i="3"/>
  <c r="WA15" i="3"/>
  <c r="WB15" i="3"/>
  <c r="WC15" i="3"/>
  <c r="WD15" i="3"/>
  <c r="WE15" i="3"/>
  <c r="WF15" i="3"/>
  <c r="WG15" i="3"/>
  <c r="WH15" i="3"/>
  <c r="WI15" i="3"/>
  <c r="WJ15" i="3"/>
  <c r="WK15" i="3"/>
  <c r="WL15" i="3"/>
  <c r="WM15" i="3"/>
  <c r="WN15" i="3"/>
  <c r="WO15" i="3"/>
  <c r="WP15" i="3"/>
  <c r="WQ15" i="3"/>
  <c r="WR15" i="3"/>
  <c r="WS15" i="3"/>
  <c r="WT15" i="3"/>
  <c r="WU15" i="3"/>
  <c r="WV15" i="3"/>
  <c r="WW15" i="3"/>
  <c r="WX15" i="3"/>
  <c r="WY15" i="3"/>
  <c r="WZ15" i="3"/>
  <c r="XA15" i="3"/>
  <c r="XB15" i="3"/>
  <c r="XC15" i="3"/>
  <c r="XD15" i="3"/>
  <c r="XE15" i="3"/>
  <c r="XF15" i="3"/>
  <c r="XG15" i="3"/>
  <c r="XH15" i="3"/>
  <c r="XI15" i="3"/>
  <c r="XJ15" i="3"/>
  <c r="XK15" i="3"/>
  <c r="XL15" i="3"/>
  <c r="XM15" i="3"/>
  <c r="XN15" i="3"/>
  <c r="XO15" i="3"/>
  <c r="XP15" i="3"/>
  <c r="XQ15" i="3"/>
  <c r="XR15" i="3"/>
  <c r="XS15" i="3"/>
  <c r="XT15" i="3"/>
  <c r="XU15" i="3"/>
  <c r="XV15" i="3"/>
  <c r="XW15" i="3"/>
  <c r="XX15" i="3"/>
  <c r="XY15" i="3"/>
  <c r="XZ15" i="3"/>
  <c r="YA15" i="3"/>
  <c r="YB15" i="3"/>
  <c r="YC15" i="3"/>
  <c r="YD15" i="3"/>
  <c r="YE15" i="3"/>
  <c r="YF15" i="3"/>
  <c r="YG15" i="3"/>
  <c r="YH15" i="3"/>
  <c r="YI15" i="3"/>
  <c r="YJ15" i="3"/>
  <c r="YK15" i="3"/>
  <c r="YL15" i="3"/>
  <c r="YM15" i="3"/>
  <c r="YN15" i="3"/>
  <c r="YO15" i="3"/>
  <c r="YP15" i="3"/>
  <c r="YQ15" i="3"/>
  <c r="YR15" i="3"/>
  <c r="YS15" i="3"/>
  <c r="YT15" i="3"/>
  <c r="YU15" i="3"/>
  <c r="YV15" i="3"/>
  <c r="YW15" i="3"/>
  <c r="YX15" i="3"/>
  <c r="YY15" i="3"/>
  <c r="YZ15" i="3"/>
  <c r="ZA15" i="3"/>
  <c r="ZB15" i="3"/>
  <c r="ZC15" i="3"/>
  <c r="ZD15" i="3"/>
  <c r="ZE15" i="3"/>
  <c r="ZF15" i="3"/>
  <c r="ZG15" i="3"/>
  <c r="ZH15" i="3"/>
  <c r="ZI15" i="3"/>
  <c r="ZJ15" i="3"/>
  <c r="ZK15" i="3"/>
  <c r="ZL15" i="3"/>
  <c r="ZM15" i="3"/>
  <c r="ZN15" i="3"/>
  <c r="ZO15" i="3"/>
  <c r="ZP15" i="3"/>
  <c r="ZQ15" i="3"/>
  <c r="ZR15" i="3"/>
  <c r="ZS15" i="3"/>
  <c r="ZT15" i="3"/>
  <c r="ZU15" i="3"/>
  <c r="ZV15" i="3"/>
  <c r="ZW15" i="3"/>
  <c r="ZX15" i="3"/>
  <c r="ZY15" i="3"/>
  <c r="ZZ15" i="3"/>
  <c r="AAA15" i="3"/>
  <c r="AAB15" i="3"/>
  <c r="AAC15" i="3"/>
  <c r="AAD15" i="3"/>
  <c r="AAE15" i="3"/>
  <c r="AAF15" i="3"/>
  <c r="AAG15" i="3"/>
  <c r="AAH15" i="3"/>
  <c r="AAI15" i="3"/>
  <c r="AAJ15" i="3"/>
  <c r="AAK15" i="3"/>
  <c r="AAL15" i="3"/>
  <c r="AAM15" i="3"/>
  <c r="AAN15" i="3"/>
  <c r="AAO15" i="3"/>
  <c r="AAP15" i="3"/>
  <c r="AAQ15" i="3"/>
  <c r="AAR15" i="3"/>
  <c r="AAS15" i="3"/>
  <c r="AAT15" i="3"/>
  <c r="AAU15" i="3"/>
  <c r="AAV15" i="3"/>
  <c r="AAW15" i="3"/>
  <c r="AAX15" i="3"/>
  <c r="AAY15" i="3"/>
  <c r="AAZ15" i="3"/>
  <c r="ABA15" i="3"/>
  <c r="ABB15" i="3"/>
  <c r="ABC15" i="3"/>
  <c r="ABD15" i="3"/>
  <c r="ABE15" i="3"/>
  <c r="ABF15" i="3"/>
  <c r="ABG15" i="3"/>
  <c r="ABH15" i="3"/>
  <c r="ABI15" i="3"/>
  <c r="ABJ15" i="3"/>
  <c r="ABK15" i="3"/>
  <c r="ABL15" i="3"/>
  <c r="ABM15" i="3"/>
  <c r="ABN15" i="3"/>
  <c r="ABO15" i="3"/>
  <c r="ABP15" i="3"/>
  <c r="ABQ15" i="3"/>
  <c r="ABR15" i="3"/>
  <c r="ABS15" i="3"/>
  <c r="ABT15" i="3"/>
  <c r="ABU15" i="3"/>
  <c r="ABV15" i="3"/>
  <c r="ABW15" i="3"/>
  <c r="ABX15" i="3"/>
  <c r="ABY15" i="3"/>
  <c r="ABZ15" i="3"/>
  <c r="ACA15" i="3"/>
  <c r="ACB15" i="3"/>
  <c r="ACC15" i="3"/>
  <c r="ACD15" i="3"/>
  <c r="ACE15" i="3"/>
  <c r="ACF15" i="3"/>
  <c r="ACG15" i="3"/>
  <c r="ACH15" i="3"/>
  <c r="ACI15" i="3"/>
  <c r="ACJ15" i="3"/>
  <c r="ACK15" i="3"/>
  <c r="ACL15" i="3"/>
  <c r="ACM15" i="3"/>
  <c r="ACN15" i="3"/>
  <c r="ACO15" i="3"/>
  <c r="ACP15" i="3"/>
  <c r="ACQ15" i="3"/>
  <c r="ACR15" i="3"/>
  <c r="ACS15" i="3"/>
  <c r="ACT15" i="3"/>
  <c r="ACU15" i="3"/>
  <c r="ACV15" i="3"/>
  <c r="ACW15" i="3"/>
  <c r="ACX15" i="3"/>
  <c r="ACY15" i="3"/>
  <c r="ACZ15" i="3"/>
  <c r="ADA15" i="3"/>
  <c r="ADB15" i="3"/>
  <c r="ADC15" i="3"/>
  <c r="ADD15" i="3"/>
  <c r="ADE15" i="3"/>
  <c r="ADF15" i="3"/>
  <c r="ADG15" i="3"/>
  <c r="ADH15" i="3"/>
  <c r="ADI15" i="3"/>
  <c r="ADJ15" i="3"/>
  <c r="ADK15" i="3"/>
  <c r="ADL15" i="3"/>
  <c r="ADM15" i="3"/>
  <c r="ADN15" i="3"/>
  <c r="ADO15" i="3"/>
  <c r="ADP15" i="3"/>
  <c r="ADQ15" i="3"/>
  <c r="ADR15" i="3"/>
  <c r="ADS15" i="3"/>
  <c r="ADT15" i="3"/>
  <c r="ADU15" i="3"/>
  <c r="ADV15" i="3"/>
  <c r="ADW15" i="3"/>
  <c r="ADX15" i="3"/>
  <c r="ADY15" i="3"/>
  <c r="ADZ15" i="3"/>
  <c r="AEA15" i="3"/>
  <c r="AEB15" i="3"/>
  <c r="AEC15" i="3"/>
  <c r="AED15" i="3"/>
  <c r="AEE15" i="3"/>
  <c r="AEF15" i="3"/>
  <c r="AEG15" i="3"/>
  <c r="AEH15" i="3"/>
  <c r="AEI15" i="3"/>
  <c r="AEJ15" i="3"/>
  <c r="AEK15" i="3"/>
  <c r="AEL15" i="3"/>
  <c r="AEM15" i="3"/>
  <c r="AEN15" i="3"/>
  <c r="AEO15" i="3"/>
  <c r="AEP15" i="3"/>
  <c r="AEQ15" i="3"/>
  <c r="AER15" i="3"/>
  <c r="AES15" i="3"/>
  <c r="AET15" i="3"/>
  <c r="AEU15" i="3"/>
  <c r="AEV15" i="3"/>
  <c r="AEW15" i="3"/>
  <c r="AEX15" i="3"/>
  <c r="AEY15" i="3"/>
  <c r="AEZ15" i="3"/>
  <c r="AFA15" i="3"/>
  <c r="AFB15" i="3"/>
  <c r="AFC15" i="3"/>
  <c r="AFD15" i="3"/>
  <c r="AFE15" i="3"/>
  <c r="AFF15" i="3"/>
  <c r="AFG15" i="3"/>
  <c r="AFH15" i="3"/>
  <c r="AFI15" i="3"/>
  <c r="AFJ15" i="3"/>
  <c r="AFK15" i="3"/>
  <c r="AFL15" i="3"/>
  <c r="AFM15" i="3"/>
  <c r="AFN15" i="3"/>
  <c r="AFO15" i="3"/>
  <c r="AFP15" i="3"/>
  <c r="AFQ15" i="3"/>
  <c r="AFR15" i="3"/>
  <c r="AFS15" i="3"/>
  <c r="AFT15" i="3"/>
  <c r="AFU15" i="3"/>
  <c r="AFV15" i="3"/>
  <c r="AFW15" i="3"/>
  <c r="AFX15" i="3"/>
  <c r="AFY15" i="3"/>
  <c r="AFZ15" i="3"/>
  <c r="AGA15" i="3"/>
  <c r="AGB15" i="3"/>
  <c r="AGC15" i="3"/>
  <c r="AGD15" i="3"/>
  <c r="AGE15" i="3"/>
  <c r="AGF15" i="3"/>
  <c r="AGG15" i="3"/>
  <c r="AGH15" i="3"/>
  <c r="AGI15" i="3"/>
  <c r="AGJ15" i="3"/>
  <c r="AGK15" i="3"/>
  <c r="AGL15" i="3"/>
  <c r="AGM15" i="3"/>
  <c r="AGN15" i="3"/>
  <c r="AGO15" i="3"/>
  <c r="AGP15" i="3"/>
  <c r="AGQ15" i="3"/>
  <c r="AGR15" i="3"/>
  <c r="AGS15" i="3"/>
  <c r="AGT15" i="3"/>
  <c r="AGU15" i="3"/>
  <c r="AGV15" i="3"/>
  <c r="AGW15" i="3"/>
  <c r="AGX15" i="3"/>
  <c r="AGY15" i="3"/>
  <c r="AGZ15" i="3"/>
  <c r="AHA15" i="3"/>
  <c r="AHB15" i="3"/>
  <c r="AHC15" i="3"/>
  <c r="AHD15" i="3"/>
  <c r="AHE15" i="3"/>
  <c r="AHF15" i="3"/>
  <c r="AHG15" i="3"/>
  <c r="AHH15" i="3"/>
  <c r="AHI15" i="3"/>
  <c r="AHJ15" i="3"/>
  <c r="AHK15" i="3"/>
  <c r="AHL15" i="3"/>
  <c r="AHM15" i="3"/>
  <c r="AHN15" i="3"/>
  <c r="AHO15" i="3"/>
  <c r="AHP15" i="3"/>
  <c r="AHQ15" i="3"/>
  <c r="AHR15" i="3"/>
  <c r="AHS15" i="3"/>
  <c r="AHT15" i="3"/>
  <c r="AHU15" i="3"/>
  <c r="AHV15" i="3"/>
  <c r="AHW15" i="3"/>
  <c r="AHX15" i="3"/>
  <c r="AHY15" i="3"/>
  <c r="AHZ15" i="3"/>
  <c r="AIA15" i="3"/>
  <c r="AIB15" i="3"/>
  <c r="AIC15" i="3"/>
  <c r="AID15" i="3"/>
  <c r="AIE15" i="3"/>
  <c r="AIF15" i="3"/>
  <c r="AIG15" i="3"/>
  <c r="AIH15" i="3"/>
  <c r="AII15" i="3"/>
  <c r="AIJ15" i="3"/>
  <c r="AIK15" i="3"/>
  <c r="AIL15" i="3"/>
  <c r="AIM15" i="3"/>
  <c r="AIN15" i="3"/>
  <c r="AIO15" i="3"/>
  <c r="AIP15" i="3"/>
  <c r="AIQ15" i="3"/>
  <c r="AIR15" i="3"/>
  <c r="AIS15" i="3"/>
  <c r="AIT15" i="3"/>
  <c r="AIU15" i="3"/>
  <c r="AIV15" i="3"/>
  <c r="AIW15" i="3"/>
  <c r="AIX15" i="3"/>
  <c r="AIY15" i="3"/>
  <c r="AIZ15" i="3"/>
  <c r="AJA15" i="3"/>
  <c r="AJB15" i="3"/>
  <c r="AJC15" i="3"/>
  <c r="AJD15" i="3"/>
  <c r="AJE15" i="3"/>
  <c r="AJF15" i="3"/>
  <c r="AJG15" i="3"/>
  <c r="AJH15" i="3"/>
  <c r="AJI15" i="3"/>
  <c r="AJJ15" i="3"/>
  <c r="AJK15" i="3"/>
  <c r="AJL15" i="3"/>
  <c r="AJM15" i="3"/>
  <c r="AJN15" i="3"/>
  <c r="AJO15" i="3"/>
  <c r="AJP15" i="3"/>
  <c r="AJQ15" i="3"/>
  <c r="AJR15" i="3"/>
  <c r="AJS15" i="3"/>
  <c r="AJT15" i="3"/>
  <c r="AJU15" i="3"/>
  <c r="AJV15" i="3"/>
  <c r="AJW15" i="3"/>
  <c r="AJX15" i="3"/>
  <c r="AJY15" i="3"/>
  <c r="AJZ15" i="3"/>
  <c r="AKA15" i="3"/>
  <c r="AKB15" i="3"/>
  <c r="AKC15" i="3"/>
  <c r="AKD15" i="3"/>
  <c r="AKE15" i="3"/>
  <c r="AKF15" i="3"/>
  <c r="AKG15" i="3"/>
  <c r="AKH15" i="3"/>
  <c r="AKI15" i="3"/>
  <c r="AKJ15" i="3"/>
  <c r="AKK15" i="3"/>
  <c r="AKL15" i="3"/>
  <c r="AKM15" i="3"/>
  <c r="AKN15" i="3"/>
  <c r="AKO15" i="3"/>
  <c r="AKP15" i="3"/>
  <c r="AKQ15" i="3"/>
  <c r="AKR15" i="3"/>
  <c r="AKS15" i="3"/>
  <c r="AKT15" i="3"/>
  <c r="AKU15" i="3"/>
  <c r="AKV15" i="3"/>
  <c r="AKW15" i="3"/>
  <c r="AKX15" i="3"/>
  <c r="AKY15" i="3"/>
  <c r="AKZ15" i="3"/>
  <c r="ALA15" i="3"/>
  <c r="ALB15" i="3"/>
  <c r="ALC15" i="3"/>
  <c r="ALD15" i="3"/>
  <c r="ALE15" i="3"/>
  <c r="ALF15" i="3"/>
  <c r="ALG15" i="3"/>
  <c r="ALH15" i="3"/>
  <c r="ALI15" i="3"/>
  <c r="ALJ15" i="3"/>
  <c r="ALK15" i="3"/>
  <c r="ALL15" i="3"/>
  <c r="ALM15" i="3"/>
  <c r="ALN15" i="3"/>
  <c r="ALO15" i="3"/>
  <c r="ALP15" i="3"/>
  <c r="ALQ15" i="3"/>
  <c r="ALR15" i="3"/>
  <c r="ALS15" i="3"/>
  <c r="ALT15" i="3"/>
  <c r="ALU15" i="3"/>
  <c r="ALV15" i="3"/>
  <c r="ALW15" i="3"/>
  <c r="ALX15" i="3"/>
  <c r="ALY15" i="3"/>
  <c r="ALZ15" i="3"/>
  <c r="AMA15" i="3"/>
  <c r="AMB15" i="3"/>
  <c r="AMC15" i="3"/>
  <c r="AMD15" i="3"/>
  <c r="AME15" i="3"/>
  <c r="AMF15" i="3"/>
  <c r="AMG15" i="3"/>
  <c r="AMH15" i="3"/>
  <c r="AMI15" i="3"/>
  <c r="AMJ15" i="3"/>
  <c r="AMK15" i="3"/>
  <c r="AML15" i="3"/>
  <c r="AMM15" i="3"/>
  <c r="AMN15" i="3"/>
  <c r="AMO15" i="3"/>
  <c r="AMP15" i="3"/>
  <c r="AMQ15" i="3"/>
  <c r="AMR15" i="3"/>
  <c r="AMS15" i="3"/>
  <c r="AMT15" i="3"/>
  <c r="AMU15" i="3"/>
  <c r="AMV15" i="3"/>
  <c r="AMW15" i="3"/>
  <c r="AMX15" i="3"/>
  <c r="AMY15" i="3"/>
  <c r="AMZ15" i="3"/>
  <c r="ANA15" i="3"/>
  <c r="ANB15" i="3"/>
  <c r="ANC15" i="3"/>
  <c r="AND15" i="3"/>
  <c r="ANE15" i="3"/>
  <c r="ANF15" i="3"/>
  <c r="ANG15" i="3"/>
  <c r="ANH15" i="3"/>
  <c r="ANI15" i="3"/>
  <c r="ANJ15" i="3"/>
  <c r="ANK15" i="3"/>
  <c r="ANL15" i="3"/>
  <c r="ANM15" i="3"/>
  <c r="ANN15" i="3"/>
  <c r="ANO15" i="3"/>
  <c r="ANP15" i="3"/>
  <c r="ANQ15" i="3"/>
  <c r="ANR15" i="3"/>
  <c r="ANS15" i="3"/>
  <c r="ANT15" i="3"/>
  <c r="ANU15" i="3"/>
  <c r="ANV15" i="3"/>
  <c r="ANW15" i="3"/>
  <c r="ANX15" i="3"/>
  <c r="ANY15" i="3"/>
  <c r="ANZ15" i="3"/>
  <c r="AOA15" i="3"/>
  <c r="AOB15" i="3"/>
  <c r="AOC15" i="3"/>
  <c r="AOD15" i="3"/>
  <c r="AOE15" i="3"/>
  <c r="AOF15" i="3"/>
  <c r="AOG15" i="3"/>
  <c r="AOH15" i="3"/>
  <c r="AOI15" i="3"/>
  <c r="AOJ15" i="3"/>
  <c r="AOK15" i="3"/>
  <c r="AOL15" i="3"/>
  <c r="AOM15" i="3"/>
  <c r="AON15" i="3"/>
  <c r="AOO15" i="3"/>
  <c r="AOP15" i="3"/>
  <c r="AOQ15" i="3"/>
  <c r="AOR15" i="3"/>
  <c r="AOS15" i="3"/>
  <c r="AOT15" i="3"/>
  <c r="AOU15" i="3"/>
  <c r="AOV15" i="3"/>
  <c r="AOW15" i="3"/>
  <c r="AOX15" i="3"/>
  <c r="AOY15" i="3"/>
  <c r="AOZ15" i="3"/>
  <c r="APA15" i="3"/>
  <c r="APB15" i="3"/>
  <c r="APC15" i="3"/>
  <c r="APD15" i="3"/>
  <c r="APE15" i="3"/>
  <c r="APF15" i="3"/>
  <c r="APG15" i="3"/>
  <c r="APH15" i="3"/>
  <c r="API15" i="3"/>
  <c r="APJ15" i="3"/>
  <c r="APK15" i="3"/>
  <c r="APL15" i="3"/>
  <c r="APM15" i="3"/>
  <c r="APN15" i="3"/>
  <c r="APO15" i="3"/>
  <c r="APP15" i="3"/>
  <c r="APQ15" i="3"/>
  <c r="APR15" i="3"/>
  <c r="APS15" i="3"/>
  <c r="APT15" i="3"/>
  <c r="APU15" i="3"/>
  <c r="APV15" i="3"/>
  <c r="APW15" i="3"/>
  <c r="APX15" i="3"/>
  <c r="APY15" i="3"/>
  <c r="APZ15" i="3"/>
  <c r="AQA15" i="3"/>
  <c r="AQB15" i="3"/>
  <c r="AQC15" i="3"/>
  <c r="AQD15" i="3"/>
  <c r="AQE15" i="3"/>
  <c r="AQF15" i="3"/>
  <c r="AQG15" i="3"/>
  <c r="AQH15" i="3"/>
  <c r="AQI15" i="3"/>
  <c r="AQJ15" i="3"/>
  <c r="AQK15" i="3"/>
  <c r="AQL15" i="3"/>
  <c r="AQM15" i="3"/>
  <c r="AQN15" i="3"/>
  <c r="AQO15" i="3"/>
  <c r="AQP15" i="3"/>
  <c r="AQQ15" i="3"/>
  <c r="AQR15" i="3"/>
  <c r="AQS15" i="3"/>
  <c r="AQT15" i="3"/>
  <c r="AQU15" i="3"/>
  <c r="AQV15" i="3"/>
  <c r="AQW15" i="3"/>
  <c r="AQX15" i="3"/>
  <c r="AQY15" i="3"/>
  <c r="AQZ15" i="3"/>
  <c r="ARA15" i="3"/>
  <c r="ARB15" i="3"/>
  <c r="ARC15" i="3"/>
  <c r="ARD15" i="3"/>
  <c r="ARE15" i="3"/>
  <c r="ARF15" i="3"/>
  <c r="ARG15" i="3"/>
  <c r="ARH15" i="3"/>
  <c r="ARI15" i="3"/>
  <c r="ARJ15" i="3"/>
  <c r="ARK15" i="3"/>
  <c r="ARL15" i="3"/>
  <c r="ARM15" i="3"/>
  <c r="ARN15" i="3"/>
  <c r="ARO15" i="3"/>
  <c r="ARP15" i="3"/>
  <c r="ARQ15" i="3"/>
  <c r="ARR15" i="3"/>
  <c r="ARS15" i="3"/>
  <c r="ART15" i="3"/>
  <c r="ARU15" i="3"/>
  <c r="ARV15" i="3"/>
  <c r="ARW15" i="3"/>
  <c r="ARX15" i="3"/>
  <c r="ARY15" i="3"/>
  <c r="ARZ15" i="3"/>
  <c r="ASA15" i="3"/>
  <c r="ASB15" i="3"/>
  <c r="ASC15" i="3"/>
  <c r="ASD15" i="3"/>
  <c r="ASE15" i="3"/>
  <c r="ASF15" i="3"/>
  <c r="ASG15" i="3"/>
  <c r="ASH15" i="3"/>
  <c r="ASI15" i="3"/>
  <c r="ASJ15" i="3"/>
  <c r="ASK15" i="3"/>
  <c r="ASL15" i="3"/>
  <c r="ASM15" i="3"/>
  <c r="ASN15" i="3"/>
  <c r="ASO15" i="3"/>
  <c r="ASP15" i="3"/>
  <c r="ASQ15" i="3"/>
  <c r="ASR15" i="3"/>
  <c r="ASS15" i="3"/>
  <c r="AST15" i="3"/>
  <c r="ASU15" i="3"/>
  <c r="ASV15" i="3"/>
  <c r="ASW15" i="3"/>
  <c r="ASX15" i="3"/>
  <c r="ASY15" i="3"/>
  <c r="ASZ15" i="3"/>
  <c r="ATA15" i="3"/>
  <c r="ATB15" i="3"/>
  <c r="ATC15" i="3"/>
  <c r="ATD15" i="3"/>
  <c r="ATE15" i="3"/>
  <c r="ATF15" i="3"/>
  <c r="ATG15" i="3"/>
  <c r="ATH15" i="3"/>
  <c r="ATI15" i="3"/>
  <c r="ATJ15" i="3"/>
  <c r="ATK15" i="3"/>
  <c r="ATL15" i="3"/>
  <c r="ATM15" i="3"/>
  <c r="ATN15" i="3"/>
  <c r="ATO15" i="3"/>
  <c r="ATP15" i="3"/>
  <c r="ATQ15" i="3"/>
  <c r="ATR15" i="3"/>
  <c r="ATS15" i="3"/>
  <c r="ATT15" i="3"/>
  <c r="ATU15" i="3"/>
  <c r="ATV15" i="3"/>
  <c r="ATW15" i="3"/>
  <c r="ATX15" i="3"/>
  <c r="ATY15" i="3"/>
  <c r="ATZ15" i="3"/>
  <c r="AUA15" i="3"/>
  <c r="AUB15" i="3"/>
  <c r="AUC15" i="3"/>
  <c r="AUD15" i="3"/>
  <c r="AUE15" i="3"/>
  <c r="AUF15" i="3"/>
  <c r="AUG15" i="3"/>
  <c r="AUH15" i="3"/>
  <c r="AUI15" i="3"/>
  <c r="AUJ15" i="3"/>
  <c r="AUK15" i="3"/>
  <c r="AUL15" i="3"/>
  <c r="AUM15" i="3"/>
  <c r="AUN15" i="3"/>
  <c r="AUO15" i="3"/>
  <c r="AUP15" i="3"/>
  <c r="AUQ15" i="3"/>
  <c r="AUR15" i="3"/>
  <c r="AUS15" i="3"/>
  <c r="AUT15" i="3"/>
  <c r="AUU15" i="3"/>
  <c r="AUV15" i="3"/>
  <c r="AUW15" i="3"/>
  <c r="AUX15" i="3"/>
  <c r="AUY15" i="3"/>
  <c r="AUZ15" i="3"/>
  <c r="AVA15" i="3"/>
  <c r="AVB15" i="3"/>
  <c r="AVC15" i="3"/>
  <c r="AVD15" i="3"/>
  <c r="AVE15" i="3"/>
  <c r="AVF15" i="3"/>
  <c r="AVG15" i="3"/>
  <c r="AVH15" i="3"/>
  <c r="AVI15" i="3"/>
  <c r="AVJ15" i="3"/>
  <c r="AVK15" i="3"/>
  <c r="AVL15" i="3"/>
  <c r="AVM15" i="3"/>
  <c r="AVN15" i="3"/>
  <c r="AVO15" i="3"/>
  <c r="AVP15" i="3"/>
  <c r="AVQ15" i="3"/>
  <c r="AVR15" i="3"/>
  <c r="AVS15" i="3"/>
  <c r="AVT15" i="3"/>
  <c r="AVU15" i="3"/>
  <c r="AVV15" i="3"/>
  <c r="AVW15" i="3"/>
  <c r="AVX15" i="3"/>
  <c r="AVY15" i="3"/>
  <c r="AVZ15" i="3"/>
  <c r="AWA15" i="3"/>
  <c r="AWB15" i="3"/>
  <c r="AWC15" i="3"/>
  <c r="AWD15" i="3"/>
  <c r="AWE15" i="3"/>
  <c r="AWF15" i="3"/>
  <c r="AWG15" i="3"/>
  <c r="AWH15" i="3"/>
  <c r="AWI15" i="3"/>
  <c r="AWJ15" i="3"/>
  <c r="AWK15" i="3"/>
  <c r="AWL15" i="3"/>
  <c r="AWM15" i="3"/>
  <c r="AWN15" i="3"/>
  <c r="AWO15" i="3"/>
  <c r="AWP15" i="3"/>
  <c r="AWQ15" i="3"/>
  <c r="AWR15" i="3"/>
  <c r="AWS15" i="3"/>
  <c r="AWT15" i="3"/>
  <c r="AWU15" i="3"/>
  <c r="AWV15" i="3"/>
  <c r="AWW15" i="3"/>
  <c r="AWX15" i="3"/>
  <c r="AWY15" i="3"/>
  <c r="AWZ15" i="3"/>
  <c r="AXA15" i="3"/>
  <c r="AXB15" i="3"/>
  <c r="AXC15" i="3"/>
  <c r="AXD15" i="3"/>
  <c r="AXE15" i="3"/>
  <c r="AXF15" i="3"/>
  <c r="AXG15" i="3"/>
  <c r="AXH15" i="3"/>
  <c r="AXI15" i="3"/>
  <c r="AXJ15" i="3"/>
  <c r="AXK15" i="3"/>
  <c r="AXL15" i="3"/>
  <c r="AXM15" i="3"/>
  <c r="AXN15" i="3"/>
  <c r="AXO15" i="3"/>
  <c r="AXP15" i="3"/>
  <c r="AXQ15" i="3"/>
  <c r="AXR15" i="3"/>
  <c r="AXS15" i="3"/>
  <c r="AXT15" i="3"/>
  <c r="AXU15" i="3"/>
  <c r="AXV15" i="3"/>
  <c r="AXW15" i="3"/>
  <c r="AXX15" i="3"/>
  <c r="AXY15" i="3"/>
  <c r="AXZ15" i="3"/>
  <c r="AYA15" i="3"/>
  <c r="AYB15" i="3"/>
  <c r="AYC15" i="3"/>
  <c r="AYD15" i="3"/>
  <c r="AYE15" i="3"/>
  <c r="AYF15" i="3"/>
  <c r="AYG15" i="3"/>
  <c r="AYH15" i="3"/>
  <c r="AYI15" i="3"/>
  <c r="AYJ15" i="3"/>
  <c r="AYK15" i="3"/>
  <c r="AYL15" i="3"/>
  <c r="AYM15" i="3"/>
  <c r="AYN15" i="3"/>
  <c r="AYO15" i="3"/>
  <c r="AYP15" i="3"/>
  <c r="AYQ15" i="3"/>
  <c r="AYR15" i="3"/>
  <c r="AYS15" i="3"/>
  <c r="AYT15" i="3"/>
  <c r="AYU15" i="3"/>
  <c r="AYV15" i="3"/>
  <c r="AYW15" i="3"/>
  <c r="AYX15" i="3"/>
  <c r="AYY15" i="3"/>
  <c r="AYZ15" i="3"/>
  <c r="AZA15" i="3"/>
  <c r="AZB15" i="3"/>
  <c r="AZC15" i="3"/>
  <c r="AZD15" i="3"/>
  <c r="AZE15" i="3"/>
  <c r="AZF15" i="3"/>
  <c r="AZG15" i="3"/>
  <c r="AZH15" i="3"/>
  <c r="AZI15" i="3"/>
  <c r="AZJ15" i="3"/>
  <c r="AZK15" i="3"/>
  <c r="AZL15" i="3"/>
  <c r="AZM15" i="3"/>
  <c r="AZN15" i="3"/>
  <c r="AZO15" i="3"/>
  <c r="AZP15" i="3"/>
  <c r="AZQ15" i="3"/>
  <c r="AZR15" i="3"/>
  <c r="AZS15" i="3"/>
  <c r="AZT15" i="3"/>
  <c r="AZU15" i="3"/>
  <c r="AZV15" i="3"/>
  <c r="AZW15" i="3"/>
  <c r="AZX15" i="3"/>
  <c r="AZY15" i="3"/>
  <c r="AZZ15" i="3"/>
  <c r="BAA15" i="3"/>
  <c r="BAB15" i="3"/>
  <c r="BAC15" i="3"/>
  <c r="BAD15" i="3"/>
  <c r="BAE15" i="3"/>
  <c r="BAF15" i="3"/>
  <c r="BAG15" i="3"/>
  <c r="BAH15" i="3"/>
  <c r="BAI15" i="3"/>
  <c r="BAJ15" i="3"/>
  <c r="BAK15" i="3"/>
  <c r="BAL15" i="3"/>
  <c r="BAM15" i="3"/>
  <c r="BAN15" i="3"/>
  <c r="BAO15" i="3"/>
  <c r="BAP15" i="3"/>
  <c r="BAQ15" i="3"/>
  <c r="BAR15" i="3"/>
  <c r="BAS15" i="3"/>
  <c r="BAT15" i="3"/>
  <c r="BAU15" i="3"/>
  <c r="BAV15" i="3"/>
  <c r="BAW15" i="3"/>
  <c r="BAX15" i="3"/>
  <c r="BAY15" i="3"/>
  <c r="BAZ15" i="3"/>
  <c r="BBA15" i="3"/>
  <c r="BBB15" i="3"/>
  <c r="BBC15" i="3"/>
  <c r="BBD15" i="3"/>
  <c r="BBE15" i="3"/>
  <c r="BBF15" i="3"/>
  <c r="BBG15" i="3"/>
  <c r="BBH15" i="3"/>
  <c r="BBI15" i="3"/>
  <c r="BBJ15" i="3"/>
  <c r="BBK15" i="3"/>
  <c r="BBL15" i="3"/>
  <c r="BBM15" i="3"/>
  <c r="BBN15" i="3"/>
  <c r="BBO15" i="3"/>
  <c r="BBP15" i="3"/>
  <c r="BBQ15" i="3"/>
  <c r="BBR15" i="3"/>
  <c r="BBS15" i="3"/>
  <c r="BBT15" i="3"/>
  <c r="BBU15" i="3"/>
  <c r="BBV15" i="3"/>
  <c r="BBW15" i="3"/>
  <c r="BBX15" i="3"/>
  <c r="BBY15" i="3"/>
  <c r="BBZ15" i="3"/>
  <c r="BCA15" i="3"/>
  <c r="BCB15" i="3"/>
  <c r="BCC15" i="3"/>
  <c r="BCD15" i="3"/>
  <c r="BCE15" i="3"/>
  <c r="BCF15" i="3"/>
  <c r="BCG15" i="3"/>
  <c r="BCH15" i="3"/>
  <c r="BCI15" i="3"/>
  <c r="BCJ15" i="3"/>
  <c r="BCK15" i="3"/>
  <c r="BCL15" i="3"/>
  <c r="BCM15" i="3"/>
  <c r="BCN15" i="3"/>
  <c r="BCO15" i="3"/>
  <c r="BCP15" i="3"/>
  <c r="BCQ15" i="3"/>
  <c r="BCR15" i="3"/>
  <c r="BCS15" i="3"/>
  <c r="BCT15" i="3"/>
  <c r="BCU15" i="3"/>
  <c r="BCV15" i="3"/>
  <c r="BCW15" i="3"/>
  <c r="BCX15" i="3"/>
  <c r="BCY15" i="3"/>
  <c r="BCZ15" i="3"/>
  <c r="BDA15" i="3"/>
  <c r="BDB15" i="3"/>
  <c r="BDC15" i="3"/>
  <c r="BDD15" i="3"/>
  <c r="BDE15" i="3"/>
  <c r="BDF15" i="3"/>
  <c r="BDG15" i="3"/>
  <c r="BDH15" i="3"/>
  <c r="BDI15" i="3"/>
  <c r="BDJ15" i="3"/>
  <c r="BDK15" i="3"/>
  <c r="BDL15" i="3"/>
  <c r="BDM15" i="3"/>
  <c r="BDN15" i="3"/>
  <c r="BDO15" i="3"/>
  <c r="BDP15" i="3"/>
  <c r="BDQ15" i="3"/>
  <c r="BDR15" i="3"/>
  <c r="BDS15" i="3"/>
  <c r="BDT15" i="3"/>
  <c r="BDU15" i="3"/>
  <c r="BDV15" i="3"/>
  <c r="BDW15" i="3"/>
  <c r="BDX15" i="3"/>
  <c r="BDY15" i="3"/>
  <c r="BDZ15" i="3"/>
  <c r="BEA15" i="3"/>
  <c r="BEB15" i="3"/>
  <c r="BEC15" i="3"/>
  <c r="BED15" i="3"/>
  <c r="BEE15" i="3"/>
  <c r="BEF15" i="3"/>
  <c r="BEG15" i="3"/>
  <c r="BEH15" i="3"/>
  <c r="BEI15" i="3"/>
  <c r="BEJ15" i="3"/>
  <c r="BEK15" i="3"/>
  <c r="BEL15" i="3"/>
  <c r="BEM15" i="3"/>
  <c r="BEN15" i="3"/>
  <c r="BEO15" i="3"/>
  <c r="BEP15" i="3"/>
  <c r="BEQ15" i="3"/>
  <c r="BER15" i="3"/>
  <c r="BES15" i="3"/>
  <c r="BET15" i="3"/>
  <c r="BEU15" i="3"/>
  <c r="BEV15" i="3"/>
  <c r="BEW15" i="3"/>
  <c r="BEX15" i="3"/>
  <c r="BEY15" i="3"/>
  <c r="BEZ15" i="3"/>
  <c r="BFA15" i="3"/>
  <c r="BFB15" i="3"/>
  <c r="BFC15" i="3"/>
  <c r="BFD15" i="3"/>
  <c r="BFE15" i="3"/>
  <c r="BFF15" i="3"/>
  <c r="BFG15" i="3"/>
  <c r="BFH15" i="3"/>
  <c r="BFI15" i="3"/>
  <c r="BFJ15" i="3"/>
  <c r="BFK15" i="3"/>
  <c r="BFL15" i="3"/>
  <c r="BFM15" i="3"/>
  <c r="BFN15" i="3"/>
  <c r="BFO15" i="3"/>
  <c r="BFP15" i="3"/>
  <c r="BFQ15" i="3"/>
  <c r="BFR15" i="3"/>
  <c r="BFS15" i="3"/>
  <c r="BFT15" i="3"/>
  <c r="BFU15" i="3"/>
  <c r="BFV15" i="3"/>
  <c r="BFW15" i="3"/>
  <c r="BFX15" i="3"/>
  <c r="BFY15" i="3"/>
  <c r="BFZ15" i="3"/>
  <c r="BGA15" i="3"/>
  <c r="BGB15" i="3"/>
  <c r="BGC15" i="3"/>
  <c r="BGD15" i="3"/>
  <c r="BGE15" i="3"/>
  <c r="BGF15" i="3"/>
  <c r="BGG15" i="3"/>
  <c r="BGH15" i="3"/>
  <c r="BGI15" i="3"/>
  <c r="BGJ15" i="3"/>
  <c r="BGK15" i="3"/>
  <c r="BGL15" i="3"/>
  <c r="BGM15" i="3"/>
  <c r="BGN15" i="3"/>
  <c r="BGO15" i="3"/>
  <c r="BGP15" i="3"/>
  <c r="BGQ15" i="3"/>
  <c r="BGR15" i="3"/>
  <c r="BGS15" i="3"/>
  <c r="BGT15" i="3"/>
  <c r="BGU15" i="3"/>
  <c r="BGV15" i="3"/>
  <c r="BGW15" i="3"/>
  <c r="BGX15" i="3"/>
  <c r="BGY15" i="3"/>
  <c r="BGZ15" i="3"/>
  <c r="BHA15" i="3"/>
  <c r="BHB15" i="3"/>
  <c r="BHC15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JP16" i="3"/>
  <c r="JQ16" i="3"/>
  <c r="JR16" i="3"/>
  <c r="JS16" i="3"/>
  <c r="JT16" i="3"/>
  <c r="JU16" i="3"/>
  <c r="JV16" i="3"/>
  <c r="JW16" i="3"/>
  <c r="JX16" i="3"/>
  <c r="JY16" i="3"/>
  <c r="JZ16" i="3"/>
  <c r="KA16" i="3"/>
  <c r="KB16" i="3"/>
  <c r="KC16" i="3"/>
  <c r="KD16" i="3"/>
  <c r="KE16" i="3"/>
  <c r="KF16" i="3"/>
  <c r="KG16" i="3"/>
  <c r="KH16" i="3"/>
  <c r="KI16" i="3"/>
  <c r="KJ16" i="3"/>
  <c r="KK16" i="3"/>
  <c r="KL16" i="3"/>
  <c r="KM16" i="3"/>
  <c r="KN16" i="3"/>
  <c r="KO16" i="3"/>
  <c r="KP16" i="3"/>
  <c r="KQ16" i="3"/>
  <c r="KR16" i="3"/>
  <c r="KS16" i="3"/>
  <c r="KT16" i="3"/>
  <c r="KU16" i="3"/>
  <c r="KV16" i="3"/>
  <c r="KW16" i="3"/>
  <c r="KX16" i="3"/>
  <c r="KY16" i="3"/>
  <c r="KZ16" i="3"/>
  <c r="LA16" i="3"/>
  <c r="LB16" i="3"/>
  <c r="LC16" i="3"/>
  <c r="LD16" i="3"/>
  <c r="LE16" i="3"/>
  <c r="LF16" i="3"/>
  <c r="LG16" i="3"/>
  <c r="LH16" i="3"/>
  <c r="LI16" i="3"/>
  <c r="LJ16" i="3"/>
  <c r="LK16" i="3"/>
  <c r="LL16" i="3"/>
  <c r="LM16" i="3"/>
  <c r="LN16" i="3"/>
  <c r="LO16" i="3"/>
  <c r="LP16" i="3"/>
  <c r="LQ16" i="3"/>
  <c r="LR16" i="3"/>
  <c r="LS16" i="3"/>
  <c r="LT16" i="3"/>
  <c r="LU16" i="3"/>
  <c r="LV16" i="3"/>
  <c r="LW16" i="3"/>
  <c r="LX16" i="3"/>
  <c r="LY16" i="3"/>
  <c r="LZ16" i="3"/>
  <c r="MA16" i="3"/>
  <c r="MB16" i="3"/>
  <c r="MC16" i="3"/>
  <c r="MD16" i="3"/>
  <c r="ME16" i="3"/>
  <c r="MF16" i="3"/>
  <c r="MG16" i="3"/>
  <c r="MH16" i="3"/>
  <c r="MI16" i="3"/>
  <c r="MJ16" i="3"/>
  <c r="MK16" i="3"/>
  <c r="ML16" i="3"/>
  <c r="MM16" i="3"/>
  <c r="MN16" i="3"/>
  <c r="MO16" i="3"/>
  <c r="MP16" i="3"/>
  <c r="MQ16" i="3"/>
  <c r="MR16" i="3"/>
  <c r="MS16" i="3"/>
  <c r="MT16" i="3"/>
  <c r="MU16" i="3"/>
  <c r="MV16" i="3"/>
  <c r="MW16" i="3"/>
  <c r="MX16" i="3"/>
  <c r="MY16" i="3"/>
  <c r="MZ16" i="3"/>
  <c r="NA16" i="3"/>
  <c r="NB16" i="3"/>
  <c r="NC16" i="3"/>
  <c r="ND16" i="3"/>
  <c r="NE16" i="3"/>
  <c r="NF16" i="3"/>
  <c r="NG16" i="3"/>
  <c r="NH16" i="3"/>
  <c r="NI16" i="3"/>
  <c r="NJ16" i="3"/>
  <c r="NK16" i="3"/>
  <c r="NL16" i="3"/>
  <c r="NM16" i="3"/>
  <c r="NN16" i="3"/>
  <c r="NO16" i="3"/>
  <c r="NP16" i="3"/>
  <c r="NQ16" i="3"/>
  <c r="NR16" i="3"/>
  <c r="NS16" i="3"/>
  <c r="NT16" i="3"/>
  <c r="NU16" i="3"/>
  <c r="NV16" i="3"/>
  <c r="NW16" i="3"/>
  <c r="NX16" i="3"/>
  <c r="NY16" i="3"/>
  <c r="NZ16" i="3"/>
  <c r="OA16" i="3"/>
  <c r="OB16" i="3"/>
  <c r="OC16" i="3"/>
  <c r="OD16" i="3"/>
  <c r="OE16" i="3"/>
  <c r="OF16" i="3"/>
  <c r="OG16" i="3"/>
  <c r="OH16" i="3"/>
  <c r="OI16" i="3"/>
  <c r="OJ16" i="3"/>
  <c r="OK16" i="3"/>
  <c r="OL16" i="3"/>
  <c r="OM16" i="3"/>
  <c r="ON16" i="3"/>
  <c r="OO16" i="3"/>
  <c r="OP16" i="3"/>
  <c r="OQ16" i="3"/>
  <c r="OR16" i="3"/>
  <c r="OS16" i="3"/>
  <c r="OT16" i="3"/>
  <c r="OU16" i="3"/>
  <c r="OV16" i="3"/>
  <c r="OW16" i="3"/>
  <c r="OX16" i="3"/>
  <c r="OY16" i="3"/>
  <c r="OZ16" i="3"/>
  <c r="PA16" i="3"/>
  <c r="PB16" i="3"/>
  <c r="PC16" i="3"/>
  <c r="PD16" i="3"/>
  <c r="PE16" i="3"/>
  <c r="PF16" i="3"/>
  <c r="PG16" i="3"/>
  <c r="PH16" i="3"/>
  <c r="PI16" i="3"/>
  <c r="PJ16" i="3"/>
  <c r="PK16" i="3"/>
  <c r="PL16" i="3"/>
  <c r="PM16" i="3"/>
  <c r="PN16" i="3"/>
  <c r="PO16" i="3"/>
  <c r="PP16" i="3"/>
  <c r="PQ16" i="3"/>
  <c r="PR16" i="3"/>
  <c r="PS16" i="3"/>
  <c r="PT16" i="3"/>
  <c r="PU16" i="3"/>
  <c r="PV16" i="3"/>
  <c r="PW16" i="3"/>
  <c r="PX16" i="3"/>
  <c r="PY16" i="3"/>
  <c r="PZ16" i="3"/>
  <c r="QA16" i="3"/>
  <c r="QB16" i="3"/>
  <c r="QC16" i="3"/>
  <c r="QD16" i="3"/>
  <c r="QE16" i="3"/>
  <c r="QF16" i="3"/>
  <c r="QG16" i="3"/>
  <c r="QH16" i="3"/>
  <c r="QI16" i="3"/>
  <c r="QJ16" i="3"/>
  <c r="QK16" i="3"/>
  <c r="QL16" i="3"/>
  <c r="QM16" i="3"/>
  <c r="QN16" i="3"/>
  <c r="QO16" i="3"/>
  <c r="QP16" i="3"/>
  <c r="QQ16" i="3"/>
  <c r="QR16" i="3"/>
  <c r="QS16" i="3"/>
  <c r="QT16" i="3"/>
  <c r="QU16" i="3"/>
  <c r="QV16" i="3"/>
  <c r="QW16" i="3"/>
  <c r="QX16" i="3"/>
  <c r="QY16" i="3"/>
  <c r="QZ16" i="3"/>
  <c r="RA16" i="3"/>
  <c r="RB16" i="3"/>
  <c r="RC16" i="3"/>
  <c r="RD16" i="3"/>
  <c r="RE16" i="3"/>
  <c r="RF16" i="3"/>
  <c r="RG16" i="3"/>
  <c r="RH16" i="3"/>
  <c r="RI16" i="3"/>
  <c r="RJ16" i="3"/>
  <c r="RK16" i="3"/>
  <c r="RL16" i="3"/>
  <c r="RM16" i="3"/>
  <c r="RN16" i="3"/>
  <c r="RO16" i="3"/>
  <c r="RP16" i="3"/>
  <c r="RQ16" i="3"/>
  <c r="RR16" i="3"/>
  <c r="RS16" i="3"/>
  <c r="RT16" i="3"/>
  <c r="RU16" i="3"/>
  <c r="RV16" i="3"/>
  <c r="RW16" i="3"/>
  <c r="RX16" i="3"/>
  <c r="RY16" i="3"/>
  <c r="RZ16" i="3"/>
  <c r="SA16" i="3"/>
  <c r="SB16" i="3"/>
  <c r="SC16" i="3"/>
  <c r="SD16" i="3"/>
  <c r="SE16" i="3"/>
  <c r="SF16" i="3"/>
  <c r="SG16" i="3"/>
  <c r="SH16" i="3"/>
  <c r="SI16" i="3"/>
  <c r="SJ16" i="3"/>
  <c r="SK16" i="3"/>
  <c r="SL16" i="3"/>
  <c r="SM16" i="3"/>
  <c r="SN16" i="3"/>
  <c r="SO16" i="3"/>
  <c r="SP16" i="3"/>
  <c r="SQ16" i="3"/>
  <c r="SR16" i="3"/>
  <c r="SS16" i="3"/>
  <c r="ST16" i="3"/>
  <c r="SU16" i="3"/>
  <c r="SV16" i="3"/>
  <c r="SW16" i="3"/>
  <c r="SX16" i="3"/>
  <c r="SY16" i="3"/>
  <c r="SZ16" i="3"/>
  <c r="TA16" i="3"/>
  <c r="TB16" i="3"/>
  <c r="TC16" i="3"/>
  <c r="TD16" i="3"/>
  <c r="TE16" i="3"/>
  <c r="TF16" i="3"/>
  <c r="TG16" i="3"/>
  <c r="TH16" i="3"/>
  <c r="TI16" i="3"/>
  <c r="TJ16" i="3"/>
  <c r="TK16" i="3"/>
  <c r="TL16" i="3"/>
  <c r="TM16" i="3"/>
  <c r="TN16" i="3"/>
  <c r="TO16" i="3"/>
  <c r="TP16" i="3"/>
  <c r="TQ16" i="3"/>
  <c r="TR16" i="3"/>
  <c r="TS16" i="3"/>
  <c r="TT16" i="3"/>
  <c r="TU16" i="3"/>
  <c r="TV16" i="3"/>
  <c r="TW16" i="3"/>
  <c r="TX16" i="3"/>
  <c r="TY16" i="3"/>
  <c r="TZ16" i="3"/>
  <c r="UA16" i="3"/>
  <c r="UB16" i="3"/>
  <c r="UC16" i="3"/>
  <c r="UD16" i="3"/>
  <c r="UE16" i="3"/>
  <c r="UF16" i="3"/>
  <c r="UG16" i="3"/>
  <c r="UH16" i="3"/>
  <c r="UI16" i="3"/>
  <c r="UJ16" i="3"/>
  <c r="UK16" i="3"/>
  <c r="UL16" i="3"/>
  <c r="UM16" i="3"/>
  <c r="UN16" i="3"/>
  <c r="UO16" i="3"/>
  <c r="UP16" i="3"/>
  <c r="UQ16" i="3"/>
  <c r="UR16" i="3"/>
  <c r="US16" i="3"/>
  <c r="UT16" i="3"/>
  <c r="UU16" i="3"/>
  <c r="UV16" i="3"/>
  <c r="UW16" i="3"/>
  <c r="UX16" i="3"/>
  <c r="UY16" i="3"/>
  <c r="UZ16" i="3"/>
  <c r="VA16" i="3"/>
  <c r="VB16" i="3"/>
  <c r="VC16" i="3"/>
  <c r="VD16" i="3"/>
  <c r="VE16" i="3"/>
  <c r="VF16" i="3"/>
  <c r="VG16" i="3"/>
  <c r="VH16" i="3"/>
  <c r="VI16" i="3"/>
  <c r="VJ16" i="3"/>
  <c r="VK16" i="3"/>
  <c r="VL16" i="3"/>
  <c r="VM16" i="3"/>
  <c r="VN16" i="3"/>
  <c r="VO16" i="3"/>
  <c r="VP16" i="3"/>
  <c r="VQ16" i="3"/>
  <c r="VR16" i="3"/>
  <c r="VS16" i="3"/>
  <c r="VT16" i="3"/>
  <c r="VU16" i="3"/>
  <c r="VV16" i="3"/>
  <c r="VW16" i="3"/>
  <c r="VX16" i="3"/>
  <c r="VY16" i="3"/>
  <c r="VZ16" i="3"/>
  <c r="WA16" i="3"/>
  <c r="WB16" i="3"/>
  <c r="WC16" i="3"/>
  <c r="WD16" i="3"/>
  <c r="WE16" i="3"/>
  <c r="WF16" i="3"/>
  <c r="WG16" i="3"/>
  <c r="WH16" i="3"/>
  <c r="WI16" i="3"/>
  <c r="WJ16" i="3"/>
  <c r="WK16" i="3"/>
  <c r="WL16" i="3"/>
  <c r="WM16" i="3"/>
  <c r="WN16" i="3"/>
  <c r="WO16" i="3"/>
  <c r="WP16" i="3"/>
  <c r="WQ16" i="3"/>
  <c r="WR16" i="3"/>
  <c r="WS16" i="3"/>
  <c r="WT16" i="3"/>
  <c r="WU16" i="3"/>
  <c r="WV16" i="3"/>
  <c r="WW16" i="3"/>
  <c r="WX16" i="3"/>
  <c r="WY16" i="3"/>
  <c r="WZ16" i="3"/>
  <c r="XA16" i="3"/>
  <c r="XB16" i="3"/>
  <c r="XC16" i="3"/>
  <c r="XD16" i="3"/>
  <c r="XE16" i="3"/>
  <c r="XF16" i="3"/>
  <c r="XG16" i="3"/>
  <c r="XH16" i="3"/>
  <c r="XI16" i="3"/>
  <c r="XJ16" i="3"/>
  <c r="XK16" i="3"/>
  <c r="XL16" i="3"/>
  <c r="XM16" i="3"/>
  <c r="XN16" i="3"/>
  <c r="XO16" i="3"/>
  <c r="XP16" i="3"/>
  <c r="XQ16" i="3"/>
  <c r="XR16" i="3"/>
  <c r="XS16" i="3"/>
  <c r="XT16" i="3"/>
  <c r="XU16" i="3"/>
  <c r="XV16" i="3"/>
  <c r="XW16" i="3"/>
  <c r="XX16" i="3"/>
  <c r="XY16" i="3"/>
  <c r="XZ16" i="3"/>
  <c r="YA16" i="3"/>
  <c r="YB16" i="3"/>
  <c r="YC16" i="3"/>
  <c r="YD16" i="3"/>
  <c r="YE16" i="3"/>
  <c r="YF16" i="3"/>
  <c r="YG16" i="3"/>
  <c r="YH16" i="3"/>
  <c r="YI16" i="3"/>
  <c r="YJ16" i="3"/>
  <c r="YK16" i="3"/>
  <c r="YL16" i="3"/>
  <c r="YM16" i="3"/>
  <c r="YN16" i="3"/>
  <c r="YO16" i="3"/>
  <c r="YP16" i="3"/>
  <c r="YQ16" i="3"/>
  <c r="YR16" i="3"/>
  <c r="YS16" i="3"/>
  <c r="YT16" i="3"/>
  <c r="YU16" i="3"/>
  <c r="YV16" i="3"/>
  <c r="YW16" i="3"/>
  <c r="YX16" i="3"/>
  <c r="YY16" i="3"/>
  <c r="YZ16" i="3"/>
  <c r="ZA16" i="3"/>
  <c r="ZB16" i="3"/>
  <c r="ZC16" i="3"/>
  <c r="ZD16" i="3"/>
  <c r="ZE16" i="3"/>
  <c r="ZF16" i="3"/>
  <c r="ZG16" i="3"/>
  <c r="ZH16" i="3"/>
  <c r="ZI16" i="3"/>
  <c r="ZJ16" i="3"/>
  <c r="ZK16" i="3"/>
  <c r="ZL16" i="3"/>
  <c r="ZM16" i="3"/>
  <c r="ZN16" i="3"/>
  <c r="ZO16" i="3"/>
  <c r="ZP16" i="3"/>
  <c r="ZQ16" i="3"/>
  <c r="ZR16" i="3"/>
  <c r="ZS16" i="3"/>
  <c r="ZT16" i="3"/>
  <c r="ZU16" i="3"/>
  <c r="ZV16" i="3"/>
  <c r="ZW16" i="3"/>
  <c r="ZX16" i="3"/>
  <c r="ZY16" i="3"/>
  <c r="ZZ16" i="3"/>
  <c r="AAA16" i="3"/>
  <c r="AAB16" i="3"/>
  <c r="AAC16" i="3"/>
  <c r="AAD16" i="3"/>
  <c r="AAE16" i="3"/>
  <c r="AAF16" i="3"/>
  <c r="AAG16" i="3"/>
  <c r="AAH16" i="3"/>
  <c r="AAI16" i="3"/>
  <c r="AAJ16" i="3"/>
  <c r="AAK16" i="3"/>
  <c r="AAL16" i="3"/>
  <c r="AAM16" i="3"/>
  <c r="AAN16" i="3"/>
  <c r="AAO16" i="3"/>
  <c r="AAP16" i="3"/>
  <c r="AAQ16" i="3"/>
  <c r="AAR16" i="3"/>
  <c r="AAS16" i="3"/>
  <c r="AAT16" i="3"/>
  <c r="AAU16" i="3"/>
  <c r="AAV16" i="3"/>
  <c r="AAW16" i="3"/>
  <c r="AAX16" i="3"/>
  <c r="AAY16" i="3"/>
  <c r="AAZ16" i="3"/>
  <c r="ABA16" i="3"/>
  <c r="ABB16" i="3"/>
  <c r="ABC16" i="3"/>
  <c r="ABD16" i="3"/>
  <c r="ABE16" i="3"/>
  <c r="ABF16" i="3"/>
  <c r="ABG16" i="3"/>
  <c r="ABH16" i="3"/>
  <c r="ABI16" i="3"/>
  <c r="ABJ16" i="3"/>
  <c r="ABK16" i="3"/>
  <c r="ABL16" i="3"/>
  <c r="ABM16" i="3"/>
  <c r="ABN16" i="3"/>
  <c r="ABO16" i="3"/>
  <c r="ABP16" i="3"/>
  <c r="ABQ16" i="3"/>
  <c r="ABR16" i="3"/>
  <c r="ABS16" i="3"/>
  <c r="ABT16" i="3"/>
  <c r="ABU16" i="3"/>
  <c r="ABV16" i="3"/>
  <c r="ABW16" i="3"/>
  <c r="ABX16" i="3"/>
  <c r="ABY16" i="3"/>
  <c r="ABZ16" i="3"/>
  <c r="ACA16" i="3"/>
  <c r="ACB16" i="3"/>
  <c r="ACC16" i="3"/>
  <c r="ACD16" i="3"/>
  <c r="ACE16" i="3"/>
  <c r="ACF16" i="3"/>
  <c r="ACG16" i="3"/>
  <c r="ACH16" i="3"/>
  <c r="ACI16" i="3"/>
  <c r="ACJ16" i="3"/>
  <c r="ACK16" i="3"/>
  <c r="ACL16" i="3"/>
  <c r="ACM16" i="3"/>
  <c r="ACN16" i="3"/>
  <c r="ACO16" i="3"/>
  <c r="ACP16" i="3"/>
  <c r="ACQ16" i="3"/>
  <c r="ACR16" i="3"/>
  <c r="ACS16" i="3"/>
  <c r="ACT16" i="3"/>
  <c r="ACU16" i="3"/>
  <c r="ACV16" i="3"/>
  <c r="ACW16" i="3"/>
  <c r="ACX16" i="3"/>
  <c r="ACY16" i="3"/>
  <c r="ACZ16" i="3"/>
  <c r="ADA16" i="3"/>
  <c r="ADB16" i="3"/>
  <c r="ADC16" i="3"/>
  <c r="ADD16" i="3"/>
  <c r="ADE16" i="3"/>
  <c r="ADF16" i="3"/>
  <c r="ADG16" i="3"/>
  <c r="ADH16" i="3"/>
  <c r="ADI16" i="3"/>
  <c r="ADJ16" i="3"/>
  <c r="ADK16" i="3"/>
  <c r="ADL16" i="3"/>
  <c r="ADM16" i="3"/>
  <c r="ADN16" i="3"/>
  <c r="ADO16" i="3"/>
  <c r="ADP16" i="3"/>
  <c r="ADQ16" i="3"/>
  <c r="ADR16" i="3"/>
  <c r="ADS16" i="3"/>
  <c r="ADT16" i="3"/>
  <c r="ADU16" i="3"/>
  <c r="ADV16" i="3"/>
  <c r="ADW16" i="3"/>
  <c r="ADX16" i="3"/>
  <c r="ADY16" i="3"/>
  <c r="ADZ16" i="3"/>
  <c r="AEA16" i="3"/>
  <c r="AEB16" i="3"/>
  <c r="AEC16" i="3"/>
  <c r="AED16" i="3"/>
  <c r="AEE16" i="3"/>
  <c r="AEF16" i="3"/>
  <c r="AEG16" i="3"/>
  <c r="AEH16" i="3"/>
  <c r="AEI16" i="3"/>
  <c r="AEJ16" i="3"/>
  <c r="AEK16" i="3"/>
  <c r="AEL16" i="3"/>
  <c r="AEM16" i="3"/>
  <c r="AEN16" i="3"/>
  <c r="AEO16" i="3"/>
  <c r="AEP16" i="3"/>
  <c r="AEQ16" i="3"/>
  <c r="AER16" i="3"/>
  <c r="AES16" i="3"/>
  <c r="AET16" i="3"/>
  <c r="AEU16" i="3"/>
  <c r="AEV16" i="3"/>
  <c r="AEW16" i="3"/>
  <c r="AEX16" i="3"/>
  <c r="AEY16" i="3"/>
  <c r="AEZ16" i="3"/>
  <c r="AFA16" i="3"/>
  <c r="AFB16" i="3"/>
  <c r="AFC16" i="3"/>
  <c r="AFD16" i="3"/>
  <c r="AFE16" i="3"/>
  <c r="AFF16" i="3"/>
  <c r="AFG16" i="3"/>
  <c r="AFH16" i="3"/>
  <c r="AFI16" i="3"/>
  <c r="AFJ16" i="3"/>
  <c r="AFK16" i="3"/>
  <c r="AFL16" i="3"/>
  <c r="AFM16" i="3"/>
  <c r="AFN16" i="3"/>
  <c r="AFO16" i="3"/>
  <c r="AFP16" i="3"/>
  <c r="AFQ16" i="3"/>
  <c r="AFR16" i="3"/>
  <c r="AFS16" i="3"/>
  <c r="AFT16" i="3"/>
  <c r="AFU16" i="3"/>
  <c r="AFV16" i="3"/>
  <c r="AFW16" i="3"/>
  <c r="AFX16" i="3"/>
  <c r="AFY16" i="3"/>
  <c r="AFZ16" i="3"/>
  <c r="AGA16" i="3"/>
  <c r="AGB16" i="3"/>
  <c r="AGC16" i="3"/>
  <c r="AGD16" i="3"/>
  <c r="AGE16" i="3"/>
  <c r="AGF16" i="3"/>
  <c r="AGG16" i="3"/>
  <c r="AGH16" i="3"/>
  <c r="AGI16" i="3"/>
  <c r="AGJ16" i="3"/>
  <c r="AGK16" i="3"/>
  <c r="AGL16" i="3"/>
  <c r="AGM16" i="3"/>
  <c r="AGN16" i="3"/>
  <c r="AGO16" i="3"/>
  <c r="AGP16" i="3"/>
  <c r="AGQ16" i="3"/>
  <c r="AGR16" i="3"/>
  <c r="AGS16" i="3"/>
  <c r="AGT16" i="3"/>
  <c r="AGU16" i="3"/>
  <c r="AGV16" i="3"/>
  <c r="AGW16" i="3"/>
  <c r="AGX16" i="3"/>
  <c r="AGY16" i="3"/>
  <c r="AGZ16" i="3"/>
  <c r="AHA16" i="3"/>
  <c r="AHB16" i="3"/>
  <c r="AHC16" i="3"/>
  <c r="AHD16" i="3"/>
  <c r="AHE16" i="3"/>
  <c r="AHF16" i="3"/>
  <c r="AHG16" i="3"/>
  <c r="AHH16" i="3"/>
  <c r="AHI16" i="3"/>
  <c r="AHJ16" i="3"/>
  <c r="AHK16" i="3"/>
  <c r="AHL16" i="3"/>
  <c r="AHM16" i="3"/>
  <c r="AHN16" i="3"/>
  <c r="AHO16" i="3"/>
  <c r="AHP16" i="3"/>
  <c r="AHQ16" i="3"/>
  <c r="AHR16" i="3"/>
  <c r="AHS16" i="3"/>
  <c r="AHT16" i="3"/>
  <c r="AHU16" i="3"/>
  <c r="AHV16" i="3"/>
  <c r="AHW16" i="3"/>
  <c r="AHX16" i="3"/>
  <c r="AHY16" i="3"/>
  <c r="AHZ16" i="3"/>
  <c r="AIA16" i="3"/>
  <c r="AIB16" i="3"/>
  <c r="AIC16" i="3"/>
  <c r="AID16" i="3"/>
  <c r="AIE16" i="3"/>
  <c r="AIF16" i="3"/>
  <c r="AIG16" i="3"/>
  <c r="AIH16" i="3"/>
  <c r="AII16" i="3"/>
  <c r="AIJ16" i="3"/>
  <c r="AIK16" i="3"/>
  <c r="AIL16" i="3"/>
  <c r="AIM16" i="3"/>
  <c r="AIN16" i="3"/>
  <c r="AIO16" i="3"/>
  <c r="AIP16" i="3"/>
  <c r="AIQ16" i="3"/>
  <c r="AIR16" i="3"/>
  <c r="AIS16" i="3"/>
  <c r="AIT16" i="3"/>
  <c r="AIU16" i="3"/>
  <c r="AIV16" i="3"/>
  <c r="AIW16" i="3"/>
  <c r="AIX16" i="3"/>
  <c r="AIY16" i="3"/>
  <c r="AIZ16" i="3"/>
  <c r="AJA16" i="3"/>
  <c r="AJB16" i="3"/>
  <c r="AJC16" i="3"/>
  <c r="AJD16" i="3"/>
  <c r="AJE16" i="3"/>
  <c r="AJF16" i="3"/>
  <c r="AJG16" i="3"/>
  <c r="AJH16" i="3"/>
  <c r="AJI16" i="3"/>
  <c r="AJJ16" i="3"/>
  <c r="AJK16" i="3"/>
  <c r="AJL16" i="3"/>
  <c r="AJM16" i="3"/>
  <c r="AJN16" i="3"/>
  <c r="AJO16" i="3"/>
  <c r="AJP16" i="3"/>
  <c r="AJQ16" i="3"/>
  <c r="AJR16" i="3"/>
  <c r="AJS16" i="3"/>
  <c r="AJT16" i="3"/>
  <c r="AJU16" i="3"/>
  <c r="AJV16" i="3"/>
  <c r="AJW16" i="3"/>
  <c r="AJX16" i="3"/>
  <c r="AJY16" i="3"/>
  <c r="AJZ16" i="3"/>
  <c r="AKA16" i="3"/>
  <c r="AKB16" i="3"/>
  <c r="AKC16" i="3"/>
  <c r="AKD16" i="3"/>
  <c r="AKE16" i="3"/>
  <c r="AKF16" i="3"/>
  <c r="AKG16" i="3"/>
  <c r="AKH16" i="3"/>
  <c r="AKI16" i="3"/>
  <c r="AKJ16" i="3"/>
  <c r="AKK16" i="3"/>
  <c r="AKL16" i="3"/>
  <c r="AKM16" i="3"/>
  <c r="AKN16" i="3"/>
  <c r="AKO16" i="3"/>
  <c r="AKP16" i="3"/>
  <c r="AKQ16" i="3"/>
  <c r="AKR16" i="3"/>
  <c r="AKS16" i="3"/>
  <c r="AKT16" i="3"/>
  <c r="AKU16" i="3"/>
  <c r="AKV16" i="3"/>
  <c r="AKW16" i="3"/>
  <c r="AKX16" i="3"/>
  <c r="AKY16" i="3"/>
  <c r="AKZ16" i="3"/>
  <c r="ALA16" i="3"/>
  <c r="ALB16" i="3"/>
  <c r="ALC16" i="3"/>
  <c r="ALD16" i="3"/>
  <c r="ALE16" i="3"/>
  <c r="ALF16" i="3"/>
  <c r="ALG16" i="3"/>
  <c r="ALH16" i="3"/>
  <c r="ALI16" i="3"/>
  <c r="ALJ16" i="3"/>
  <c r="ALK16" i="3"/>
  <c r="ALL16" i="3"/>
  <c r="ALM16" i="3"/>
  <c r="ALN16" i="3"/>
  <c r="ALO16" i="3"/>
  <c r="ALP16" i="3"/>
  <c r="ALQ16" i="3"/>
  <c r="ALR16" i="3"/>
  <c r="ALS16" i="3"/>
  <c r="ALT16" i="3"/>
  <c r="ALU16" i="3"/>
  <c r="ALV16" i="3"/>
  <c r="ALW16" i="3"/>
  <c r="ALX16" i="3"/>
  <c r="ALY16" i="3"/>
  <c r="ALZ16" i="3"/>
  <c r="AMA16" i="3"/>
  <c r="AMB16" i="3"/>
  <c r="AMC16" i="3"/>
  <c r="AMD16" i="3"/>
  <c r="AME16" i="3"/>
  <c r="AMF16" i="3"/>
  <c r="AMG16" i="3"/>
  <c r="AMH16" i="3"/>
  <c r="AMI16" i="3"/>
  <c r="AMJ16" i="3"/>
  <c r="AMK16" i="3"/>
  <c r="AML16" i="3"/>
  <c r="AMM16" i="3"/>
  <c r="AMN16" i="3"/>
  <c r="AMO16" i="3"/>
  <c r="AMP16" i="3"/>
  <c r="AMQ16" i="3"/>
  <c r="AMR16" i="3"/>
  <c r="AMS16" i="3"/>
  <c r="AMT16" i="3"/>
  <c r="AMU16" i="3"/>
  <c r="AMV16" i="3"/>
  <c r="AMW16" i="3"/>
  <c r="AMX16" i="3"/>
  <c r="AMY16" i="3"/>
  <c r="AMZ16" i="3"/>
  <c r="ANA16" i="3"/>
  <c r="ANB16" i="3"/>
  <c r="ANC16" i="3"/>
  <c r="AND16" i="3"/>
  <c r="ANE16" i="3"/>
  <c r="ANF16" i="3"/>
  <c r="ANG16" i="3"/>
  <c r="ANH16" i="3"/>
  <c r="ANI16" i="3"/>
  <c r="ANJ16" i="3"/>
  <c r="ANK16" i="3"/>
  <c r="ANL16" i="3"/>
  <c r="ANM16" i="3"/>
  <c r="ANN16" i="3"/>
  <c r="ANO16" i="3"/>
  <c r="ANP16" i="3"/>
  <c r="ANQ16" i="3"/>
  <c r="ANR16" i="3"/>
  <c r="ANS16" i="3"/>
  <c r="ANT16" i="3"/>
  <c r="ANU16" i="3"/>
  <c r="ANV16" i="3"/>
  <c r="ANW16" i="3"/>
  <c r="ANX16" i="3"/>
  <c r="ANY16" i="3"/>
  <c r="ANZ16" i="3"/>
  <c r="AOA16" i="3"/>
  <c r="AOB16" i="3"/>
  <c r="AOC16" i="3"/>
  <c r="AOD16" i="3"/>
  <c r="AOE16" i="3"/>
  <c r="AOF16" i="3"/>
  <c r="AOG16" i="3"/>
  <c r="AOH16" i="3"/>
  <c r="AOI16" i="3"/>
  <c r="AOJ16" i="3"/>
  <c r="AOK16" i="3"/>
  <c r="AOL16" i="3"/>
  <c r="AOM16" i="3"/>
  <c r="AON16" i="3"/>
  <c r="AOO16" i="3"/>
  <c r="AOP16" i="3"/>
  <c r="AOQ16" i="3"/>
  <c r="AOR16" i="3"/>
  <c r="AOS16" i="3"/>
  <c r="AOT16" i="3"/>
  <c r="AOU16" i="3"/>
  <c r="AOV16" i="3"/>
  <c r="AOW16" i="3"/>
  <c r="AOX16" i="3"/>
  <c r="AOY16" i="3"/>
  <c r="AOZ16" i="3"/>
  <c r="APA16" i="3"/>
  <c r="APB16" i="3"/>
  <c r="APC16" i="3"/>
  <c r="APD16" i="3"/>
  <c r="APE16" i="3"/>
  <c r="APF16" i="3"/>
  <c r="APG16" i="3"/>
  <c r="APH16" i="3"/>
  <c r="API16" i="3"/>
  <c r="APJ16" i="3"/>
  <c r="APK16" i="3"/>
  <c r="APL16" i="3"/>
  <c r="APM16" i="3"/>
  <c r="APN16" i="3"/>
  <c r="APO16" i="3"/>
  <c r="APP16" i="3"/>
  <c r="APQ16" i="3"/>
  <c r="APR16" i="3"/>
  <c r="APS16" i="3"/>
  <c r="APT16" i="3"/>
  <c r="APU16" i="3"/>
  <c r="APV16" i="3"/>
  <c r="APW16" i="3"/>
  <c r="APX16" i="3"/>
  <c r="APY16" i="3"/>
  <c r="APZ16" i="3"/>
  <c r="AQA16" i="3"/>
  <c r="AQB16" i="3"/>
  <c r="AQC16" i="3"/>
  <c r="AQD16" i="3"/>
  <c r="AQE16" i="3"/>
  <c r="AQF16" i="3"/>
  <c r="AQG16" i="3"/>
  <c r="AQH16" i="3"/>
  <c r="AQI16" i="3"/>
  <c r="AQJ16" i="3"/>
  <c r="AQK16" i="3"/>
  <c r="AQL16" i="3"/>
  <c r="AQM16" i="3"/>
  <c r="AQN16" i="3"/>
  <c r="AQO16" i="3"/>
  <c r="AQP16" i="3"/>
  <c r="AQQ16" i="3"/>
  <c r="AQR16" i="3"/>
  <c r="AQS16" i="3"/>
  <c r="AQT16" i="3"/>
  <c r="AQU16" i="3"/>
  <c r="AQV16" i="3"/>
  <c r="AQW16" i="3"/>
  <c r="AQX16" i="3"/>
  <c r="AQY16" i="3"/>
  <c r="AQZ16" i="3"/>
  <c r="ARA16" i="3"/>
  <c r="ARB16" i="3"/>
  <c r="ARC16" i="3"/>
  <c r="ARD16" i="3"/>
  <c r="ARE16" i="3"/>
  <c r="ARF16" i="3"/>
  <c r="ARG16" i="3"/>
  <c r="ARH16" i="3"/>
  <c r="ARI16" i="3"/>
  <c r="ARJ16" i="3"/>
  <c r="ARK16" i="3"/>
  <c r="ARL16" i="3"/>
  <c r="ARM16" i="3"/>
  <c r="ARN16" i="3"/>
  <c r="ARO16" i="3"/>
  <c r="ARP16" i="3"/>
  <c r="ARQ16" i="3"/>
  <c r="ARR16" i="3"/>
  <c r="ARS16" i="3"/>
  <c r="ART16" i="3"/>
  <c r="ARU16" i="3"/>
  <c r="ARV16" i="3"/>
  <c r="ARW16" i="3"/>
  <c r="ARX16" i="3"/>
  <c r="ARY16" i="3"/>
  <c r="ARZ16" i="3"/>
  <c r="ASA16" i="3"/>
  <c r="ASB16" i="3"/>
  <c r="ASC16" i="3"/>
  <c r="ASD16" i="3"/>
  <c r="ASE16" i="3"/>
  <c r="ASF16" i="3"/>
  <c r="ASG16" i="3"/>
  <c r="ASH16" i="3"/>
  <c r="ASI16" i="3"/>
  <c r="ASJ16" i="3"/>
  <c r="ASK16" i="3"/>
  <c r="ASL16" i="3"/>
  <c r="ASM16" i="3"/>
  <c r="ASN16" i="3"/>
  <c r="ASO16" i="3"/>
  <c r="ASP16" i="3"/>
  <c r="ASQ16" i="3"/>
  <c r="ASR16" i="3"/>
  <c r="ASS16" i="3"/>
  <c r="AST16" i="3"/>
  <c r="ASU16" i="3"/>
  <c r="ASV16" i="3"/>
  <c r="ASW16" i="3"/>
  <c r="ASX16" i="3"/>
  <c r="ASY16" i="3"/>
  <c r="ASZ16" i="3"/>
  <c r="ATA16" i="3"/>
  <c r="ATB16" i="3"/>
  <c r="ATC16" i="3"/>
  <c r="ATD16" i="3"/>
  <c r="ATE16" i="3"/>
  <c r="ATF16" i="3"/>
  <c r="ATG16" i="3"/>
  <c r="ATH16" i="3"/>
  <c r="ATI16" i="3"/>
  <c r="ATJ16" i="3"/>
  <c r="ATK16" i="3"/>
  <c r="ATL16" i="3"/>
  <c r="ATM16" i="3"/>
  <c r="ATN16" i="3"/>
  <c r="ATO16" i="3"/>
  <c r="ATP16" i="3"/>
  <c r="ATQ16" i="3"/>
  <c r="ATR16" i="3"/>
  <c r="ATS16" i="3"/>
  <c r="ATT16" i="3"/>
  <c r="ATU16" i="3"/>
  <c r="ATV16" i="3"/>
  <c r="ATW16" i="3"/>
  <c r="ATX16" i="3"/>
  <c r="ATY16" i="3"/>
  <c r="ATZ16" i="3"/>
  <c r="AUA16" i="3"/>
  <c r="AUB16" i="3"/>
  <c r="AUC16" i="3"/>
  <c r="AUD16" i="3"/>
  <c r="AUE16" i="3"/>
  <c r="AUF16" i="3"/>
  <c r="AUG16" i="3"/>
  <c r="AUH16" i="3"/>
  <c r="AUI16" i="3"/>
  <c r="AUJ16" i="3"/>
  <c r="AUK16" i="3"/>
  <c r="AUL16" i="3"/>
  <c r="AUM16" i="3"/>
  <c r="AUN16" i="3"/>
  <c r="AUO16" i="3"/>
  <c r="AUP16" i="3"/>
  <c r="AUQ16" i="3"/>
  <c r="AUR16" i="3"/>
  <c r="AUS16" i="3"/>
  <c r="AUT16" i="3"/>
  <c r="AUU16" i="3"/>
  <c r="AUV16" i="3"/>
  <c r="AUW16" i="3"/>
  <c r="AUX16" i="3"/>
  <c r="AUY16" i="3"/>
  <c r="AUZ16" i="3"/>
  <c r="AVA16" i="3"/>
  <c r="AVB16" i="3"/>
  <c r="AVC16" i="3"/>
  <c r="AVD16" i="3"/>
  <c r="AVE16" i="3"/>
  <c r="AVF16" i="3"/>
  <c r="AVG16" i="3"/>
  <c r="AVH16" i="3"/>
  <c r="AVI16" i="3"/>
  <c r="AVJ16" i="3"/>
  <c r="AVK16" i="3"/>
  <c r="AVL16" i="3"/>
  <c r="AVM16" i="3"/>
  <c r="AVN16" i="3"/>
  <c r="AVO16" i="3"/>
  <c r="AVP16" i="3"/>
  <c r="AVQ16" i="3"/>
  <c r="AVR16" i="3"/>
  <c r="AVS16" i="3"/>
  <c r="AVT16" i="3"/>
  <c r="AVU16" i="3"/>
  <c r="AVV16" i="3"/>
  <c r="AVW16" i="3"/>
  <c r="AVX16" i="3"/>
  <c r="AVY16" i="3"/>
  <c r="AVZ16" i="3"/>
  <c r="AWA16" i="3"/>
  <c r="AWB16" i="3"/>
  <c r="AWC16" i="3"/>
  <c r="AWD16" i="3"/>
  <c r="AWE16" i="3"/>
  <c r="AWF16" i="3"/>
  <c r="AWG16" i="3"/>
  <c r="AWH16" i="3"/>
  <c r="AWI16" i="3"/>
  <c r="AWJ16" i="3"/>
  <c r="AWK16" i="3"/>
  <c r="AWL16" i="3"/>
  <c r="AWM16" i="3"/>
  <c r="AWN16" i="3"/>
  <c r="AWO16" i="3"/>
  <c r="AWP16" i="3"/>
  <c r="AWQ16" i="3"/>
  <c r="AWR16" i="3"/>
  <c r="AWS16" i="3"/>
  <c r="AWT16" i="3"/>
  <c r="AWU16" i="3"/>
  <c r="AWV16" i="3"/>
  <c r="AWW16" i="3"/>
  <c r="AWX16" i="3"/>
  <c r="AWY16" i="3"/>
  <c r="AWZ16" i="3"/>
  <c r="AXA16" i="3"/>
  <c r="AXB16" i="3"/>
  <c r="AXC16" i="3"/>
  <c r="AXD16" i="3"/>
  <c r="AXE16" i="3"/>
  <c r="AXF16" i="3"/>
  <c r="AXG16" i="3"/>
  <c r="AXH16" i="3"/>
  <c r="AXI16" i="3"/>
  <c r="AXJ16" i="3"/>
  <c r="AXK16" i="3"/>
  <c r="AXL16" i="3"/>
  <c r="AXM16" i="3"/>
  <c r="AXN16" i="3"/>
  <c r="AXO16" i="3"/>
  <c r="AXP16" i="3"/>
  <c r="AXQ16" i="3"/>
  <c r="AXR16" i="3"/>
  <c r="AXS16" i="3"/>
  <c r="AXT16" i="3"/>
  <c r="AXU16" i="3"/>
  <c r="AXV16" i="3"/>
  <c r="AXW16" i="3"/>
  <c r="AXX16" i="3"/>
  <c r="AXY16" i="3"/>
  <c r="AXZ16" i="3"/>
  <c r="AYA16" i="3"/>
  <c r="AYB16" i="3"/>
  <c r="AYC16" i="3"/>
  <c r="AYD16" i="3"/>
  <c r="AYE16" i="3"/>
  <c r="AYF16" i="3"/>
  <c r="AYG16" i="3"/>
  <c r="AYH16" i="3"/>
  <c r="AYI16" i="3"/>
  <c r="AYJ16" i="3"/>
  <c r="AYK16" i="3"/>
  <c r="AYL16" i="3"/>
  <c r="AYM16" i="3"/>
  <c r="AYN16" i="3"/>
  <c r="AYO16" i="3"/>
  <c r="AYP16" i="3"/>
  <c r="AYQ16" i="3"/>
  <c r="AYR16" i="3"/>
  <c r="AYS16" i="3"/>
  <c r="AYT16" i="3"/>
  <c r="AYU16" i="3"/>
  <c r="AYV16" i="3"/>
  <c r="AYW16" i="3"/>
  <c r="AYX16" i="3"/>
  <c r="AYY16" i="3"/>
  <c r="AYZ16" i="3"/>
  <c r="AZA16" i="3"/>
  <c r="AZB16" i="3"/>
  <c r="AZC16" i="3"/>
  <c r="AZD16" i="3"/>
  <c r="AZE16" i="3"/>
  <c r="AZF16" i="3"/>
  <c r="AZG16" i="3"/>
  <c r="AZH16" i="3"/>
  <c r="AZI16" i="3"/>
  <c r="AZJ16" i="3"/>
  <c r="AZK16" i="3"/>
  <c r="AZL16" i="3"/>
  <c r="AZM16" i="3"/>
  <c r="AZN16" i="3"/>
  <c r="AZO16" i="3"/>
  <c r="AZP16" i="3"/>
  <c r="AZQ16" i="3"/>
  <c r="AZR16" i="3"/>
  <c r="AZS16" i="3"/>
  <c r="AZT16" i="3"/>
  <c r="AZU16" i="3"/>
  <c r="AZV16" i="3"/>
  <c r="AZW16" i="3"/>
  <c r="AZX16" i="3"/>
  <c r="AZY16" i="3"/>
  <c r="AZZ16" i="3"/>
  <c r="BAA16" i="3"/>
  <c r="BAB16" i="3"/>
  <c r="BAC16" i="3"/>
  <c r="BAD16" i="3"/>
  <c r="BAE16" i="3"/>
  <c r="BAF16" i="3"/>
  <c r="BAG16" i="3"/>
  <c r="BAH16" i="3"/>
  <c r="BAI16" i="3"/>
  <c r="BAJ16" i="3"/>
  <c r="BAK16" i="3"/>
  <c r="BAL16" i="3"/>
  <c r="BAM16" i="3"/>
  <c r="BAN16" i="3"/>
  <c r="BAO16" i="3"/>
  <c r="BAP16" i="3"/>
  <c r="BAQ16" i="3"/>
  <c r="BAR16" i="3"/>
  <c r="BAS16" i="3"/>
  <c r="BAT16" i="3"/>
  <c r="BAU16" i="3"/>
  <c r="BAV16" i="3"/>
  <c r="BAW16" i="3"/>
  <c r="BAX16" i="3"/>
  <c r="BAY16" i="3"/>
  <c r="BAZ16" i="3"/>
  <c r="BBA16" i="3"/>
  <c r="BBB16" i="3"/>
  <c r="BBC16" i="3"/>
  <c r="BBD16" i="3"/>
  <c r="BBE16" i="3"/>
  <c r="BBF16" i="3"/>
  <c r="BBG16" i="3"/>
  <c r="BBH16" i="3"/>
  <c r="BBI16" i="3"/>
  <c r="BBJ16" i="3"/>
  <c r="BBK16" i="3"/>
  <c r="BBL16" i="3"/>
  <c r="BBM16" i="3"/>
  <c r="BBN16" i="3"/>
  <c r="BBO16" i="3"/>
  <c r="BBP16" i="3"/>
  <c r="BBQ16" i="3"/>
  <c r="BBR16" i="3"/>
  <c r="BBS16" i="3"/>
  <c r="BBT16" i="3"/>
  <c r="BBU16" i="3"/>
  <c r="BBV16" i="3"/>
  <c r="BBW16" i="3"/>
  <c r="BBX16" i="3"/>
  <c r="BBY16" i="3"/>
  <c r="BBZ16" i="3"/>
  <c r="BCA16" i="3"/>
  <c r="BCB16" i="3"/>
  <c r="BCC16" i="3"/>
  <c r="BCD16" i="3"/>
  <c r="BCE16" i="3"/>
  <c r="BCF16" i="3"/>
  <c r="BCG16" i="3"/>
  <c r="BCH16" i="3"/>
  <c r="BCI16" i="3"/>
  <c r="BCJ16" i="3"/>
  <c r="BCK16" i="3"/>
  <c r="BCL16" i="3"/>
  <c r="BCM16" i="3"/>
  <c r="BCN16" i="3"/>
  <c r="BCO16" i="3"/>
  <c r="BCP16" i="3"/>
  <c r="BCQ16" i="3"/>
  <c r="BCR16" i="3"/>
  <c r="BCS16" i="3"/>
  <c r="BCT16" i="3"/>
  <c r="BCU16" i="3"/>
  <c r="BCV16" i="3"/>
  <c r="BCW16" i="3"/>
  <c r="BCX16" i="3"/>
  <c r="BCY16" i="3"/>
  <c r="BCZ16" i="3"/>
  <c r="BDA16" i="3"/>
  <c r="BDB16" i="3"/>
  <c r="BDC16" i="3"/>
  <c r="BDD16" i="3"/>
  <c r="BDE16" i="3"/>
  <c r="BDF16" i="3"/>
  <c r="BDG16" i="3"/>
  <c r="BDH16" i="3"/>
  <c r="BDI16" i="3"/>
  <c r="BDJ16" i="3"/>
  <c r="BDK16" i="3"/>
  <c r="BDL16" i="3"/>
  <c r="BDM16" i="3"/>
  <c r="BDN16" i="3"/>
  <c r="BDO16" i="3"/>
  <c r="BDP16" i="3"/>
  <c r="BDQ16" i="3"/>
  <c r="BDR16" i="3"/>
  <c r="BDS16" i="3"/>
  <c r="BDT16" i="3"/>
  <c r="BDU16" i="3"/>
  <c r="BDV16" i="3"/>
  <c r="BDW16" i="3"/>
  <c r="BDX16" i="3"/>
  <c r="BDY16" i="3"/>
  <c r="BDZ16" i="3"/>
  <c r="BEA16" i="3"/>
  <c r="BEB16" i="3"/>
  <c r="BEC16" i="3"/>
  <c r="BED16" i="3"/>
  <c r="BEE16" i="3"/>
  <c r="BEF16" i="3"/>
  <c r="BEG16" i="3"/>
  <c r="BEH16" i="3"/>
  <c r="BEI16" i="3"/>
  <c r="BEJ16" i="3"/>
  <c r="BEK16" i="3"/>
  <c r="BEL16" i="3"/>
  <c r="BEM16" i="3"/>
  <c r="BEN16" i="3"/>
  <c r="BEO16" i="3"/>
  <c r="BEP16" i="3"/>
  <c r="BEQ16" i="3"/>
  <c r="BER16" i="3"/>
  <c r="BES16" i="3"/>
  <c r="BET16" i="3"/>
  <c r="BEU16" i="3"/>
  <c r="BEV16" i="3"/>
  <c r="BEW16" i="3"/>
  <c r="BEX16" i="3"/>
  <c r="BEY16" i="3"/>
  <c r="BEZ16" i="3"/>
  <c r="BFA16" i="3"/>
  <c r="BFB16" i="3"/>
  <c r="BFC16" i="3"/>
  <c r="BFD16" i="3"/>
  <c r="BFE16" i="3"/>
  <c r="BFF16" i="3"/>
  <c r="BFG16" i="3"/>
  <c r="BFH16" i="3"/>
  <c r="BFI16" i="3"/>
  <c r="BFJ16" i="3"/>
  <c r="BFK16" i="3"/>
  <c r="BFL16" i="3"/>
  <c r="BFM16" i="3"/>
  <c r="BFN16" i="3"/>
  <c r="BFO16" i="3"/>
  <c r="BFP16" i="3"/>
  <c r="BFQ16" i="3"/>
  <c r="BFR16" i="3"/>
  <c r="BFS16" i="3"/>
  <c r="BFT16" i="3"/>
  <c r="BFU16" i="3"/>
  <c r="BFV16" i="3"/>
  <c r="BFW16" i="3"/>
  <c r="BFX16" i="3"/>
  <c r="BFY16" i="3"/>
  <c r="BFZ16" i="3"/>
  <c r="BGA16" i="3"/>
  <c r="BGB16" i="3"/>
  <c r="BGC16" i="3"/>
  <c r="BGD16" i="3"/>
  <c r="BGE16" i="3"/>
  <c r="BGF16" i="3"/>
  <c r="BGG16" i="3"/>
  <c r="BGH16" i="3"/>
  <c r="BGI16" i="3"/>
  <c r="BGJ16" i="3"/>
  <c r="BGK16" i="3"/>
  <c r="BGL16" i="3"/>
  <c r="BGM16" i="3"/>
  <c r="BGN16" i="3"/>
  <c r="BGO16" i="3"/>
  <c r="BGP16" i="3"/>
  <c r="BGQ16" i="3"/>
  <c r="BGR16" i="3"/>
  <c r="BGS16" i="3"/>
  <c r="BGT16" i="3"/>
  <c r="BGU16" i="3"/>
  <c r="BGV16" i="3"/>
  <c r="BGW16" i="3"/>
  <c r="BGX16" i="3"/>
  <c r="BGY16" i="3"/>
  <c r="BGZ16" i="3"/>
  <c r="BHA16" i="3"/>
  <c r="BHB16" i="3"/>
  <c r="BHC16" i="3"/>
  <c r="M15" i="3"/>
  <c r="M14" i="3"/>
  <c r="M13" i="3"/>
  <c r="M16" i="3"/>
  <c r="M12" i="3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79" i="2"/>
  <c r="A80" i="2"/>
  <c r="A81" i="2"/>
  <c r="A82" i="2"/>
  <c r="A83" i="2"/>
  <c r="A84" i="2"/>
  <c r="A85" i="2"/>
  <c r="A74" i="2"/>
  <c r="A75" i="2"/>
  <c r="A76" i="2"/>
  <c r="A77" i="2"/>
  <c r="A78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2" i="2"/>
  <c r="A70" i="2"/>
  <c r="A71" i="2"/>
  <c r="A72" i="2"/>
  <c r="A73" i="2"/>
  <c r="A69" i="2"/>
  <c r="E1553" i="2"/>
  <c r="M19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<sst xmlns="http://schemas.openxmlformats.org/spreadsheetml/2006/main" count="39346" uniqueCount="4178">
  <si>
    <t>AMW P/N</t>
  </si>
  <si>
    <t>MFG</t>
  </si>
  <si>
    <t>MPN</t>
  </si>
  <si>
    <t>QTY</t>
  </si>
  <si>
    <t>RST 10K 1/4W 5% 805</t>
  </si>
  <si>
    <t>KOA</t>
  </si>
  <si>
    <t>RK73B2ATTD103J</t>
  </si>
  <si>
    <t>SG73P2ATTD1002F</t>
  </si>
  <si>
    <t>SAMSUNG</t>
  </si>
  <si>
    <t>CL05B104KO5NNNC</t>
  </si>
  <si>
    <t>WALSIN</t>
  </si>
  <si>
    <t>0402B104K160CT</t>
  </si>
  <si>
    <t>RST 100K 0,1W 5%603</t>
  </si>
  <si>
    <t>YAGEO</t>
  </si>
  <si>
    <t>RC0603JR-07100KL</t>
  </si>
  <si>
    <t>WR06X104 JTL</t>
  </si>
  <si>
    <t>RST 4,7K 0,1W 5%603</t>
  </si>
  <si>
    <t>RC0603JR-074K7L</t>
  </si>
  <si>
    <t>WR06X472JTL</t>
  </si>
  <si>
    <t>RST 1K69 0,1W1%0603</t>
  </si>
  <si>
    <t>RC0603FR-071K69L</t>
  </si>
  <si>
    <t>SMAZ12-13-F</t>
  </si>
  <si>
    <t>OPT DRIVER 5KV-02</t>
  </si>
  <si>
    <t>BROADCOM</t>
  </si>
  <si>
    <t>HCPL-817-30LE</t>
  </si>
  <si>
    <t>HCPL-817-50LE</t>
  </si>
  <si>
    <t>NXP SEMICONDUCTORS</t>
  </si>
  <si>
    <t>74HC125D,653</t>
  </si>
  <si>
    <t>ON SEMICONDUCTOR</t>
  </si>
  <si>
    <t>MC74HC125ADR2G</t>
  </si>
  <si>
    <t>NEXPERIA</t>
  </si>
  <si>
    <t>RST 220 0,1W 5%0603</t>
  </si>
  <si>
    <t>RC0603JR-07220RL</t>
  </si>
  <si>
    <t>WR06X221JTL</t>
  </si>
  <si>
    <t>CC0402MRX5R6BB475</t>
  </si>
  <si>
    <t>CL05A475MP5NRNC</t>
  </si>
  <si>
    <t>NTC 47K</t>
  </si>
  <si>
    <t>VISHAY</t>
  </si>
  <si>
    <t>NTCLE100E3473HB0</t>
  </si>
  <si>
    <t>NTCLE100E3473HB0A</t>
  </si>
  <si>
    <t>NTCLE100E3473JB0</t>
  </si>
  <si>
    <t>NTCLE100E3473JB0A</t>
  </si>
  <si>
    <t>2381 640 63473</t>
  </si>
  <si>
    <t>RST 23K7 0,1W 1%603</t>
  </si>
  <si>
    <t>WR06X2372FTL</t>
  </si>
  <si>
    <t>EPCOS/TDK</t>
  </si>
  <si>
    <t>LTF5022T-3R3N2R5-LC</t>
  </si>
  <si>
    <t>KEMET</t>
  </si>
  <si>
    <t>C0805C102J5RACTU</t>
  </si>
  <si>
    <t>AVX</t>
  </si>
  <si>
    <t>08055C102JAT2A</t>
  </si>
  <si>
    <t>CL21B102JBANNNC</t>
  </si>
  <si>
    <t>0805B102K250CT</t>
  </si>
  <si>
    <t>0805B102K500CT</t>
  </si>
  <si>
    <t>CC0805KKX7R8BB105</t>
  </si>
  <si>
    <t>C0805C105K3RACTU</t>
  </si>
  <si>
    <t>CL21B105KAFNNNE</t>
  </si>
  <si>
    <t>LITTELFUSE</t>
  </si>
  <si>
    <t>SMBJ5.0A</t>
  </si>
  <si>
    <t>SMBJ5.0A-E3</t>
  </si>
  <si>
    <t>SMBJ5.0A-E3/52</t>
  </si>
  <si>
    <t>STMICROELECTRONICS</t>
  </si>
  <si>
    <t>TDK</t>
  </si>
  <si>
    <t>LTF5022T-2R2N3R2-LC</t>
  </si>
  <si>
    <t>MURATA MANUFACTURING</t>
  </si>
  <si>
    <t>GRM155R61E105KA12D</t>
  </si>
  <si>
    <t>CL05A105KA5NNNC</t>
  </si>
  <si>
    <t>CC0402KRX7R9BB202</t>
  </si>
  <si>
    <t>GRM155R71H202KA01D</t>
  </si>
  <si>
    <t>0402B202K500CT</t>
  </si>
  <si>
    <t>CL10C330JB8NNNC</t>
  </si>
  <si>
    <t>CL10C330KB8NNNC</t>
  </si>
  <si>
    <t>GRM32ER71H106KA12L</t>
  </si>
  <si>
    <t>TAIYO YUDEN</t>
  </si>
  <si>
    <t>UMJ325KB7106KMHP</t>
  </si>
  <si>
    <t>UMK325AB7106KM-P</t>
  </si>
  <si>
    <t>UMK325AB7106KM-T</t>
  </si>
  <si>
    <t>UMK325AB7106KMHP</t>
  </si>
  <si>
    <t>UMK325AB7106KMHT</t>
  </si>
  <si>
    <t>CL32B106KBJNFNE</t>
  </si>
  <si>
    <t>RST 124K 0,1W 1%603</t>
  </si>
  <si>
    <t>WR06X1243FTL</t>
  </si>
  <si>
    <t>FAN5333BSX</t>
  </si>
  <si>
    <t>RST 127K 1/8W 1%SMD</t>
  </si>
  <si>
    <t>RC0805FR-07 127K</t>
  </si>
  <si>
    <t>RC0805FR-07127KL</t>
  </si>
  <si>
    <t>CRCW0805127KFKEA</t>
  </si>
  <si>
    <t>RK73H2ATTD1273F</t>
  </si>
  <si>
    <t>WR08X1273FTL</t>
  </si>
  <si>
    <t>BOURNS</t>
  </si>
  <si>
    <t>CR0805-FX-1273ELF</t>
  </si>
  <si>
    <t>TAJA226K010RNJ</t>
  </si>
  <si>
    <t>2N7002W-7-F</t>
  </si>
  <si>
    <t>2N7002WT1G</t>
  </si>
  <si>
    <t>2N7002BKW,115</t>
  </si>
  <si>
    <t>CC0603KRX7R8BB104</t>
  </si>
  <si>
    <t>C0603C104K4RACTU</t>
  </si>
  <si>
    <t>C0603C104K4RAC7867</t>
  </si>
  <si>
    <t>GCM188R71C104KA37D</t>
  </si>
  <si>
    <t>0603YC104KAT2A</t>
  </si>
  <si>
    <t>CL10B104KO8NNNC</t>
  </si>
  <si>
    <t>0603B104K500LT</t>
  </si>
  <si>
    <t>RST 33K 1/4W 5%1206</t>
  </si>
  <si>
    <t>AC1206JR-0733KL</t>
  </si>
  <si>
    <t>RC1206FR-0733KL</t>
  </si>
  <si>
    <t>RC1206JR-0733KL</t>
  </si>
  <si>
    <t>WR12X3302FTL</t>
  </si>
  <si>
    <t>RST 100 0,1W 5%0603</t>
  </si>
  <si>
    <t>CRCW0603100RJNEA</t>
  </si>
  <si>
    <t>LED SMD CL-RD PLCC2</t>
  </si>
  <si>
    <t>OSRAM</t>
  </si>
  <si>
    <t>LS T670-J1K2-1-0-10</t>
  </si>
  <si>
    <t>LS T670-J1K2-1-0-10-R-18Z</t>
  </si>
  <si>
    <t>LS T670-J1L2-1</t>
  </si>
  <si>
    <t>LS T670-J1L2-1-0-10</t>
  </si>
  <si>
    <t>LS T670-J1L2-1-0-10-R-18Z</t>
  </si>
  <si>
    <t>LS T676-P2S1-1-0-20-R18-Z</t>
  </si>
  <si>
    <t>LST670-J1L2-1-Z</t>
  </si>
  <si>
    <t>RST 100K 1/4W 0,1%S</t>
  </si>
  <si>
    <t>RT1206BRD07100KL</t>
  </si>
  <si>
    <t>RST 15K 0,1W 5%0603</t>
  </si>
  <si>
    <t>RC0603JR-0715KL</t>
  </si>
  <si>
    <t>WR06X153JTL</t>
  </si>
  <si>
    <t>WIMA</t>
  </si>
  <si>
    <t>FKP1J011004B00JSSD</t>
  </si>
  <si>
    <t>FKP1J011004B00KSSD</t>
  </si>
  <si>
    <t>C0603C560J5GACTU</t>
  </si>
  <si>
    <t>VJ0603A560JXACW1BC</t>
  </si>
  <si>
    <t>0603N560J500CT</t>
  </si>
  <si>
    <t>LED SMD RED</t>
  </si>
  <si>
    <t>EVERLIGHT</t>
  </si>
  <si>
    <t>57-21/R7C-FR1S1B/2T</t>
  </si>
  <si>
    <t>KINGBRIGHT</t>
  </si>
  <si>
    <t>KA-4040-OS630</t>
  </si>
  <si>
    <t>KA-4040SURCKT</t>
  </si>
  <si>
    <t>LS A676-R1S1-1</t>
  </si>
  <si>
    <t>LS A676-R1S1-1-0-20</t>
  </si>
  <si>
    <t>LS A676-R1S1-1-0-20-R33-Z</t>
  </si>
  <si>
    <t>DIALIGHT</t>
  </si>
  <si>
    <t>597-2001-213F</t>
  </si>
  <si>
    <t>CL10C150JB8NNNC</t>
  </si>
  <si>
    <t>IC RT7736GGE</t>
  </si>
  <si>
    <t>RICHTEK</t>
  </si>
  <si>
    <t>RT7736GGE</t>
  </si>
  <si>
    <t>RST 3K 0,1W 5% 0603</t>
  </si>
  <si>
    <t>WR06X302JTL</t>
  </si>
  <si>
    <t>C0805C104K3RACTU</t>
  </si>
  <si>
    <t>08053C104KAT2A</t>
  </si>
  <si>
    <t>0805B104K250CT</t>
  </si>
  <si>
    <t>TEXAS INSTRUMENTS</t>
  </si>
  <si>
    <t>OPA4277UA/2K5</t>
  </si>
  <si>
    <t>RENESAS</t>
  </si>
  <si>
    <t>ISL28417FBBZ</t>
  </si>
  <si>
    <t>TEXAS INSTRUMENTS (CANCEL</t>
  </si>
  <si>
    <t>CC0805JRNPO9BN102</t>
  </si>
  <si>
    <t>0805N102K250CT</t>
  </si>
  <si>
    <t>0805N102K500</t>
  </si>
  <si>
    <t>CC0805JRX7R8BB223</t>
  </si>
  <si>
    <t>CL21B223KBANNNC</t>
  </si>
  <si>
    <t>22-27-2021</t>
  </si>
  <si>
    <t>MOLEX</t>
  </si>
  <si>
    <t>CL10C220JB8NNNC</t>
  </si>
  <si>
    <t>0603N220J500CT</t>
  </si>
  <si>
    <t>RST 1K 0,1W 5% 0603</t>
  </si>
  <si>
    <t>RC0603JR-071KL</t>
  </si>
  <si>
    <t>WR06X102JTL</t>
  </si>
  <si>
    <t>CC1206KKX7R9BB105</t>
  </si>
  <si>
    <t>C1206C105K5RACTU</t>
  </si>
  <si>
    <t>C1206C105K5RAC7800</t>
  </si>
  <si>
    <t>CL31B105KBHNNNE</t>
  </si>
  <si>
    <t>1206B105K500LT</t>
  </si>
  <si>
    <t>LED SMD CL-RD 0603</t>
  </si>
  <si>
    <t>19-217/R6C-P1Q2/3T</t>
  </si>
  <si>
    <t>RST 22 0,1W 5% 0603</t>
  </si>
  <si>
    <t>WR06X220JTL</t>
  </si>
  <si>
    <t>RST 22 1/8W 5% 0805</t>
  </si>
  <si>
    <t>PANASONIC</t>
  </si>
  <si>
    <t>ERJ-6GEYJ220V</t>
  </si>
  <si>
    <t>WR08X220 JTL</t>
  </si>
  <si>
    <t>RST 60,4 1/8W 1%SMD</t>
  </si>
  <si>
    <t>WR12X60R4FTL</t>
  </si>
  <si>
    <t>FUSE 20A500V 6X32MM</t>
  </si>
  <si>
    <t>0505020MXP</t>
  </si>
  <si>
    <t>IND 3,9NH 0,84A SMD</t>
  </si>
  <si>
    <t>WURTH ELEKTRONIK</t>
  </si>
  <si>
    <t>744765039A</t>
  </si>
  <si>
    <t>PULSE</t>
  </si>
  <si>
    <t>BWCS001207073N9J00</t>
  </si>
  <si>
    <t>GRM21BR71A106KA73L</t>
  </si>
  <si>
    <t>0805B106K100LT(CT)</t>
  </si>
  <si>
    <t>RST 470K 1/8W 5%805</t>
  </si>
  <si>
    <t>RC0805FR-07470KL</t>
  </si>
  <si>
    <t>CS0603KRX7R9BB103</t>
  </si>
  <si>
    <t>C0603C103K5RACTU</t>
  </si>
  <si>
    <t>CC1206KRX7R9BB104</t>
  </si>
  <si>
    <t>1206B104K250CT</t>
  </si>
  <si>
    <t>1206B104K500CT</t>
  </si>
  <si>
    <t>BAV99-13-F</t>
  </si>
  <si>
    <t>BAV99-7-F</t>
  </si>
  <si>
    <t>BAV99LT1G</t>
  </si>
  <si>
    <t>SBAV99LT1G</t>
  </si>
  <si>
    <t>BUSBAR 1551953-1</t>
  </si>
  <si>
    <t>TE CONNECTIVITY</t>
  </si>
  <si>
    <t>1551953-1</t>
  </si>
  <si>
    <t>SAMWHA</t>
  </si>
  <si>
    <t>RH2W336M12030BB</t>
  </si>
  <si>
    <t>RST 10 1/4W 1% 1206</t>
  </si>
  <si>
    <t>STACKPOLE ELECTRONICS INC</t>
  </si>
  <si>
    <t>RMCF1206FT10R0</t>
  </si>
  <si>
    <t>RST 15K 1/8W 5% 805</t>
  </si>
  <si>
    <t>WR08X153 JTL</t>
  </si>
  <si>
    <t>CC1206KKX5R9BB106</t>
  </si>
  <si>
    <t>CL31A106KBHNNNE</t>
  </si>
  <si>
    <t>RST 274K 1/4W1%1206</t>
  </si>
  <si>
    <t>RC1206FR-07274KL</t>
  </si>
  <si>
    <t>PESD5V2S2UT,215</t>
  </si>
  <si>
    <t>C0805C105K4RACTU</t>
  </si>
  <si>
    <t>C0805C105K4RAC7800</t>
  </si>
  <si>
    <t>GRM21BR71C105KA01</t>
  </si>
  <si>
    <t>P6KE220CA</t>
  </si>
  <si>
    <t>BRIGHTKING</t>
  </si>
  <si>
    <t>LED RED DIA 3 MM</t>
  </si>
  <si>
    <t>HLMP1302</t>
  </si>
  <si>
    <t>HLMP1302/QT264-3ID</t>
  </si>
  <si>
    <t>SPC TECHNOLOGY</t>
  </si>
  <si>
    <t>IC RP171N331D-TR-FE</t>
  </si>
  <si>
    <t>RICOH</t>
  </si>
  <si>
    <t>RP171N331D-TR-FE</t>
  </si>
  <si>
    <t>NISSHINBO</t>
  </si>
  <si>
    <t>RST 10 0,1W 5% 0603</t>
  </si>
  <si>
    <t>WR06X100 JTL</t>
  </si>
  <si>
    <t>IC AP1533SG</t>
  </si>
  <si>
    <t>AP1510SG-13</t>
  </si>
  <si>
    <t>AP1533SG-13</t>
  </si>
  <si>
    <t>PIN 0,7X0,7 MM</t>
  </si>
  <si>
    <t>WELL FORE SPECIAL WIRE</t>
  </si>
  <si>
    <t>CPW 0.7X0.7MM 1/2H</t>
  </si>
  <si>
    <t>CPW 0.7X0.7MM3/4H</t>
  </si>
  <si>
    <t>C0603C222K5RACTU</t>
  </si>
  <si>
    <t>CL10B222KB8NNNC</t>
  </si>
  <si>
    <t>0603B222K500CT</t>
  </si>
  <si>
    <t>CL31B225KAHNNNE</t>
  </si>
  <si>
    <t>C3216X7R1E225K160AA</t>
  </si>
  <si>
    <t>1206B225K250CT</t>
  </si>
  <si>
    <t>RST 27M 1/8W5% 1206</t>
  </si>
  <si>
    <t>RV1206JR-0727ML</t>
  </si>
  <si>
    <t>22-01-3027</t>
  </si>
  <si>
    <t>0022013027</t>
  </si>
  <si>
    <t>22013027</t>
  </si>
  <si>
    <t>NICHICON</t>
  </si>
  <si>
    <t>UVZ1E102MPD1TD</t>
  </si>
  <si>
    <t>RD1E108M10020PA159</t>
  </si>
  <si>
    <t>RST 1,5K 1/8W 5%805</t>
  </si>
  <si>
    <t>WR08X152JTL</t>
  </si>
  <si>
    <t>RST 10 1/8W 1% 805</t>
  </si>
  <si>
    <t>RC0805FR-0710RL</t>
  </si>
  <si>
    <t>IC FAN3224TMPX</t>
  </si>
  <si>
    <t>FAIRCHILD SEMICONDUCTOR</t>
  </si>
  <si>
    <t>FAN3224TMPX</t>
  </si>
  <si>
    <t>RST 1M 1/4W 1% 1206</t>
  </si>
  <si>
    <t>RC1206FR-071ML</t>
  </si>
  <si>
    <t>EEE-HA1V100R</t>
  </si>
  <si>
    <t>MAL215370109E3</t>
  </si>
  <si>
    <t>UWT1V100MCL1GB</t>
  </si>
  <si>
    <t>RC1V106M05005VR</t>
  </si>
  <si>
    <t>CTM 42815-0012</t>
  </si>
  <si>
    <t>42815-0012</t>
  </si>
  <si>
    <t>RST 680 1/8W 5% 805</t>
  </si>
  <si>
    <t>RC0805FR-07680RL</t>
  </si>
  <si>
    <t>CC0603KRX7R7BB104</t>
  </si>
  <si>
    <t>LTF5022T-2R2N2R8-D</t>
  </si>
  <si>
    <t>RST 118K ,1W ,1%603</t>
  </si>
  <si>
    <t>ERA-3AEB1183V</t>
  </si>
  <si>
    <t>RST 60,4 1/8W 1%805</t>
  </si>
  <si>
    <t>WR08X60R4FTL</t>
  </si>
  <si>
    <t>C0603C220J5GACTU</t>
  </si>
  <si>
    <t>VJ0603A220JXACW1BC</t>
  </si>
  <si>
    <t>RST 33K 1/8W 5% 805</t>
  </si>
  <si>
    <t>RC0805FR-07 33K</t>
  </si>
  <si>
    <t>RC0805FR-0733KL</t>
  </si>
  <si>
    <t>PIN 0,6X0,6 MM</t>
  </si>
  <si>
    <t>CPW 0,6X0,6 MM 1/2H</t>
  </si>
  <si>
    <t>RST 3,9 2W 5% 2512</t>
  </si>
  <si>
    <t>RC2512FK-073R9L</t>
  </si>
  <si>
    <t>RC2512JK-7W3R9L</t>
  </si>
  <si>
    <t>WF25P3R9JTL</t>
  </si>
  <si>
    <t>CRGH2512J3R9</t>
  </si>
  <si>
    <t>VAR 320V LA20-02</t>
  </si>
  <si>
    <t>V320LA20AP</t>
  </si>
  <si>
    <t>V320LA20APW</t>
  </si>
  <si>
    <t>FARATRONIC</t>
  </si>
  <si>
    <t>C823D603KB2B550</t>
  </si>
  <si>
    <t>RST 332 1/4W 1%1206</t>
  </si>
  <si>
    <t>RC1206FR-07332RL</t>
  </si>
  <si>
    <t>BYG80D</t>
  </si>
  <si>
    <t>ES1D</t>
  </si>
  <si>
    <t>STPR120A</t>
  </si>
  <si>
    <t>TAIWAN SEMICONDUCTOR</t>
  </si>
  <si>
    <t>ES1D R3G</t>
  </si>
  <si>
    <t>RST 100 1/8W 5% 805</t>
  </si>
  <si>
    <t>RC0805JR-07100RL</t>
  </si>
  <si>
    <t>WR08X101JTL</t>
  </si>
  <si>
    <t>RST 10K 1/8W 0,1%S</t>
  </si>
  <si>
    <t>RN73R2ATTD1002B25</t>
  </si>
  <si>
    <t>RN732ATTD1002B25</t>
  </si>
  <si>
    <t>RST 27K4 1/4W1%1206</t>
  </si>
  <si>
    <t>RC1206FR-0727K4L</t>
  </si>
  <si>
    <t>74477824</t>
  </si>
  <si>
    <t>RST 120 1/8W 5% 805</t>
  </si>
  <si>
    <t>RC0805FR-07 120R</t>
  </si>
  <si>
    <t>RC0805FR-07120RL</t>
  </si>
  <si>
    <t>WR08X1200FTL</t>
  </si>
  <si>
    <t>RST 330 0,1W 5% 603</t>
  </si>
  <si>
    <t>WR06X331 JTL</t>
  </si>
  <si>
    <t>B32529C0104K289</t>
  </si>
  <si>
    <t>R82DC3100DQ50K</t>
  </si>
  <si>
    <t>BFC247075104</t>
  </si>
  <si>
    <t>RST 10K 0,1W 1% 603</t>
  </si>
  <si>
    <t>RC0603FR-0710KL</t>
  </si>
  <si>
    <t>RK73H1JTTD1002F</t>
  </si>
  <si>
    <t>ROYAL OHM</t>
  </si>
  <si>
    <t>0603WAF1002T5E</t>
  </si>
  <si>
    <t>RMCF0603FT10K0</t>
  </si>
  <si>
    <t>RST 2K43 1/4W1%1206</t>
  </si>
  <si>
    <t>RC1206FR-072K43L</t>
  </si>
  <si>
    <t>RST 2K21 1/4W1%1206</t>
  </si>
  <si>
    <t>RC1206FR-072K21L</t>
  </si>
  <si>
    <t>VSSAF5M10-M3/H</t>
  </si>
  <si>
    <t>MCC</t>
  </si>
  <si>
    <t>SK510AFL-TP</t>
  </si>
  <si>
    <t>CC0805KRX7R9BB103</t>
  </si>
  <si>
    <t>C0805C103K4RACTU</t>
  </si>
  <si>
    <t>08055C103KAT2A</t>
  </si>
  <si>
    <t>UUD1H100MCL1GS</t>
  </si>
  <si>
    <t>RST 330 1/4W 5%1206</t>
  </si>
  <si>
    <t>1206S4J0331T5E</t>
  </si>
  <si>
    <t>1206W4J0331T5E</t>
  </si>
  <si>
    <t>WR12X331JTL</t>
  </si>
  <si>
    <t>VJ2220Y472KXUSTX1</t>
  </si>
  <si>
    <t>GA355DR7GF472KW01L</t>
  </si>
  <si>
    <t>Syfer</t>
  </si>
  <si>
    <t>2220YA250472KXTB16</t>
  </si>
  <si>
    <t>ANTENNA 2.4G 4PINS</t>
  </si>
  <si>
    <t>JOHANSON</t>
  </si>
  <si>
    <t>2450AT43B100E</t>
  </si>
  <si>
    <t>FUSE 0,375A 125V-02</t>
  </si>
  <si>
    <t>0449.375MR</t>
  </si>
  <si>
    <t>CL21C150JBANNNC</t>
  </si>
  <si>
    <t>CL21B473KBCNNNC</t>
  </si>
  <si>
    <t>RST 3,9K 1/8W 5%805</t>
  </si>
  <si>
    <t>0805S8J0392T5E</t>
  </si>
  <si>
    <t>0805W8J0392T5E</t>
  </si>
  <si>
    <t>LED YELLOW DIA 3 MM</t>
  </si>
  <si>
    <t>MV53642</t>
  </si>
  <si>
    <t>RST 820 1/8W 5% 805</t>
  </si>
  <si>
    <t>CR0805-JW-821ELF</t>
  </si>
  <si>
    <t>BI TECHNOLOGIES</t>
  </si>
  <si>
    <t>HM76-30101JLFTR13</t>
  </si>
  <si>
    <t>RST 1K 1/4W 5%SMD</t>
  </si>
  <si>
    <t>ERJ-8GEYJ102V</t>
  </si>
  <si>
    <t>WR12X102 JTL</t>
  </si>
  <si>
    <t>RST 1K21 0,1W1%0603</t>
  </si>
  <si>
    <t>RC0603FR-071K21L</t>
  </si>
  <si>
    <t>LED SMD CMS RED</t>
  </si>
  <si>
    <t>VLRK31Q1R2-GS08</t>
  </si>
  <si>
    <t>LS T776-P2S1-1-0-20-R18-Z</t>
  </si>
  <si>
    <t>RST 100 1/8W 1% 603</t>
  </si>
  <si>
    <t>ERJ-3EKF1000V</t>
  </si>
  <si>
    <t>RC0603FR-07100RL</t>
  </si>
  <si>
    <t>RK73H1JTTD1000F</t>
  </si>
  <si>
    <t>0603WAF1000T5E</t>
  </si>
  <si>
    <t>RST 1K 1/8W 1% 0805</t>
  </si>
  <si>
    <t>CRCW08051K00FKEAC</t>
  </si>
  <si>
    <t>RK73H2ATTD1001F</t>
  </si>
  <si>
    <t>RK73H2ATTE1001F</t>
  </si>
  <si>
    <t>0805W8F1001T5E</t>
  </si>
  <si>
    <t>CR0805-FX-1001ELF</t>
  </si>
  <si>
    <t>CR0805FX-1001ELF</t>
  </si>
  <si>
    <t>BAT HOLDER CR2032-2</t>
  </si>
  <si>
    <t>KEYSTONE ELECTRONICS</t>
  </si>
  <si>
    <t>3003</t>
  </si>
  <si>
    <t>RST 75K 1/16W 1%402</t>
  </si>
  <si>
    <t>RC0402FR-0775KL</t>
  </si>
  <si>
    <t>SCR 1200V 79A TO247</t>
  </si>
  <si>
    <t>WEEN</t>
  </si>
  <si>
    <t>BT155W-1200T-AQ</t>
  </si>
  <si>
    <t>BT155W-1200TQ</t>
  </si>
  <si>
    <t>CC0402KRX7R7BB103</t>
  </si>
  <si>
    <t>STTH212U</t>
  </si>
  <si>
    <t>04023A470JAT2A</t>
  </si>
  <si>
    <t>LM2931M-5.0/NOPB</t>
  </si>
  <si>
    <t>LM2931MX-5.0/NOPB</t>
  </si>
  <si>
    <t>LM2931AD-5.0R2G</t>
  </si>
  <si>
    <t>VAR 320V LA20</t>
  </si>
  <si>
    <t>B72214S0301K101</t>
  </si>
  <si>
    <t>B72214S0301K101 (S14K300)</t>
  </si>
  <si>
    <t>S14K300 (B72214S0301K101)</t>
  </si>
  <si>
    <t>C0603C102K5RACTU</t>
  </si>
  <si>
    <t>C0603C102K5RAC7867</t>
  </si>
  <si>
    <t>RST 68K1 1/4W1%1206</t>
  </si>
  <si>
    <t>RC1206FR-0768K1L</t>
  </si>
  <si>
    <t>TRAN 300V 0,1A</t>
  </si>
  <si>
    <t>PZTA42T1G</t>
  </si>
  <si>
    <t>RST 2,2K 0,1W 1%603</t>
  </si>
  <si>
    <t>RC0603FR-072K2L</t>
  </si>
  <si>
    <t>RK73H1JTTD2201F</t>
  </si>
  <si>
    <t>0603WAF2201T5E</t>
  </si>
  <si>
    <t>RMCF0603FT2K20</t>
  </si>
  <si>
    <t>C1206C103JBGACTU</t>
  </si>
  <si>
    <t>C1206C103JBGAC7800</t>
  </si>
  <si>
    <t>C1206C103JBGA7800</t>
  </si>
  <si>
    <t>CGA5L4C0G2J103J160AA</t>
  </si>
  <si>
    <t>RST 43K2 1/8W1%0805</t>
  </si>
  <si>
    <t>RC0805FR-0743K2L</t>
  </si>
  <si>
    <t>OPT DRIVER 5A SMD</t>
  </si>
  <si>
    <t>ACNW3190-300E</t>
  </si>
  <si>
    <t>ACNW3190-300E (TUBE)</t>
  </si>
  <si>
    <t>ACNW3190-500E</t>
  </si>
  <si>
    <t>RST 124K1/8W1%805-2</t>
  </si>
  <si>
    <t>RT0805FRE07124KL</t>
  </si>
  <si>
    <t>CRCW0805124KFKEA</t>
  </si>
  <si>
    <t>TZMC13-GS08</t>
  </si>
  <si>
    <t>SMAZ5925B-E3/61</t>
  </si>
  <si>
    <t>SMAZ10-13-F</t>
  </si>
  <si>
    <t>1SMA5925BT3G</t>
  </si>
  <si>
    <t>CC0805KRX7R9BB104</t>
  </si>
  <si>
    <t>C0805C104K5RACTU</t>
  </si>
  <si>
    <t>CL21B104KBCNNNC</t>
  </si>
  <si>
    <t>0805B104K500CT</t>
  </si>
  <si>
    <t>RST 18K 1/8W 5% 805</t>
  </si>
  <si>
    <t>RC0805FR-07 18K</t>
  </si>
  <si>
    <t>RC0805FR-0718KL</t>
  </si>
  <si>
    <t>WR08X1802FTL</t>
  </si>
  <si>
    <t>CC0402JRNPO9BN100</t>
  </si>
  <si>
    <t>MA-1120638STG</t>
  </si>
  <si>
    <t>CRCW0402100RFKED</t>
  </si>
  <si>
    <t>0402WGF1000TCE</t>
  </si>
  <si>
    <t>MA-1150451STG</t>
  </si>
  <si>
    <t>CC0402JRNPO9BN101</t>
  </si>
  <si>
    <t>C0402C101J5GACTU</t>
  </si>
  <si>
    <t>KGM05ACG1H101JH</t>
  </si>
  <si>
    <t>C1005NP01H101J050BA</t>
  </si>
  <si>
    <t>MA-1121146STG</t>
  </si>
  <si>
    <t>RC0402FR-07470KL</t>
  </si>
  <si>
    <t>RC0402FR-13470KL</t>
  </si>
  <si>
    <t>0402WGF4703TCE</t>
  </si>
  <si>
    <t>RST 121K 1/8W1%0805</t>
  </si>
  <si>
    <t>RC0805FR-07121KL</t>
  </si>
  <si>
    <t>RST 2K2 1/16W1%402B</t>
  </si>
  <si>
    <t>RC0402FR-072K2L</t>
  </si>
  <si>
    <t>0402WGF2201TCE</t>
  </si>
  <si>
    <t>B32674S3106K507</t>
  </si>
  <si>
    <t>RST 22R1 1/4W1%1206</t>
  </si>
  <si>
    <t>RC1206FR-0722R1L</t>
  </si>
  <si>
    <t>RST 51K1 1/8W1%0805</t>
  </si>
  <si>
    <t>RC0805FR-0751K1L</t>
  </si>
  <si>
    <t>RST 220 1% 0402-T</t>
  </si>
  <si>
    <t>CRCW0402220RFKED</t>
  </si>
  <si>
    <t>CQ02WGF2200TCE</t>
  </si>
  <si>
    <t>RST 1,2K 1/4W 1%805</t>
  </si>
  <si>
    <t>RK73H2ATTD1201F</t>
  </si>
  <si>
    <t>HP05W3F1201T5E</t>
  </si>
  <si>
    <t>RST 330K 0,1W1%0603</t>
  </si>
  <si>
    <t>RC0603FR-07330KL</t>
  </si>
  <si>
    <t>RST 39K 1/8W 5% 805</t>
  </si>
  <si>
    <t>RC0805FR-07 39K</t>
  </si>
  <si>
    <t>EVER OHMS</t>
  </si>
  <si>
    <t>CHIP0805393P</t>
  </si>
  <si>
    <t>WR08X3902FTL</t>
  </si>
  <si>
    <t>POLYFUSE 0,16A/250V</t>
  </si>
  <si>
    <t>RF0071-000</t>
  </si>
  <si>
    <t>TRF600-160</t>
  </si>
  <si>
    <t>RST 4K75 1/4W1%1206</t>
  </si>
  <si>
    <t>RC1206FR-074K75L</t>
  </si>
  <si>
    <t>MURATA (CANCELED)</t>
  </si>
  <si>
    <t>GRM155R71C224KA12D</t>
  </si>
  <si>
    <t>RST 120 2W 5% 2512</t>
  </si>
  <si>
    <t>RC2512FK-07120RL</t>
  </si>
  <si>
    <t>RC2512JK-7W120RL</t>
  </si>
  <si>
    <t>WF25P121JTL</t>
  </si>
  <si>
    <t>CRGH2512J120R</t>
  </si>
  <si>
    <t>MA-1150495STG</t>
  </si>
  <si>
    <t>CC0402KRX7R8BB104</t>
  </si>
  <si>
    <t>04023C104KAT2A</t>
  </si>
  <si>
    <t>C1005X7R1E104K050BB</t>
  </si>
  <si>
    <t>RST 1K 1W 5% 2512</t>
  </si>
  <si>
    <t>RC2512FK-071KL</t>
  </si>
  <si>
    <t>WR25X1001FTL</t>
  </si>
  <si>
    <t>RST 221R 1/8W 1%805</t>
  </si>
  <si>
    <t>RMCF0805FT221R</t>
  </si>
  <si>
    <t>RST 100K 1/4W1%1206</t>
  </si>
  <si>
    <t>CRCW1206100KFKEAC</t>
  </si>
  <si>
    <t>C1812W224KCRACTU</t>
  </si>
  <si>
    <t>C1812W224KCRAC7800</t>
  </si>
  <si>
    <t>501S43W224KV4E</t>
  </si>
  <si>
    <t>RST 13K 1/16W1% 402</t>
  </si>
  <si>
    <t>0402WGF1302TCE</t>
  </si>
  <si>
    <t>LED RED 0603</t>
  </si>
  <si>
    <t>19-213/R6C-AM2P1VY/</t>
  </si>
  <si>
    <t>AVAGO</t>
  </si>
  <si>
    <t>HSMH-C190</t>
  </si>
  <si>
    <t>RST 75K 0,1W 1% 603</t>
  </si>
  <si>
    <t>RC0603FR-0775KL</t>
  </si>
  <si>
    <t>CR0603-FX-7502ELF</t>
  </si>
  <si>
    <t>RST 4,7 1/4W 5%1206</t>
  </si>
  <si>
    <t>RC1206JR-074R7L</t>
  </si>
  <si>
    <t>FUSE 125A 250V</t>
  </si>
  <si>
    <t>EATON</t>
  </si>
  <si>
    <t>125LET</t>
  </si>
  <si>
    <t>BYG20G-E3/TR</t>
  </si>
  <si>
    <t>ROHM SEMICONDUCTOR</t>
  </si>
  <si>
    <t>RFN2L4S</t>
  </si>
  <si>
    <t>CC0402KRX7R6BB104</t>
  </si>
  <si>
    <t>CNTF-IDC-20P-BLK</t>
  </si>
  <si>
    <t>1658621-4</t>
  </si>
  <si>
    <t>RST 0 1/16W 1% 0402</t>
  </si>
  <si>
    <t>RC0402FR-070RL</t>
  </si>
  <si>
    <t>RC0402JR-070RL</t>
  </si>
  <si>
    <t>IC TS321IL</t>
  </si>
  <si>
    <t>TS321IL</t>
  </si>
  <si>
    <t>TS321ILT</t>
  </si>
  <si>
    <t>IXYS</t>
  </si>
  <si>
    <t>IXTH4N150</t>
  </si>
  <si>
    <t>STW4N150</t>
  </si>
  <si>
    <t>RST 47K 62MW 1% 402</t>
  </si>
  <si>
    <t>RC0402FR-0747KL</t>
  </si>
  <si>
    <t>0402WGF4702TCE</t>
  </si>
  <si>
    <t>MA-1121169STG</t>
  </si>
  <si>
    <t>RC0402FR-0768RL</t>
  </si>
  <si>
    <t>0402WGF680JTCE</t>
  </si>
  <si>
    <t>RST 22K 1/8W 5% 805</t>
  </si>
  <si>
    <t>RC0805FR-07 22K</t>
  </si>
  <si>
    <t>RC0805FR-0722KL</t>
  </si>
  <si>
    <t>RST 100 1/4W 1%1206</t>
  </si>
  <si>
    <t>RC1206FR-07100RL</t>
  </si>
  <si>
    <t>RST 1 1W 5% 2512</t>
  </si>
  <si>
    <t>RC2512JK-071RL</t>
  </si>
  <si>
    <t>CR2512-F/-1R00ELF</t>
  </si>
  <si>
    <t>RST 100 0,1W 1%0603</t>
  </si>
  <si>
    <t>CR0603-FX-1000ELF</t>
  </si>
  <si>
    <t>IC TC1264-2,5VDBTR</t>
  </si>
  <si>
    <t>TC1264-2,5VDBTR</t>
  </si>
  <si>
    <t>MICROCHIP</t>
  </si>
  <si>
    <t>TC1264-2.5VDBTR</t>
  </si>
  <si>
    <t>RST 30,1 1/4W1%1206</t>
  </si>
  <si>
    <t>RC1206FR-0730R1L</t>
  </si>
  <si>
    <t>GRM155R60J475ME</t>
  </si>
  <si>
    <t>GRM155R60J475ME47D</t>
  </si>
  <si>
    <t>GRM155R60J475ME87D</t>
  </si>
  <si>
    <t>RST 0,5 2W 5% 2512</t>
  </si>
  <si>
    <t>CSR2512FTR500</t>
  </si>
  <si>
    <t>TT ELECTRONICS</t>
  </si>
  <si>
    <t>LR2512-R50FW</t>
  </si>
  <si>
    <t>WELWYN</t>
  </si>
  <si>
    <t>RST 4K7 1W 5% 2512</t>
  </si>
  <si>
    <t>RC2512JK-074K7L</t>
  </si>
  <si>
    <t>INFINEON TECHNOLOGIES</t>
  </si>
  <si>
    <t>BSP318SH6327XTSA1</t>
  </si>
  <si>
    <t>BSP318SL6327HTSA1</t>
  </si>
  <si>
    <t>GJM1555C1H1R0BB01D</t>
  </si>
  <si>
    <t>MURS360-E3/9AT</t>
  </si>
  <si>
    <t>MURS360T3G</t>
  </si>
  <si>
    <t>RST 10K 1/16W1%402A</t>
  </si>
  <si>
    <t>RC0402FR-0710KL</t>
  </si>
  <si>
    <t>CRCW040210K0FKED</t>
  </si>
  <si>
    <t>0402WGF1002TCE</t>
  </si>
  <si>
    <t>WR04X1002FTL</t>
  </si>
  <si>
    <t>R60MF3100AA6AJ</t>
  </si>
  <si>
    <t>MKT1820410405</t>
  </si>
  <si>
    <t>B32521E6104K000</t>
  </si>
  <si>
    <t>RST 1M 0,1W 5% 603</t>
  </si>
  <si>
    <t>RC0603JR-071ML</t>
  </si>
  <si>
    <t>CR0603-JW-105ELF</t>
  </si>
  <si>
    <t>CC0603KRX5R6BB225</t>
  </si>
  <si>
    <t>RST 1M 0,1W 1%0603</t>
  </si>
  <si>
    <t>RC0603FR-071ML</t>
  </si>
  <si>
    <t>CRCW06031M00FKEA</t>
  </si>
  <si>
    <t>CG21000L</t>
  </si>
  <si>
    <t>CG21000LTR</t>
  </si>
  <si>
    <t>Dongguan</t>
  </si>
  <si>
    <t>JD222MY5VY1</t>
  </si>
  <si>
    <t>KNSCHA ELECTRONICS</t>
  </si>
  <si>
    <t>0Y10088</t>
  </si>
  <si>
    <t>RST 15K 0,1W5% 603A</t>
  </si>
  <si>
    <t>RST 113K 1/10W1%603</t>
  </si>
  <si>
    <t>RC0603FR-07113KL</t>
  </si>
  <si>
    <t>JD101KY5PY1</t>
  </si>
  <si>
    <t>70Y10112</t>
  </si>
  <si>
    <t>2W10G-E4/51</t>
  </si>
  <si>
    <t>Galaxy Semiconductor</t>
  </si>
  <si>
    <t>2W10G</t>
  </si>
  <si>
    <t>2W10</t>
  </si>
  <si>
    <t>0402B103K500CT</t>
  </si>
  <si>
    <t>885012207063</t>
  </si>
  <si>
    <t>RST 47,5 0,1W1%0603</t>
  </si>
  <si>
    <t>RC0603FR-0747R5L</t>
  </si>
  <si>
    <t>RST 100K 1/8W 0,1%S</t>
  </si>
  <si>
    <t>RT0805BRD07100KL</t>
  </si>
  <si>
    <t>MCU08050D1003BP100</t>
  </si>
  <si>
    <t>RP73D2A100KBTDF</t>
  </si>
  <si>
    <t>CC0402KRX7R8BB103</t>
  </si>
  <si>
    <t>C0402C103J3RACTU</t>
  </si>
  <si>
    <t>SZMM5Z3V9T1G</t>
  </si>
  <si>
    <t>MA-1150472STG</t>
  </si>
  <si>
    <t>CC0402KRX5R8BB105</t>
  </si>
  <si>
    <t>CL05A105KA5NQNC</t>
  </si>
  <si>
    <t>C1005X5R1E105K050BE</t>
  </si>
  <si>
    <t>RST 1,02K 1/8W 1%SM</t>
  </si>
  <si>
    <t>RC0805FR-071K02L</t>
  </si>
  <si>
    <t>CRCW08051K02FKEA</t>
  </si>
  <si>
    <t>CHIP08051.02KF</t>
  </si>
  <si>
    <t>WR08X1021FTL</t>
  </si>
  <si>
    <t>FUSE 1,50A 125V SMD</t>
  </si>
  <si>
    <t>045101.5 MRL</t>
  </si>
  <si>
    <t>045101.5MRL</t>
  </si>
  <si>
    <t>MA-1121145STG</t>
  </si>
  <si>
    <t>RC0402FR-0715RL</t>
  </si>
  <si>
    <t>0402WGF150JTCE</t>
  </si>
  <si>
    <t>RST 3,32K 1/8W1%805</t>
  </si>
  <si>
    <t>RC0805FR-073K32L</t>
  </si>
  <si>
    <t>GJM1555C1HR90WB01D</t>
  </si>
  <si>
    <t>500R07S0R9AV4T</t>
  </si>
  <si>
    <t>RST 2K2 0,1W 5%0603</t>
  </si>
  <si>
    <t>RC0603JR-072K2L</t>
  </si>
  <si>
    <t>GCM155R72A102KA37D</t>
  </si>
  <si>
    <t>0402B102K101CT</t>
  </si>
  <si>
    <t>IND 10NH 0,5A SMD</t>
  </si>
  <si>
    <t>LQG15WZ10NJ02D</t>
  </si>
  <si>
    <t>FUSE 0,50A 600V</t>
  </si>
  <si>
    <t>FNQ-R-1/2</t>
  </si>
  <si>
    <t>744 231 091</t>
  </si>
  <si>
    <t>DF02S-E3</t>
  </si>
  <si>
    <t>DF02S-E3/77</t>
  </si>
  <si>
    <t>DBLS203G</t>
  </si>
  <si>
    <t>DBLS203G RD</t>
  </si>
  <si>
    <t>DBLS203G RDG</t>
  </si>
  <si>
    <t>TAIWAN SEMICONDUCTOR2</t>
  </si>
  <si>
    <t>TAIWAN SEMICONDUCTOR3</t>
  </si>
  <si>
    <t>RST 3K65 0,1W1%0603</t>
  </si>
  <si>
    <t>RC0603FR-073K65L</t>
  </si>
  <si>
    <t>RST 5K11 0,1W1%0603</t>
  </si>
  <si>
    <t>RC0603FR-075K11L</t>
  </si>
  <si>
    <t>RST 182K 0,1W1%0603</t>
  </si>
  <si>
    <t>RC0603FR-07182KL</t>
  </si>
  <si>
    <t>IC MIC2039AY</t>
  </si>
  <si>
    <t>MIC2039AYM6-TR</t>
  </si>
  <si>
    <t>RST 10K 1/8W 1% 805</t>
  </si>
  <si>
    <t>ERJ-6ENF1002V</t>
  </si>
  <si>
    <t>CQ05W8F1002T5E</t>
  </si>
  <si>
    <t>RMCF0805FT10K0</t>
  </si>
  <si>
    <t>0043 N S F G2</t>
  </si>
  <si>
    <t>ACIME TECHNOLOGY</t>
  </si>
  <si>
    <t>0043 N S H G2</t>
  </si>
  <si>
    <t>ELEKTRISOLA</t>
  </si>
  <si>
    <t>CTM 926887-1</t>
  </si>
  <si>
    <t>926887-1</t>
  </si>
  <si>
    <t>DSEI60-02A</t>
  </si>
  <si>
    <t>RST 1R5 2W 5% 2512</t>
  </si>
  <si>
    <t>RC2512JK-7W1R5L</t>
  </si>
  <si>
    <t>RST 2 2W 5% 2512</t>
  </si>
  <si>
    <t>CRM2512-FX-2R00ELF</t>
  </si>
  <si>
    <t>CRM2512-JW-2R0ELF</t>
  </si>
  <si>
    <t>PIN 0,5X0,5 MM</t>
  </si>
  <si>
    <t>CPW 0.5X0.5MM 3/4H</t>
  </si>
  <si>
    <t>RST 1 1/2W 1% 1206</t>
  </si>
  <si>
    <t>RC1206FR-071RL</t>
  </si>
  <si>
    <t>RCS12061R00FKEA</t>
  </si>
  <si>
    <t>RST 49K9 1/4W1%1206</t>
  </si>
  <si>
    <t>RC1206FR-0749K9L</t>
  </si>
  <si>
    <t>EMI FIL 2200PF/25V</t>
  </si>
  <si>
    <t>NFE31PT222Z1E9L</t>
  </si>
  <si>
    <t>RST 100K 1W 5% 2512</t>
  </si>
  <si>
    <t>CRCW2512100KFKEH</t>
  </si>
  <si>
    <t>CRCW2512100KJNEH</t>
  </si>
  <si>
    <t>WK25V104JTL</t>
  </si>
  <si>
    <t>RST 120 0,5W 1% MF</t>
  </si>
  <si>
    <t>MFR50SFTE52-120R</t>
  </si>
  <si>
    <t>CNT 1902547</t>
  </si>
  <si>
    <t>PHOENIX CONTACT</t>
  </si>
  <si>
    <t>MKDS 5 HV/ 2-9,52</t>
  </si>
  <si>
    <t>MKDS 5 HV/2-9,52</t>
  </si>
  <si>
    <t>MKDS5HV/2-9.52</t>
  </si>
  <si>
    <t>CONTACT 1017-1</t>
  </si>
  <si>
    <t>1017-1</t>
  </si>
  <si>
    <t>RB751S40T1G</t>
  </si>
  <si>
    <t>RB751S40T5G</t>
  </si>
  <si>
    <t>RB751S40,115</t>
  </si>
  <si>
    <t>RST 1K 1/4 1%1206-T</t>
  </si>
  <si>
    <t>RMCF1206FT1K00</t>
  </si>
  <si>
    <t>RST 680 0,1W 1%0603</t>
  </si>
  <si>
    <t>RC0603FR-07680RL</t>
  </si>
  <si>
    <t>CRCW0603680RFKEA</t>
  </si>
  <si>
    <t>XTAL 32,768KHZ 7PF</t>
  </si>
  <si>
    <t>NDK</t>
  </si>
  <si>
    <t>MU00389-32.768K</t>
  </si>
  <si>
    <t>RST 3K3 1W 5% 2512</t>
  </si>
  <si>
    <t>RC2512JK-073K3L</t>
  </si>
  <si>
    <t>RST 23,7K 1/8W1%805</t>
  </si>
  <si>
    <t>RT0805FRE0723K7L</t>
  </si>
  <si>
    <t>CRCW080523K7FKEA</t>
  </si>
  <si>
    <t>06035C102KAT2A</t>
  </si>
  <si>
    <t>MA-1150475STG</t>
  </si>
  <si>
    <t>CC0402MRX5R6BB106</t>
  </si>
  <si>
    <t>GRM155R61A106ME11D</t>
  </si>
  <si>
    <t>ZRB15XR61A106ME01D</t>
  </si>
  <si>
    <t>0402ZD106MAT2A</t>
  </si>
  <si>
    <t>CL05A106MP5NUNC</t>
  </si>
  <si>
    <t>CC1206JRNPOABN101</t>
  </si>
  <si>
    <t>FUSE CLIP 10A</t>
  </si>
  <si>
    <t>10207101009</t>
  </si>
  <si>
    <t>RST 470K 1/8W 0,1%S</t>
  </si>
  <si>
    <t>RN73R2ATTD4703B25</t>
  </si>
  <si>
    <t>RN732ATTD4703B25</t>
  </si>
  <si>
    <t>RST 200K 1/10W1%603</t>
  </si>
  <si>
    <t>RMCF0603FT200K</t>
  </si>
  <si>
    <t>CC0402KRX5R6BB105</t>
  </si>
  <si>
    <t>C0402C105K8PAC</t>
  </si>
  <si>
    <t>RST 4,7K 0,1W5%603B</t>
  </si>
  <si>
    <t>RMCF0603JT4K70</t>
  </si>
  <si>
    <t>RST 1K 1/16W 1%402</t>
  </si>
  <si>
    <t>CRCW04021K00FKEDC</t>
  </si>
  <si>
    <t>RST 22 0,1W 1%603</t>
  </si>
  <si>
    <t>RC0603FR-0722RL</t>
  </si>
  <si>
    <t>RST 220 1/10W1%0603</t>
  </si>
  <si>
    <t>ERJ-3EKF2200V</t>
  </si>
  <si>
    <t>RST 10 1/8W 1%805B</t>
  </si>
  <si>
    <t>RMCF0805FT10R0</t>
  </si>
  <si>
    <t>RST 1K5 0,1W 1%603A</t>
  </si>
  <si>
    <t>CRCW06031K50FKEA</t>
  </si>
  <si>
    <t>RMCF0603FT1K50</t>
  </si>
  <si>
    <t>RST 100K 0,1W1%603C</t>
  </si>
  <si>
    <t>RMCF0603FT100K</t>
  </si>
  <si>
    <t>RST 3,3K 1/8W 5%-A</t>
  </si>
  <si>
    <t>RC0805JR-073K3L</t>
  </si>
  <si>
    <t>IND 3,3NH 30MR 2A</t>
  </si>
  <si>
    <t>LQW15AN3N3B80D</t>
  </si>
  <si>
    <t>RST 3,9K 0,1W 1%603</t>
  </si>
  <si>
    <t>RC0603FR-073K9L</t>
  </si>
  <si>
    <t>0603WAF3901T5E</t>
  </si>
  <si>
    <t>RST 0 1/2W 5% 1206</t>
  </si>
  <si>
    <t>RCS12060000Z0EA</t>
  </si>
  <si>
    <t>RST 20K 0,1W1% 0603</t>
  </si>
  <si>
    <t>0603WAF2002T5E</t>
  </si>
  <si>
    <t>RMCF0603FT20K0</t>
  </si>
  <si>
    <t>RST 100R 1/4W5%206A</t>
  </si>
  <si>
    <t>YC164-JR-07100RL</t>
  </si>
  <si>
    <t>BCN164AB101J7</t>
  </si>
  <si>
    <t>CAY16-101J4LF</t>
  </si>
  <si>
    <t>RST 10K 1/10W 603-A</t>
  </si>
  <si>
    <t>RK73B1JTTD103J</t>
  </si>
  <si>
    <t>RST 2K 1/8W 1% 0805</t>
  </si>
  <si>
    <t>RMCF0805FT2K00</t>
  </si>
  <si>
    <t>CC1206JRNPOBBN471</t>
  </si>
  <si>
    <t>RST 110K 1/8W1%805</t>
  </si>
  <si>
    <t>RC0805FR-07110KL</t>
  </si>
  <si>
    <t>RST 4K7 0,1W 1%0402</t>
  </si>
  <si>
    <t>ERJ-2RKF4701X</t>
  </si>
  <si>
    <t>RST 390 0,1W 1%603</t>
  </si>
  <si>
    <t>CRCW0603390RFKEA</t>
  </si>
  <si>
    <t>RST 10K 1/8W 5%805B</t>
  </si>
  <si>
    <t>RMCF0805JT10K0</t>
  </si>
  <si>
    <t>LED DIA 5 MM CL-RED</t>
  </si>
  <si>
    <t>NICHIA CORPORATION</t>
  </si>
  <si>
    <t>NSPR510GS</t>
  </si>
  <si>
    <t>LED DIA 5 MM CL-ORG</t>
  </si>
  <si>
    <t>NSPA510BS</t>
  </si>
  <si>
    <t>IND 2,7NH 50MR850MA</t>
  </si>
  <si>
    <t>LQW15AN2N7C00D</t>
  </si>
  <si>
    <t>RST 1 1/8W 1% 0805</t>
  </si>
  <si>
    <t>CQ05W8F100KT5E</t>
  </si>
  <si>
    <t>0805W8F100KT5E</t>
  </si>
  <si>
    <t>RMCF0805FT1R00</t>
  </si>
  <si>
    <t>RST 1,2K 1/8W 1%805</t>
  </si>
  <si>
    <t>RC0805FR-071K2L</t>
  </si>
  <si>
    <t>0805W8F1201T5E</t>
  </si>
  <si>
    <t>RST 2,7K 1/8W 1%805</t>
  </si>
  <si>
    <t>RC0805FR-072K7L</t>
  </si>
  <si>
    <t>RST 22K 1/4W 1%1206</t>
  </si>
  <si>
    <t>1206W4F2202T5E</t>
  </si>
  <si>
    <t>CR1206-FX-2202ELF</t>
  </si>
  <si>
    <t>CC0402JRX7R8BB103</t>
  </si>
  <si>
    <t>RST 75K 1/8W 5% 805</t>
  </si>
  <si>
    <t>RK73B2ATTD753J</t>
  </si>
  <si>
    <t>RST 0R 1/8W 0805 B</t>
  </si>
  <si>
    <t>ERJ-6GEY0R00V</t>
  </si>
  <si>
    <t>0805W8J0000T5E</t>
  </si>
  <si>
    <t>SMAZ5V6-13-F</t>
  </si>
  <si>
    <t>RST 6K81 0,1W1%0603</t>
  </si>
  <si>
    <t>RC0603FR-076K81L</t>
  </si>
  <si>
    <t>IC HEF4049BT</t>
  </si>
  <si>
    <t>HEF4049BT,653</t>
  </si>
  <si>
    <t>08055C223KAT2A</t>
  </si>
  <si>
    <t>SI2308BDS-T1-GE3</t>
  </si>
  <si>
    <t>SI2308CDS-T1-GE3</t>
  </si>
  <si>
    <t>SI2308DS-T1-E3</t>
  </si>
  <si>
    <t>CNTF-IDC-16P-BLK</t>
  </si>
  <si>
    <t>1658621-3</t>
  </si>
  <si>
    <t>LED GREEN DIA 3 MM</t>
  </si>
  <si>
    <t>HLMP1523</t>
  </si>
  <si>
    <t>HLMP1523/QT264-3GD</t>
  </si>
  <si>
    <t>RST 121R 1/8W1%805A</t>
  </si>
  <si>
    <t>WR08X1210FTL</t>
  </si>
  <si>
    <t>C1206C102J5GAC</t>
  </si>
  <si>
    <t>MOS 50V 0,22A SMT</t>
  </si>
  <si>
    <t>BSS138N</t>
  </si>
  <si>
    <t>BSS138-7-F</t>
  </si>
  <si>
    <t>BSS138</t>
  </si>
  <si>
    <t>04023J1R0ABSTR</t>
  </si>
  <si>
    <t>LED SMD GREEN</t>
  </si>
  <si>
    <t>AA4040CGSK</t>
  </si>
  <si>
    <t>KA-4040-OS570</t>
  </si>
  <si>
    <t>KA-4040CGCKT</t>
  </si>
  <si>
    <t>KA-4040CGSK</t>
  </si>
  <si>
    <t>LG A676-P1Q2-24-0-2</t>
  </si>
  <si>
    <t>LG A676-P1Q2-24-0-20R33-Z</t>
  </si>
  <si>
    <t>597-2301-213F</t>
  </si>
  <si>
    <t>SUNLED</t>
  </si>
  <si>
    <t>XZVG67S</t>
  </si>
  <si>
    <t>RST 6,8K1/8W1%805-O</t>
  </si>
  <si>
    <t>RC0805FR-076K8L</t>
  </si>
  <si>
    <t>0805W8F6801T5E</t>
  </si>
  <si>
    <t>RMCF0805FT6K80</t>
  </si>
  <si>
    <t>RST 10K 1/16W5%402A</t>
  </si>
  <si>
    <t>RC0402JR-0710KL</t>
  </si>
  <si>
    <t>0402WGJ0103TCE</t>
  </si>
  <si>
    <t>SILICONLABS</t>
  </si>
  <si>
    <t>SI8238BB-D-IS1R</t>
  </si>
  <si>
    <t>IC R5F5631PDDFM</t>
  </si>
  <si>
    <t>R5F5631PDDFM#V0</t>
  </si>
  <si>
    <t>R5F5631PDDFM#10</t>
  </si>
  <si>
    <t>STPS1H100U</t>
  </si>
  <si>
    <t>RST 4,7K 1/8W5%805C</t>
  </si>
  <si>
    <t>CRCW08054K70JNEAC</t>
  </si>
  <si>
    <t>0402N101J500CT</t>
  </si>
  <si>
    <t>RST 1K 0,1W 1%0603</t>
  </si>
  <si>
    <t>CRCW06031K00FKEA</t>
  </si>
  <si>
    <t>RST 150 1/10W1%603A</t>
  </si>
  <si>
    <t>ERJ3GEYJ151V</t>
  </si>
  <si>
    <t>RC0603JR-07150RL</t>
  </si>
  <si>
    <t>CR0603-JW-151ELF</t>
  </si>
  <si>
    <t>PTVS8V5S1UR,115</t>
  </si>
  <si>
    <t>RST 4,7K 0,1W1%0603</t>
  </si>
  <si>
    <t>0603WAF4701T5E</t>
  </si>
  <si>
    <t>RMCF0603FT4K70</t>
  </si>
  <si>
    <t>RST 470K 1/8W 1%805</t>
  </si>
  <si>
    <t>0805W8F4703T5E</t>
  </si>
  <si>
    <t>08-50-0031</t>
  </si>
  <si>
    <t>0008500031</t>
  </si>
  <si>
    <t>08-50-0032</t>
  </si>
  <si>
    <t>8500031</t>
  </si>
  <si>
    <t>SMAJ15CA</t>
  </si>
  <si>
    <t>RST 3,3 1/4W 5%1206</t>
  </si>
  <si>
    <t>RC1206JR-073R3L</t>
  </si>
  <si>
    <t>CL21B224KBFNNNE</t>
  </si>
  <si>
    <t>CL21B224KBFNNNF</t>
  </si>
  <si>
    <t>0805B224K500CT</t>
  </si>
  <si>
    <t>RST 47K 1/8W 1% 805</t>
  </si>
  <si>
    <t>RC0805FR-0747KL</t>
  </si>
  <si>
    <t>0805W8F4702T5E</t>
  </si>
  <si>
    <t>RST 24K 0,1W 1%0603</t>
  </si>
  <si>
    <t>RC0603FR-0724KL</t>
  </si>
  <si>
    <t>RST 475 0,1W 1% 603</t>
  </si>
  <si>
    <t>RK73H1JTTD4750F</t>
  </si>
  <si>
    <t>0603WAF4750T5E</t>
  </si>
  <si>
    <t>RST 160 1% 0402-T</t>
  </si>
  <si>
    <t>CRCW0402160RFKED</t>
  </si>
  <si>
    <t>CQ02WGF1600TCE</t>
  </si>
  <si>
    <t>RST 150K 1/4W 1%206</t>
  </si>
  <si>
    <t>CRCW1206150KFKEA</t>
  </si>
  <si>
    <t>RST 22K1 1/4W1%1206</t>
  </si>
  <si>
    <t>RC1206FR-0722K1L</t>
  </si>
  <si>
    <t>RST 470K 1/4W 1%206</t>
  </si>
  <si>
    <t>CRCW1206470KFKEA</t>
  </si>
  <si>
    <t>IC LM2904</t>
  </si>
  <si>
    <t>LM2904DMR2G</t>
  </si>
  <si>
    <t>LM2904S</t>
  </si>
  <si>
    <t>LM2904ST</t>
  </si>
  <si>
    <t>RST 47K 62,5MW 1%</t>
  </si>
  <si>
    <t>CRCW040247K0FKED</t>
  </si>
  <si>
    <t>MA-1120753STG</t>
  </si>
  <si>
    <t>CRCW0402100KFKED</t>
  </si>
  <si>
    <t>0402WGF1003TCE</t>
  </si>
  <si>
    <t>RMCF0402FT100K</t>
  </si>
  <si>
    <t>F611AP224K400R</t>
  </si>
  <si>
    <t>MKS4G032203G00KSSD</t>
  </si>
  <si>
    <t>RST 15R 1/4W 5%1206</t>
  </si>
  <si>
    <t>RK73B2BTTD150J</t>
  </si>
  <si>
    <t>VCAN33A2-03S-E3-08</t>
  </si>
  <si>
    <t>DESD3512SO-7</t>
  </si>
  <si>
    <t>ESDCAN06-2BLY</t>
  </si>
  <si>
    <t>PESD2CANFD27L-TR</t>
  </si>
  <si>
    <t>08053D106KAT2A</t>
  </si>
  <si>
    <t>IND 4,7UH 0,43A SMD</t>
  </si>
  <si>
    <t>LQH32CN4R7M23L</t>
  </si>
  <si>
    <t>NLCV32T-4R7M-EF</t>
  </si>
  <si>
    <t>NLCV32T-4R7M-PF</t>
  </si>
  <si>
    <t>RST 47K5 0,1W1%0603</t>
  </si>
  <si>
    <t>RC0603FR-0747K5L</t>
  </si>
  <si>
    <t>CC0603JRNPO9BN471</t>
  </si>
  <si>
    <t>C0603C471J5GACTU</t>
  </si>
  <si>
    <t>VJ0603A471JXACW1BC</t>
  </si>
  <si>
    <t>RST 3,3K 1/8W 5%805</t>
  </si>
  <si>
    <t>RCG08053K30JNEA</t>
  </si>
  <si>
    <t>0805W8J0332T5E</t>
  </si>
  <si>
    <t>RST 470 1/8W 1%805</t>
  </si>
  <si>
    <t>RC0805FR-07470RL</t>
  </si>
  <si>
    <t>0805W8F4700T5E</t>
  </si>
  <si>
    <t>RST 220K 1/4W1%206A</t>
  </si>
  <si>
    <t>AC1206FR-07220KL</t>
  </si>
  <si>
    <t>1206W4F2203T5E</t>
  </si>
  <si>
    <t>RST 100 1/8W 1%805A</t>
  </si>
  <si>
    <t>ERJ-6ENF1000V</t>
  </si>
  <si>
    <t>RMCF0805FT100R</t>
  </si>
  <si>
    <t>RST 33,2K 1/4W 1206</t>
  </si>
  <si>
    <t>RC1206FR-(**)33K2L</t>
  </si>
  <si>
    <t>RC1206FR-0733K2L</t>
  </si>
  <si>
    <t>WR12X3322FTL</t>
  </si>
  <si>
    <t>MA-1150464STG</t>
  </si>
  <si>
    <t>CC0402KRX7R8BB223</t>
  </si>
  <si>
    <t>C0402C223K3RAC7867</t>
  </si>
  <si>
    <t>KGM05AR71E223KH</t>
  </si>
  <si>
    <t>CL05B223KA5NNNC</t>
  </si>
  <si>
    <t>C1005X7R1E223K050BB</t>
  </si>
  <si>
    <t>MA-1150457STG</t>
  </si>
  <si>
    <t>CC0402KRX7R9BB103</t>
  </si>
  <si>
    <t>C0402C103K5RACTU</t>
  </si>
  <si>
    <t>GRM155R71H103KA88D</t>
  </si>
  <si>
    <t>CGA2B3X7R1H103K050BB</t>
  </si>
  <si>
    <t>RST 470 0,1W 5% 603</t>
  </si>
  <si>
    <t>WR06X471JTL</t>
  </si>
  <si>
    <t>MA-1121171STG</t>
  </si>
  <si>
    <t>CRCW0402316KFKED</t>
  </si>
  <si>
    <t>0402WGF3163TCE</t>
  </si>
  <si>
    <t>FUSE CLIP 30A-02</t>
  </si>
  <si>
    <t>3566</t>
  </si>
  <si>
    <t>BAW56,215</t>
  </si>
  <si>
    <t>RST 47K 0,1W 5% 603</t>
  </si>
  <si>
    <t>RC0603JR-0747KL</t>
  </si>
  <si>
    <t>RK73B1JTTD473J</t>
  </si>
  <si>
    <t>0603WAJ0473T5E</t>
  </si>
  <si>
    <t>BAS321,115</t>
  </si>
  <si>
    <t>RST 182K 1/8W1%805A</t>
  </si>
  <si>
    <t>RK73H2AT(**)1823F</t>
  </si>
  <si>
    <t>0805W8F1823T5E</t>
  </si>
  <si>
    <t>WR08X1823FTL</t>
  </si>
  <si>
    <t>HEADER 1X4P 2MM</t>
  </si>
  <si>
    <t>TE</t>
  </si>
  <si>
    <t>292161-4</t>
  </si>
  <si>
    <t>PCF8574TS/3,118</t>
  </si>
  <si>
    <t>RST 499 0,1W 1%0603</t>
  </si>
  <si>
    <t>RC0603FR-07499RL</t>
  </si>
  <si>
    <t>RC0603FR-10499RL</t>
  </si>
  <si>
    <t>EMK107BB7225KA-T</t>
  </si>
  <si>
    <t>0603YC225KAT2A</t>
  </si>
  <si>
    <t>LED CL-BL DIA 3 MM</t>
  </si>
  <si>
    <t>L-7104QBC-D</t>
  </si>
  <si>
    <t>RST 100K 0,1W5%603A</t>
  </si>
  <si>
    <t>CR0603-JW104ELF</t>
  </si>
  <si>
    <t>C330P-50V10%0603</t>
  </si>
  <si>
    <t>CC0603KRX7R9BB331</t>
  </si>
  <si>
    <t>BLE CYBLE-222014-01</t>
  </si>
  <si>
    <t>CYBLE-222014-01</t>
  </si>
  <si>
    <t>RST 392R 0,1W1%0603</t>
  </si>
  <si>
    <t>0603WAF3920T5E</t>
  </si>
  <si>
    <t>RMCF0603FT392R</t>
  </si>
  <si>
    <t>CLIP RM 4/I-02</t>
  </si>
  <si>
    <t>FERROXCUBE</t>
  </si>
  <si>
    <t>CLI-RM4/5/I</t>
  </si>
  <si>
    <t>RST 30K 1/8W 1%0805</t>
  </si>
  <si>
    <t>0805W8F3002T5E</t>
  </si>
  <si>
    <t>RMCF0805FT30K0</t>
  </si>
  <si>
    <t>RST 2K74 1/4W1%1206</t>
  </si>
  <si>
    <t>RC1206FR-072K74L</t>
  </si>
  <si>
    <t>B32021A3102</t>
  </si>
  <si>
    <t>B32021A3102M289</t>
  </si>
  <si>
    <t>R413F11000000M</t>
  </si>
  <si>
    <t>RST 0,0005 6W1%2512</t>
  </si>
  <si>
    <t>WSLF2512L5000FEA</t>
  </si>
  <si>
    <t>PSR100KTQFF0L50</t>
  </si>
  <si>
    <t>CSS2H-2512R-L500F</t>
  </si>
  <si>
    <t>CC0603KPX7R7BB223</t>
  </si>
  <si>
    <t>RST 1K8 1/16W1% 402</t>
  </si>
  <si>
    <t>0402WGF1801TCE</t>
  </si>
  <si>
    <t>RST 150K 1/2W1%1206</t>
  </si>
  <si>
    <t>ESR18EZPF1503</t>
  </si>
  <si>
    <t>HP06W2F1503T5E</t>
  </si>
  <si>
    <t>RST 10K 1/8W 1%805A</t>
  </si>
  <si>
    <t>RC0805FR-0710KL</t>
  </si>
  <si>
    <t>0805W8F1002T5E</t>
  </si>
  <si>
    <t>CC0603JRNPO9BN100</t>
  </si>
  <si>
    <t>C0603C100J5GACTU</t>
  </si>
  <si>
    <t>CL10C100JB8NCNC</t>
  </si>
  <si>
    <t>500R14N100JV4T</t>
  </si>
  <si>
    <t>CC0805JRNPO0BN470</t>
  </si>
  <si>
    <t>C0805C470J1GAC</t>
  </si>
  <si>
    <t>C0805C470J1GACTU</t>
  </si>
  <si>
    <t>CC0805KRX7R9BB221</t>
  </si>
  <si>
    <t>BAV99W,115</t>
  </si>
  <si>
    <t>RST 0,68 1W 5% 2512</t>
  </si>
  <si>
    <t>RL2512JK-070R68L</t>
  </si>
  <si>
    <t>RCWL2512R680JNEA</t>
  </si>
  <si>
    <t>25121WJ068KT4E</t>
  </si>
  <si>
    <t>BLM21BD222TN1D</t>
  </si>
  <si>
    <t>RST 1K 1/8W 1%805-2</t>
  </si>
  <si>
    <t>RMCF0805FT1K00</t>
  </si>
  <si>
    <t>CC0603JRNPO9BN101</t>
  </si>
  <si>
    <t>CC0603JRNPO9BN470</t>
  </si>
  <si>
    <t>C0603C470J1GACTU</t>
  </si>
  <si>
    <t>06031A470JAT2A</t>
  </si>
  <si>
    <t>CC0603KRX5R6BB105</t>
  </si>
  <si>
    <t>C0603C105K8PACTU</t>
  </si>
  <si>
    <t>GRM188R61A105K</t>
  </si>
  <si>
    <t>RST 52K3 1/8W 1%805</t>
  </si>
  <si>
    <t>CRCW080552K3FKEA</t>
  </si>
  <si>
    <t>RST 221K 1/8W1%805</t>
  </si>
  <si>
    <t>RC0805FR-07221KL</t>
  </si>
  <si>
    <t>RST 12K 1/8W 5% 805</t>
  </si>
  <si>
    <t>RC0805FR-0712KL</t>
  </si>
  <si>
    <t>WR08X1202FTL</t>
  </si>
  <si>
    <t>RST 3,32K 0,1W 1%SM</t>
  </si>
  <si>
    <t>ERJ-3EKF3321V</t>
  </si>
  <si>
    <t>RK73H1JTTD3321F</t>
  </si>
  <si>
    <t>0603WAF3321T5E</t>
  </si>
  <si>
    <t>C0805C103K2RACTU</t>
  </si>
  <si>
    <t>08052C103KAT2A</t>
  </si>
  <si>
    <t>CC0603KRX7R9BB472</t>
  </si>
  <si>
    <t>BAT54S,215</t>
  </si>
  <si>
    <t>RST 470K 0,1W1%603A</t>
  </si>
  <si>
    <t>RC0603FR-07470KL</t>
  </si>
  <si>
    <t>CR0603FX4703ELF</t>
  </si>
  <si>
    <t>RST 0R 1/4W 5%1206A</t>
  </si>
  <si>
    <t>WSL120600000ZEA9</t>
  </si>
  <si>
    <t>1206W4J0000T5E</t>
  </si>
  <si>
    <t>RST SHUNT 2512</t>
  </si>
  <si>
    <t>HP122WJ0000T4E</t>
  </si>
  <si>
    <t>HCJ2512ZT0R00</t>
  </si>
  <si>
    <t>RST 10 1/4W 5% 1206</t>
  </si>
  <si>
    <t>RK73B2BTTD100J</t>
  </si>
  <si>
    <t>1206W4F100JT5E</t>
  </si>
  <si>
    <t>RST 47R 1/8W 1% 805</t>
  </si>
  <si>
    <t>CRCW080547R0FKEA</t>
  </si>
  <si>
    <t>0805W8F470JT5E</t>
  </si>
  <si>
    <t>RST 18K 1/8W 1%805B</t>
  </si>
  <si>
    <t>0805W8F1802T5E</t>
  </si>
  <si>
    <t>CR0805-FX-1802ELF</t>
  </si>
  <si>
    <t>RST 20K 0,1W1% 603B</t>
  </si>
  <si>
    <t>RC0603FR-0720KL</t>
  </si>
  <si>
    <t>CR0603FX202ELF</t>
  </si>
  <si>
    <t>C0805C121J5GACTU</t>
  </si>
  <si>
    <t>C0805C121J5GAC7800</t>
  </si>
  <si>
    <t>RST 470 1/4W 5% 805</t>
  </si>
  <si>
    <t>RK73B2ATTD471J</t>
  </si>
  <si>
    <t>C43Q1472K30C000</t>
  </si>
  <si>
    <t>RST 8,2K 1/8W 1%805</t>
  </si>
  <si>
    <t>RC0805FR-078K2L</t>
  </si>
  <si>
    <t>0805W8F8201T5E</t>
  </si>
  <si>
    <t>RST 220R 0,1W1%603B</t>
  </si>
  <si>
    <t>RC0603FR-07220RL</t>
  </si>
  <si>
    <t>C0603C106M9PACTU</t>
  </si>
  <si>
    <t>CL10A106MQ8NNNC</t>
  </si>
  <si>
    <t>MPZ2012S331AT000</t>
  </si>
  <si>
    <t>FUSE 80A 250V</t>
  </si>
  <si>
    <t>80LET</t>
  </si>
  <si>
    <t>RST 220 1/4W 5%1206</t>
  </si>
  <si>
    <t>WR12X221JTL</t>
  </si>
  <si>
    <t>RST 1K 2W 5% 2512</t>
  </si>
  <si>
    <t>SR2512JK-7W1KL</t>
  </si>
  <si>
    <t>AS122WJ0102T4E</t>
  </si>
  <si>
    <t>HP122WJ0102T4E</t>
  </si>
  <si>
    <t>RST 82K5 1/4W1%206A</t>
  </si>
  <si>
    <t>RC1206FR-(**)82K5L</t>
  </si>
  <si>
    <t>RC1206FR-0782K5L</t>
  </si>
  <si>
    <t>WR12X8252FTL</t>
  </si>
  <si>
    <t>RST 60R4 1/4W1%1206</t>
  </si>
  <si>
    <t>CRCW120660R4FKEA</t>
  </si>
  <si>
    <t>RST 22K 0,1W1%603A</t>
  </si>
  <si>
    <t>0603WAF2202T5E</t>
  </si>
  <si>
    <t>RST 30K1 ,1W ,1%603</t>
  </si>
  <si>
    <t>ERA-3ARB3012V</t>
  </si>
  <si>
    <t>B32022B3473M</t>
  </si>
  <si>
    <t>B32022B3473M  4N 1</t>
  </si>
  <si>
    <t>B32022B3473M000</t>
  </si>
  <si>
    <t>B32022B3473M189</t>
  </si>
  <si>
    <t>SI2301CDS-T1-E3</t>
  </si>
  <si>
    <t>SI2301CDS-T1-GE3</t>
  </si>
  <si>
    <t>CNT 1774030</t>
  </si>
  <si>
    <t>MKDSP 10N/ 2-10,16</t>
  </si>
  <si>
    <t>MKDSP10N/2-10,16GY</t>
  </si>
  <si>
    <t>RST 1,5K 1/8W1%0805</t>
  </si>
  <si>
    <t>ERJ-6ENF1501V</t>
  </si>
  <si>
    <t>0805W8F1501T5E</t>
  </si>
  <si>
    <t>RMCF0805FT1K50</t>
  </si>
  <si>
    <t>RST 1,5K 1/4W 5%206</t>
  </si>
  <si>
    <t>YC164-JR-071K5L</t>
  </si>
  <si>
    <t>CRA06S0831K50FTA</t>
  </si>
  <si>
    <t>BCN164A152J7</t>
  </si>
  <si>
    <t>CAY16-152J4LF</t>
  </si>
  <si>
    <t>RST 180 1/8W1%805-T</t>
  </si>
  <si>
    <t>CRCW0805180RFKEA</t>
  </si>
  <si>
    <t>RST 1M 1W 5% 2512-2</t>
  </si>
  <si>
    <t>CRCW25121M00FKEG</t>
  </si>
  <si>
    <t>CRCW25121M00JNEG</t>
  </si>
  <si>
    <t>25121WJ0105T4E</t>
  </si>
  <si>
    <t>WK25V105JTL</t>
  </si>
  <si>
    <t>CHV2512-JW-105ELF</t>
  </si>
  <si>
    <t>RST 220K 2W 5%2512</t>
  </si>
  <si>
    <t>CRGH2512J220K</t>
  </si>
  <si>
    <t>HP122WJ0224T4E</t>
  </si>
  <si>
    <t>RST 8K2 1/8W 1% 805</t>
  </si>
  <si>
    <t>CRCW08058K20FKEA</t>
  </si>
  <si>
    <t>RST 1K 1W 1% 2512</t>
  </si>
  <si>
    <t>ERJU1TF1001U</t>
  </si>
  <si>
    <t>25121WF1001T4E</t>
  </si>
  <si>
    <t>744 773 133</t>
  </si>
  <si>
    <t>MC9S08DZ32ACLF</t>
  </si>
  <si>
    <t>S9S08DZ32F2CLFR</t>
  </si>
  <si>
    <t>S9S08DZ60F2MLFR</t>
  </si>
  <si>
    <t>FUO50-16N</t>
  </si>
  <si>
    <t>RST 3K32 1/4W1%1206</t>
  </si>
  <si>
    <t>RC1206FR-073K32L</t>
  </si>
  <si>
    <t>TRAN PNP 60V SOT223</t>
  </si>
  <si>
    <t>PZT2907AT1G</t>
  </si>
  <si>
    <t>CTF 08-50-0113</t>
  </si>
  <si>
    <t>08500113</t>
  </si>
  <si>
    <t>BAT54WS-7-F</t>
  </si>
  <si>
    <t>1PS76SB10</t>
  </si>
  <si>
    <t>RST 2,2K 1/8W 1%805</t>
  </si>
  <si>
    <t>RC0805FR-072K2L</t>
  </si>
  <si>
    <t>0805W8F2201T5E</t>
  </si>
  <si>
    <t>RST 681R 1/8W1%805A</t>
  </si>
  <si>
    <t>WR08X6810FTL</t>
  </si>
  <si>
    <t>RST 2K21 0,1W1%603A</t>
  </si>
  <si>
    <t>RC0603FR-(**) 2K21 L</t>
  </si>
  <si>
    <t>RK73H1JT(**) 2211 F</t>
  </si>
  <si>
    <t>RK73H1JTTD2211F</t>
  </si>
  <si>
    <t>WR06X2211F(*)L</t>
  </si>
  <si>
    <t>B32652A6224J189</t>
  </si>
  <si>
    <t>F426BV224J630C</t>
  </si>
  <si>
    <t>MA-1150303STG</t>
  </si>
  <si>
    <t>CC0402JRNPO9BN150</t>
  </si>
  <si>
    <t>C0402C150J5GAC7867</t>
  </si>
  <si>
    <t>KGM05ACG1H150JH</t>
  </si>
  <si>
    <t>CL05C150JB5NNNC</t>
  </si>
  <si>
    <t>C1005C0G1H150J050BA</t>
  </si>
  <si>
    <t>RST 90K9 0,1W1%603A</t>
  </si>
  <si>
    <t>RC0603FR-(**)90K9L</t>
  </si>
  <si>
    <t>RC0603FR-0790K9L</t>
  </si>
  <si>
    <t>RK73H1JT(**)9092F</t>
  </si>
  <si>
    <t>WR06X9092F(*)L</t>
  </si>
  <si>
    <t>WR06X9092FTL</t>
  </si>
  <si>
    <t>CRYSTAL 20MHZ 18PF</t>
  </si>
  <si>
    <t>ABRACON</t>
  </si>
  <si>
    <t>ABM3B-20.000MHZ-B2T</t>
  </si>
  <si>
    <t>ABM3B-20MHZ-B2T</t>
  </si>
  <si>
    <t>AKER TECHNOLOGY</t>
  </si>
  <si>
    <t>C5S-20.000-12-3030-X</t>
  </si>
  <si>
    <t>ECS</t>
  </si>
  <si>
    <t>ECS-200-18-30B-AGN-TR</t>
  </si>
  <si>
    <t>TXC</t>
  </si>
  <si>
    <t>7B-20.000MAAJ-T</t>
  </si>
  <si>
    <t>EUROQUARTZ</t>
  </si>
  <si>
    <t>20.000MHZ MJ/30/30/40/12P</t>
  </si>
  <si>
    <t>RST 7K5 1/4W 1%1206</t>
  </si>
  <si>
    <t>RC1206FR-077K5L</t>
  </si>
  <si>
    <t>CL21C220JBANNNC</t>
  </si>
  <si>
    <t>SENSOR BH1726NUC-E2</t>
  </si>
  <si>
    <t>BH1726NUC-E2</t>
  </si>
  <si>
    <t>RST 0,002 6W 1%2512</t>
  </si>
  <si>
    <t>WSLF25122L000FEA</t>
  </si>
  <si>
    <t>PSR100KTQFJ2L00</t>
  </si>
  <si>
    <t>SW B3U1000PB</t>
  </si>
  <si>
    <t>OMRON</t>
  </si>
  <si>
    <t>B3U-1000P-B</t>
  </si>
  <si>
    <t>RST 0R 1/8W 0805-T</t>
  </si>
  <si>
    <t>MCU08050Z0000ZP500</t>
  </si>
  <si>
    <t>HP05W3J0000T5E</t>
  </si>
  <si>
    <t>TRAN 300V 0,5A</t>
  </si>
  <si>
    <t>MMBTA42</t>
  </si>
  <si>
    <t>MMBTA42LT1G</t>
  </si>
  <si>
    <t>MMBTA42LT3G</t>
  </si>
  <si>
    <t>SMMBTA42LT1G</t>
  </si>
  <si>
    <t>SMMBTA42LT3G</t>
  </si>
  <si>
    <t>MMBTA42,215</t>
  </si>
  <si>
    <t>RST 1K82 1/4W1%1206</t>
  </si>
  <si>
    <t>RC1206FR-071K82L</t>
  </si>
  <si>
    <t>RK73H2BTTD1821F</t>
  </si>
  <si>
    <t>1206W4F1821T5E</t>
  </si>
  <si>
    <t>COPPER TAPE 25 MM</t>
  </si>
  <si>
    <t>3M</t>
  </si>
  <si>
    <t>1245</t>
  </si>
  <si>
    <t>CTM 02062101</t>
  </si>
  <si>
    <t>02-06-2101</t>
  </si>
  <si>
    <t>RST 221R 0,1W1%603A</t>
  </si>
  <si>
    <t>RC0603FR-(**) 221R L</t>
  </si>
  <si>
    <t>RC0603FR-07221RL</t>
  </si>
  <si>
    <t>RK73H1JT(**) 2210 F</t>
  </si>
  <si>
    <t>WR06X2210F(*)L</t>
  </si>
  <si>
    <t>RST 220 1/4W 5%206A</t>
  </si>
  <si>
    <t>1206W4J0221T5E</t>
  </si>
  <si>
    <t>MOS 600V 0,4A N SMT</t>
  </si>
  <si>
    <t>STN1HNK60</t>
  </si>
  <si>
    <t>IC VIPER26HD</t>
  </si>
  <si>
    <t>VIPER26HDTR</t>
  </si>
  <si>
    <t>UHW1K471MHD</t>
  </si>
  <si>
    <t>UHW1K471MHD12,5X31,5</t>
  </si>
  <si>
    <t>NIPPON CHEMI-CON</t>
  </si>
  <si>
    <t>EKZN800ELL471MK30S</t>
  </si>
  <si>
    <t>LQ 1K 477 M 12030 BB</t>
  </si>
  <si>
    <t>UNITED CHEMI-CON</t>
  </si>
  <si>
    <t>EKZN800ELL471MK301</t>
  </si>
  <si>
    <t>CTF 02061101</t>
  </si>
  <si>
    <t>02-06-1101</t>
  </si>
  <si>
    <t>CC1206JRNPO0BN102</t>
  </si>
  <si>
    <t>C1206C102J1GAC</t>
  </si>
  <si>
    <t>IND 51UH 0,5A SMD</t>
  </si>
  <si>
    <t>744227</t>
  </si>
  <si>
    <t>ZJYS81R5-2P50 -G01</t>
  </si>
  <si>
    <t>DR331-513BE</t>
  </si>
  <si>
    <t>1N4007-TP</t>
  </si>
  <si>
    <t>VS-8ETU04HN3</t>
  </si>
  <si>
    <t>8ETU04HN3</t>
  </si>
  <si>
    <t>MUR840G</t>
  </si>
  <si>
    <t>IC 24LC512-I/ST</t>
  </si>
  <si>
    <t>M24512-WDW6TP</t>
  </si>
  <si>
    <t>24LC512-I/ST</t>
  </si>
  <si>
    <t>LED RGB 0606 SMD</t>
  </si>
  <si>
    <t>598-8710-307F</t>
  </si>
  <si>
    <t>TRAN 40V 3A</t>
  </si>
  <si>
    <t>ZXTP25040DFH</t>
  </si>
  <si>
    <t>ZXTP25040DFHTA</t>
  </si>
  <si>
    <t>US1J-E3</t>
  </si>
  <si>
    <t>US1J-13-F</t>
  </si>
  <si>
    <t>CNT H3163-01</t>
  </si>
  <si>
    <t>HARWIN</t>
  </si>
  <si>
    <t>H3163-01</t>
  </si>
  <si>
    <t>B37930-K5470J060</t>
  </si>
  <si>
    <t>C0603C470J5GAC7867</t>
  </si>
  <si>
    <t>VJ0603A470JXACW1BC</t>
  </si>
  <si>
    <t>GRM1885C1H470JA01D</t>
  </si>
  <si>
    <t>C1608COG1H470J080AA</t>
  </si>
  <si>
    <t>CC0805JRNPO9BN100</t>
  </si>
  <si>
    <t>C0805C100J5GACTU</t>
  </si>
  <si>
    <t>CL21C100CBANNNC</t>
  </si>
  <si>
    <t>CL21C100JBANNNC</t>
  </si>
  <si>
    <t>0805N100J500CT</t>
  </si>
  <si>
    <t>C0603C102J5GACTU</t>
  </si>
  <si>
    <t>C0603X102J5GACTU</t>
  </si>
  <si>
    <t>VJ0603A102JXACW1BC</t>
  </si>
  <si>
    <t>GRM1885C1H102JA01D</t>
  </si>
  <si>
    <t>SIA459EDJ-T1-GE3</t>
  </si>
  <si>
    <t>C0805C680FBGACTU</t>
  </si>
  <si>
    <t>GRM21A5C2J680FWA1D</t>
  </si>
  <si>
    <t>IC AT25DF041B-SSHN</t>
  </si>
  <si>
    <t>DIALOG SEMICONDUCTOR</t>
  </si>
  <si>
    <t>AT25DF041B-SSHN</t>
  </si>
  <si>
    <t>AT25DF041B-SSHN-T</t>
  </si>
  <si>
    <t>RST 20K 1/4W 1%1206</t>
  </si>
  <si>
    <t>RC1206FR-0720KL</t>
  </si>
  <si>
    <t>RST 43K2 1/4W1%1206</t>
  </si>
  <si>
    <t>RC1206FR-0743K2L</t>
  </si>
  <si>
    <t>MOS 60V 0,3A SOT23</t>
  </si>
  <si>
    <t>2N7002,215</t>
  </si>
  <si>
    <t>2N7002BK,215</t>
  </si>
  <si>
    <t>CRYSTAL 4MHZ 16PF</t>
  </si>
  <si>
    <t>KONY</t>
  </si>
  <si>
    <t>MSM040FRM-T/R</t>
  </si>
  <si>
    <t>LED YEL DIA 5 MM-2</t>
  </si>
  <si>
    <t>151 051 YS0 400 0</t>
  </si>
  <si>
    <t>RST 60,4 1/4W 1%206</t>
  </si>
  <si>
    <t>RC1206FR-0760R4L</t>
  </si>
  <si>
    <t>RST 4K75 0,1W1%0603</t>
  </si>
  <si>
    <t>RC0603FR-074K75L</t>
  </si>
  <si>
    <t>IC LM1117DT50</t>
  </si>
  <si>
    <t>LM1117DT-5.0/NOPB</t>
  </si>
  <si>
    <t>LM1117DTX-5.0/NOPB</t>
  </si>
  <si>
    <t>LM1117DT50</t>
  </si>
  <si>
    <t>CC0805JRNPO9BN560</t>
  </si>
  <si>
    <t>CL21C560JBANNNC</t>
  </si>
  <si>
    <t>RST 4,7K 1/4W 1% MF</t>
  </si>
  <si>
    <t>MF0W4FF4701A50</t>
  </si>
  <si>
    <t>SSB44-E3/52T</t>
  </si>
  <si>
    <t>SSB44-HE3</t>
  </si>
  <si>
    <t>C0603C331J5GACTU</t>
  </si>
  <si>
    <t>RST 10K 1/16W5%402T</t>
  </si>
  <si>
    <t>CRCW040210K0JNED</t>
  </si>
  <si>
    <t>RST 475 1/8W 1%0805</t>
  </si>
  <si>
    <t>RMCF0805FT475R</t>
  </si>
  <si>
    <t>RST 20K 1/16W 1%402</t>
  </si>
  <si>
    <t>CRCW040220K0FKED</t>
  </si>
  <si>
    <t>P6SMB200A</t>
  </si>
  <si>
    <t>SM6T200A-E3</t>
  </si>
  <si>
    <t>SM6T200A</t>
  </si>
  <si>
    <t>FAGOR</t>
  </si>
  <si>
    <t>P6SMB200A TRTB</t>
  </si>
  <si>
    <t>RST 5K62 0,1W1%0603</t>
  </si>
  <si>
    <t>RC0603FR-075K62L</t>
  </si>
  <si>
    <t>RST 100K 1/16W 1%-A</t>
  </si>
  <si>
    <t>RT0402FRE07100KL</t>
  </si>
  <si>
    <t>C0805C104K1RACTU</t>
  </si>
  <si>
    <t>08051C104KAT2A</t>
  </si>
  <si>
    <t>UCC25600DR</t>
  </si>
  <si>
    <t>IC LM258DT</t>
  </si>
  <si>
    <t>LM258DT</t>
  </si>
  <si>
    <t>RST 9K53 1/4W1%1206</t>
  </si>
  <si>
    <t>RC1206FR-079K53L</t>
  </si>
  <si>
    <t>RST 1M 0,1W 5% 0603</t>
  </si>
  <si>
    <t>RST 10K7 0,1W 1%603</t>
  </si>
  <si>
    <t>RC0603FR-0710K7L</t>
  </si>
  <si>
    <t>CR0603FX1072ELF</t>
  </si>
  <si>
    <t>BASE T 4X2,4X1,8</t>
  </si>
  <si>
    <t>YING CHIN</t>
  </si>
  <si>
    <t>YC-B-112</t>
  </si>
  <si>
    <t>RST 22 1/16W 1%0402</t>
  </si>
  <si>
    <t>CRCW040222R0FKED</t>
  </si>
  <si>
    <t>RST 27K 1/8W 1% 805</t>
  </si>
  <si>
    <t>CRCW080527K0FKEA</t>
  </si>
  <si>
    <t>0805W8F2702T5E</t>
  </si>
  <si>
    <t>C0805C102K5RACTU</t>
  </si>
  <si>
    <t>CC0603KRX7R7BB105</t>
  </si>
  <si>
    <t>C1608X7R1C105KT000N</t>
  </si>
  <si>
    <t>C1608X7R1C105K080AC</t>
  </si>
  <si>
    <t>RST 220 1% 1206-T</t>
  </si>
  <si>
    <t>CRCW1206220RFKEA</t>
  </si>
  <si>
    <t>CQ06W4F2200T5E</t>
  </si>
  <si>
    <t>CNTF-MAT-350778-1</t>
  </si>
  <si>
    <t>350778-1</t>
  </si>
  <si>
    <t>MOS 60V 0,3A SOT23A</t>
  </si>
  <si>
    <t>SN7002NHXXXX</t>
  </si>
  <si>
    <t>PANJIT</t>
  </si>
  <si>
    <t>2N7002K_R1_00001</t>
  </si>
  <si>
    <t>2N7002K_R1_10001</t>
  </si>
  <si>
    <t>VAR 175V DIA 14MM</t>
  </si>
  <si>
    <t>TMOV14RP175E</t>
  </si>
  <si>
    <t>THINKING</t>
  </si>
  <si>
    <t>TVT14271KAKGB510</t>
  </si>
  <si>
    <t>C1206F475K4RACTU</t>
  </si>
  <si>
    <t>GCM31CR71C475KA37</t>
  </si>
  <si>
    <t>GCM31CR71C475KA37L</t>
  </si>
  <si>
    <t>1206B475K160LT</t>
  </si>
  <si>
    <t>WALSIN1</t>
  </si>
  <si>
    <t>1206B475K160CT</t>
  </si>
  <si>
    <t>R413I2100CK00K</t>
  </si>
  <si>
    <t>R413I2100DQ00K</t>
  </si>
  <si>
    <t>BFC233661103</t>
  </si>
  <si>
    <t>MOS 600V 47A TH</t>
  </si>
  <si>
    <t>SIHG47N60EF-GE3</t>
  </si>
  <si>
    <t>IC LM2664M6/NOPB</t>
  </si>
  <si>
    <t>LM2664M6X/NOPB</t>
  </si>
  <si>
    <t>C1206C106K4PAC</t>
  </si>
  <si>
    <t>GRM31CR71C106KAC7</t>
  </si>
  <si>
    <t>EMK316BJ106KL-T</t>
  </si>
  <si>
    <t>KYOCERA</t>
  </si>
  <si>
    <t>CM316X5R106K16A</t>
  </si>
  <si>
    <t>STMPS2141STR</t>
  </si>
  <si>
    <t>CNT 39000061</t>
  </si>
  <si>
    <t>39000061</t>
  </si>
  <si>
    <t>CC0402JRNPO9BN220</t>
  </si>
  <si>
    <t>C0402C220J5GACTU</t>
  </si>
  <si>
    <t>TRAN TCLT1012</t>
  </si>
  <si>
    <t>TCLT1012</t>
  </si>
  <si>
    <t>HCPL-817-30AE</t>
  </si>
  <si>
    <t>04023J2R7ABSTR</t>
  </si>
  <si>
    <t>CC1206KKX7RBBB102</t>
  </si>
  <si>
    <t>PHILIPS</t>
  </si>
  <si>
    <t>X7R 12062R102KDBB</t>
  </si>
  <si>
    <t>RST 15K 1/4W1%1206A</t>
  </si>
  <si>
    <t>RC1206FR-(**)15KL</t>
  </si>
  <si>
    <t>RC1206FR-0715KL</t>
  </si>
  <si>
    <t>RST 0,001 6W 1%2512</t>
  </si>
  <si>
    <t>WSLF25121L000FEA</t>
  </si>
  <si>
    <t>PSR100KTQFH1L00</t>
  </si>
  <si>
    <t>CSS2H-2512R-1L00F</t>
  </si>
  <si>
    <t>TLC555CDR</t>
  </si>
  <si>
    <t>ICM7555CD</t>
  </si>
  <si>
    <t>08055A100KAT2A</t>
  </si>
  <si>
    <t>VJ1812Y103KXGAT4X</t>
  </si>
  <si>
    <t>VJ1812Y103KXRAT4X</t>
  </si>
  <si>
    <t>SPACER 09 MM</t>
  </si>
  <si>
    <t>INTER KAPPA CORPORATION</t>
  </si>
  <si>
    <t>BAT48ZFILM</t>
  </si>
  <si>
    <t>RST 20R 1/8W1%0805A</t>
  </si>
  <si>
    <t>RC0805FR-(**)20RL</t>
  </si>
  <si>
    <t>RC0805FR-0720RL</t>
  </si>
  <si>
    <t>RK73H2AT(**)20R0F</t>
  </si>
  <si>
    <t>WR08X20R0FTL</t>
  </si>
  <si>
    <t>RST 62K 1W 5% 2512</t>
  </si>
  <si>
    <t>ERJ-1TYJ623U</t>
  </si>
  <si>
    <t>RC2512JK-0762KL</t>
  </si>
  <si>
    <t>CRCW251262K0JNEG</t>
  </si>
  <si>
    <t>CR2512-JW-623ELF</t>
  </si>
  <si>
    <t>RST 4K32 1/8W1%805A</t>
  </si>
  <si>
    <t>0805W8F4321T5E</t>
  </si>
  <si>
    <t>WR08X4321FTL</t>
  </si>
  <si>
    <t>AISHI</t>
  </si>
  <si>
    <t>ERM1HM010D11OT</t>
  </si>
  <si>
    <t>RST 47K 2W 5%</t>
  </si>
  <si>
    <t>PR02000204702JR500</t>
  </si>
  <si>
    <t>WR404140A4702J</t>
  </si>
  <si>
    <t>IND 4,7UH SMD SHLD</t>
  </si>
  <si>
    <t>SRP4020TA-4R7M</t>
  </si>
  <si>
    <t>TRAN NPN 40V 600MA</t>
  </si>
  <si>
    <t>MMBT2222ALT1G</t>
  </si>
  <si>
    <t>PMBT2222A,215</t>
  </si>
  <si>
    <t>SBR3U40S1FQ-7</t>
  </si>
  <si>
    <t>PMEG40T30ERX</t>
  </si>
  <si>
    <t>RST 47K5 1/4W1%1206</t>
  </si>
  <si>
    <t>RC1206FR-0747K5L</t>
  </si>
  <si>
    <t>F872BB472M480R</t>
  </si>
  <si>
    <t>B32621A0472J000</t>
  </si>
  <si>
    <t>B32911A5472M</t>
  </si>
  <si>
    <t>RST 180K 1/4W1%1206</t>
  </si>
  <si>
    <t>1206W4F1803T5E</t>
  </si>
  <si>
    <t>RST 200 0,1W 1%603</t>
  </si>
  <si>
    <t>RC0603FR-07200RL</t>
  </si>
  <si>
    <t>C0805C224K5RAC7800</t>
  </si>
  <si>
    <t>MICRO COMMERCIAL</t>
  </si>
  <si>
    <t>MBR0530L-TP</t>
  </si>
  <si>
    <t>PESD5V0X1BL,315</t>
  </si>
  <si>
    <t>JY222MY5VY2</t>
  </si>
  <si>
    <t>70Y20068</t>
  </si>
  <si>
    <t>LED RED DIA 5 MM-2</t>
  </si>
  <si>
    <t>151 051 RS1 100 0</t>
  </si>
  <si>
    <t>DFLS1200-7</t>
  </si>
  <si>
    <t>RST 2K7 0,1W 1% 603</t>
  </si>
  <si>
    <t>RC0603FR-072K7L</t>
  </si>
  <si>
    <t>CR0603-FX-2701ELF</t>
  </si>
  <si>
    <t>RST 5,6K 1/8W 5%805</t>
  </si>
  <si>
    <t>RC0805FR-075K6L</t>
  </si>
  <si>
    <t>WR08X5601FTL</t>
  </si>
  <si>
    <t>WR0805X5601FTL</t>
  </si>
  <si>
    <t>RST 1K1 0,1W 1%603</t>
  </si>
  <si>
    <t>RC0603FR-071K1L</t>
  </si>
  <si>
    <t>RST 294K 0,1W 1%603</t>
  </si>
  <si>
    <t>RC0603FR-07294KL</t>
  </si>
  <si>
    <t>STTH1R04A</t>
  </si>
  <si>
    <t>RST 1K 1/8W 1% 603A</t>
  </si>
  <si>
    <t>RC0603FR-071KL</t>
  </si>
  <si>
    <t>CC0805JRNPO9BN471</t>
  </si>
  <si>
    <t>0805N471J500</t>
  </si>
  <si>
    <t>0805N471K250CT</t>
  </si>
  <si>
    <t>CC0805KKX7R8BB225</t>
  </si>
  <si>
    <t>08053C225KAT2A</t>
  </si>
  <si>
    <t>CL21B103KBANNNC</t>
  </si>
  <si>
    <t>0805B103K500CT</t>
  </si>
  <si>
    <t>MBRS4201T3G</t>
  </si>
  <si>
    <t>STPS4S200S</t>
  </si>
  <si>
    <t>SK4200L-TP</t>
  </si>
  <si>
    <t>LED SMD CL-RD 3528</t>
  </si>
  <si>
    <t>150 141 RS7 310 0</t>
  </si>
  <si>
    <t>CC0402KRX7R7BB102</t>
  </si>
  <si>
    <t>C0402C102K4RACTU</t>
  </si>
  <si>
    <t>BAV70LT1G</t>
  </si>
  <si>
    <t>SMF3.3</t>
  </si>
  <si>
    <t>RST 51K 1% 1/8W 805</t>
  </si>
  <si>
    <t>CRCW080551K0FKEA</t>
  </si>
  <si>
    <t>0805W8F5102T5E</t>
  </si>
  <si>
    <t>RST 68K 1/8W 5% 805</t>
  </si>
  <si>
    <t>RC0805JR-0768KL</t>
  </si>
  <si>
    <t>RST 4K7 1/16W1% 402</t>
  </si>
  <si>
    <t>RC0402FR-074K7L</t>
  </si>
  <si>
    <t>0402WGF4701TCE</t>
  </si>
  <si>
    <t>STPS1L60ZF</t>
  </si>
  <si>
    <t>URZ1E222MHD</t>
  </si>
  <si>
    <t>URZ1E222MHD1TN</t>
  </si>
  <si>
    <t>RST 47K 1/8W 5% 805</t>
  </si>
  <si>
    <t>0805S8J0473T5E</t>
  </si>
  <si>
    <t>NTC 10R 3A TH</t>
  </si>
  <si>
    <t>AMETHERM</t>
  </si>
  <si>
    <t>SL08 10003</t>
  </si>
  <si>
    <t>Nanjing Kemin Electronics</t>
  </si>
  <si>
    <t>NTC10D-11</t>
  </si>
  <si>
    <t>Semitec</t>
  </si>
  <si>
    <t>10D2-11LD</t>
  </si>
  <si>
    <t>RST 2,2 1/4W 5%1206</t>
  </si>
  <si>
    <t>RC1206JR-072R2L</t>
  </si>
  <si>
    <t>PHE840MD6470KD15R06L2</t>
  </si>
  <si>
    <t>R46KN347000001K</t>
  </si>
  <si>
    <t>F1772-447-2160</t>
  </si>
  <si>
    <t>CDE(CORNELLDUBILIER)</t>
  </si>
  <si>
    <t>MPX474K305G</t>
  </si>
  <si>
    <t>SMBJ14CA</t>
  </si>
  <si>
    <t>SMBJ14CA/TR13</t>
  </si>
  <si>
    <t>B32022A3103M000</t>
  </si>
  <si>
    <t>TRAN S8550-H</t>
  </si>
  <si>
    <t>S8550-H</t>
  </si>
  <si>
    <t>YANGZHOU YANGJIE</t>
  </si>
  <si>
    <t>C33V1153J90C000</t>
  </si>
  <si>
    <t>IC MIC4422YM</t>
  </si>
  <si>
    <t>MIC4422YM-TR</t>
  </si>
  <si>
    <t>RST 182 1/4W 1%1206</t>
  </si>
  <si>
    <t>RC1206FR-07182RL</t>
  </si>
  <si>
    <t>CRCW1206182RFKEA</t>
  </si>
  <si>
    <t>RK73H2BTTD1820F</t>
  </si>
  <si>
    <t>R10K-1/16W1%04D</t>
  </si>
  <si>
    <t>SPACER M05X12</t>
  </si>
  <si>
    <t>I.T.S FASTENERS</t>
  </si>
  <si>
    <t>SPACER ID:5.3 OD:8 L:12</t>
  </si>
  <si>
    <t>BOB EFD20/10/7-8P</t>
  </si>
  <si>
    <t>PIN SHINE INDUSTRIAL</t>
  </si>
  <si>
    <t>YC-2003  8P</t>
  </si>
  <si>
    <t>B66418W1008D001</t>
  </si>
  <si>
    <t>FUSE 6A690V 10X38MM</t>
  </si>
  <si>
    <t>0KLK006.T</t>
  </si>
  <si>
    <t>KTK-6</t>
  </si>
  <si>
    <t>IC LM2901D</t>
  </si>
  <si>
    <t>LM2901D</t>
  </si>
  <si>
    <t>LM2901DT</t>
  </si>
  <si>
    <t>GRM32ER60J107ME20</t>
  </si>
  <si>
    <t>JMK325ABJ107MM-P</t>
  </si>
  <si>
    <t>JMK325ABJ107MM-T</t>
  </si>
  <si>
    <t>IC LMV797MM</t>
  </si>
  <si>
    <t>LMV797MM/NOPB</t>
  </si>
  <si>
    <t>RST 11K ,1W ,1% 603</t>
  </si>
  <si>
    <t>ERA-3AEB1102V</t>
  </si>
  <si>
    <t>ERA-3AEB113V</t>
  </si>
  <si>
    <t>AT0603BRD0711KL</t>
  </si>
  <si>
    <t>RT0603BRD0711KL</t>
  </si>
  <si>
    <t>P6SMBJ100A</t>
  </si>
  <si>
    <t>P6SMB100A-E3/52</t>
  </si>
  <si>
    <t>SM6T100A</t>
  </si>
  <si>
    <t>P6SMB100A</t>
  </si>
  <si>
    <t>NTC 40R 4,1A 25% TH</t>
  </si>
  <si>
    <t>MS15 40004</t>
  </si>
  <si>
    <t>RST 120 1/4W 5%1206</t>
  </si>
  <si>
    <t>RK73B2BTTD121J</t>
  </si>
  <si>
    <t>C1206C225M5RACTU</t>
  </si>
  <si>
    <t>C1206C225M5RAC7800</t>
  </si>
  <si>
    <t>IC AP63200WU-7</t>
  </si>
  <si>
    <t>AP63200WU-7</t>
  </si>
  <si>
    <t>RST 15K 1/8W 1%805B</t>
  </si>
  <si>
    <t>MCU08050D1502BP100</t>
  </si>
  <si>
    <t>RN73R2ATTD1502B25</t>
  </si>
  <si>
    <t>RN732AT(  )1502B25</t>
  </si>
  <si>
    <t>RST 100K 1/8W 5%805</t>
  </si>
  <si>
    <t>RC0805FR-07100KL</t>
  </si>
  <si>
    <t>MA-1150449STG</t>
  </si>
  <si>
    <t>CC0402KRX7R7BB472</t>
  </si>
  <si>
    <t>KGM05AR71C472KH</t>
  </si>
  <si>
    <t>0402YD472KAT2A</t>
  </si>
  <si>
    <t>IND 10UH 0,25A 0805</t>
  </si>
  <si>
    <t>LQM21DN100M70L</t>
  </si>
  <si>
    <t>RST 33K 0,1W1% 0603</t>
  </si>
  <si>
    <t>0603WAF3302T5E</t>
  </si>
  <si>
    <t>RMCF0603FT33K0</t>
  </si>
  <si>
    <t>IC MAX1719EUT</t>
  </si>
  <si>
    <t>MAXIM</t>
  </si>
  <si>
    <t>MAX1719EUT+</t>
  </si>
  <si>
    <t>MAX1719EUT+T</t>
  </si>
  <si>
    <t>HEADER 1X34C 2MM</t>
  </si>
  <si>
    <t>SAMTEC</t>
  </si>
  <si>
    <t>MMT-134-01-S-SH</t>
  </si>
  <si>
    <t>MMT-134-01-S-SH-P</t>
  </si>
  <si>
    <t>MMT-134-01-T-SH-K-TR</t>
  </si>
  <si>
    <t>ANTELEC</t>
  </si>
  <si>
    <t>AM1C20034GCMS3.2H2BA</t>
  </si>
  <si>
    <t>PLASTRON</t>
  </si>
  <si>
    <t>SLTY-34R-A-032-0-R</t>
  </si>
  <si>
    <t>WAYCONN</t>
  </si>
  <si>
    <t>PH200-134-M22G0-04</t>
  </si>
  <si>
    <t>ES2D-E3/52T</t>
  </si>
  <si>
    <t>MURS120T3G</t>
  </si>
  <si>
    <t>STTH2R02U</t>
  </si>
  <si>
    <t>C1210J224K2RACTU</t>
  </si>
  <si>
    <t>1210B224K201CT</t>
  </si>
  <si>
    <t>1210Y2000224KXT</t>
  </si>
  <si>
    <t>MMSD4148T1G</t>
  </si>
  <si>
    <t>RST 470R 1/8W1%0805</t>
  </si>
  <si>
    <t>RMCF0805FT470R</t>
  </si>
  <si>
    <t>BAS1603WE6327</t>
  </si>
  <si>
    <t>1N4148WS</t>
  </si>
  <si>
    <t>1N4148WS-7-F</t>
  </si>
  <si>
    <t>BAS316,115</t>
  </si>
  <si>
    <t>IC MLR24C64</t>
  </si>
  <si>
    <t>M24C64-WDW6P</t>
  </si>
  <si>
    <t>M24C64-WDW6TP</t>
  </si>
  <si>
    <t>24LC64-I/ST</t>
  </si>
  <si>
    <t>GRM188R60J226MEA0J</t>
  </si>
  <si>
    <t>RST 22K 1/8W 0805</t>
  </si>
  <si>
    <t>ERA-6AEB223V</t>
  </si>
  <si>
    <t>RT0805BRD0722KL</t>
  </si>
  <si>
    <t>RN732ATTD2202B25</t>
  </si>
  <si>
    <t>SUSUMU INTERNATIONAL</t>
  </si>
  <si>
    <t>RG2012P-223-B-T5</t>
  </si>
  <si>
    <t>RST 1K 1/4W 5%0805</t>
  </si>
  <si>
    <t>RK73B2ATTD102J</t>
  </si>
  <si>
    <t>HP05W3J0102T5E</t>
  </si>
  <si>
    <t>RPC0805JT1K00</t>
  </si>
  <si>
    <t>LED SMD CL-GR 603</t>
  </si>
  <si>
    <t>LITE-ON</t>
  </si>
  <si>
    <t>LTST-C190KGKT</t>
  </si>
  <si>
    <t>NTC 10 K 1%-02</t>
  </si>
  <si>
    <t>B57861S0103F040</t>
  </si>
  <si>
    <t>B57861S103F40</t>
  </si>
  <si>
    <t>RUBYCON</t>
  </si>
  <si>
    <t>25ZLS680MEFC10X16</t>
  </si>
  <si>
    <t>RST 22K 62MW 5%1206</t>
  </si>
  <si>
    <t>CAY16-223J4LF</t>
  </si>
  <si>
    <t>B32021A3472M</t>
  </si>
  <si>
    <t>B32021A3472M000</t>
  </si>
  <si>
    <t>RST 220 1/4W 5%206B</t>
  </si>
  <si>
    <t>RC1206JR-07220RL</t>
  </si>
  <si>
    <t>CR1206-JW-221ELF</t>
  </si>
  <si>
    <t>BCC</t>
  </si>
  <si>
    <t>RC01</t>
  </si>
  <si>
    <t>IC XC6215B302NR</t>
  </si>
  <si>
    <t>TOREX</t>
  </si>
  <si>
    <t>XC6215B302NR</t>
  </si>
  <si>
    <t>XC6215B302NR-G</t>
  </si>
  <si>
    <t>WYO472MCMCF0KR</t>
  </si>
  <si>
    <t>DE2E3KY472MA3BM02F</t>
  </si>
  <si>
    <t>MMSZ5225B</t>
  </si>
  <si>
    <t>MMSZ5225B-E3-08</t>
  </si>
  <si>
    <t>MMSZ5225BT1G</t>
  </si>
  <si>
    <t>GCM1555G1H270FA16D</t>
  </si>
  <si>
    <t>IND 3,3UH 58MR 2,4A</t>
  </si>
  <si>
    <t>LBXND5050WKT3R3NMG</t>
  </si>
  <si>
    <t>NRS5020T 3R3NMGJ</t>
  </si>
  <si>
    <t>SRN5020-3R3M</t>
  </si>
  <si>
    <t>RST 47,5K 1/8W1%805</t>
  </si>
  <si>
    <t>CRCW080547K5FKEA</t>
  </si>
  <si>
    <t>C0805C153F5GACAUTO</t>
  </si>
  <si>
    <t>C0805C153F5GACTU</t>
  </si>
  <si>
    <t>C0805C153F5GALTU</t>
  </si>
  <si>
    <t>GCM2195C1H153FA16D</t>
  </si>
  <si>
    <t>CC0603KRX7R7BB224</t>
  </si>
  <si>
    <t>MOS 25V 0,22A DUALN</t>
  </si>
  <si>
    <t>FDG6301N</t>
  </si>
  <si>
    <t>NTJD4001NT1G</t>
  </si>
  <si>
    <t>HM76-30330JLF</t>
  </si>
  <si>
    <t>HM76-30330JLFTR13</t>
  </si>
  <si>
    <t>RST 330R 1/8W 1%805</t>
  </si>
  <si>
    <t>CRCW0805330RFKEA</t>
  </si>
  <si>
    <t>0805W8F3300T5E</t>
  </si>
  <si>
    <t>CRG0805F330R</t>
  </si>
  <si>
    <t>RST 470R 0,1W 1%603</t>
  </si>
  <si>
    <t>RC0603FR-07470RL</t>
  </si>
  <si>
    <t>CRCW0603470RFKEA</t>
  </si>
  <si>
    <t>CC1210KKX7R8BB475</t>
  </si>
  <si>
    <t>C1210C475K3RACTM</t>
  </si>
  <si>
    <t>C1210C475K3RACTU</t>
  </si>
  <si>
    <t>TMK325B7475KN-T</t>
  </si>
  <si>
    <t>C3225X7R1E475K200AA</t>
  </si>
  <si>
    <t>C322C102K1R5TA</t>
  </si>
  <si>
    <t>C322C102K1R5TA7301</t>
  </si>
  <si>
    <t>MOS 20V 1A SOT323</t>
  </si>
  <si>
    <t>DMG1012UW-7</t>
  </si>
  <si>
    <t>C0603C104K4RAC</t>
  </si>
  <si>
    <t>CL21B475KAFNNNE</t>
  </si>
  <si>
    <t>HEADER 1X2C-2,54MM2</t>
  </si>
  <si>
    <t>BMA TECHNOLOGIES</t>
  </si>
  <si>
    <t>BT1117102S01D6A84</t>
  </si>
  <si>
    <t>TSW-102-07-T-S</t>
  </si>
  <si>
    <t>COVER TAPE 21.3MM</t>
  </si>
  <si>
    <t>ZHUHAI TONGXI ELECTRONICS</t>
  </si>
  <si>
    <t>COVER TAPE W=21.3MM</t>
  </si>
  <si>
    <t>C1206C106K3PAC</t>
  </si>
  <si>
    <t>GRM31CR61E106KA12</t>
  </si>
  <si>
    <t>TMK316BJ106KL-T</t>
  </si>
  <si>
    <t>CM316X5R106K25A</t>
  </si>
  <si>
    <t>DIO 0,2A 30V BAT54S</t>
  </si>
  <si>
    <t>BAT54S-E3-18</t>
  </si>
  <si>
    <t>BAT54S-7-F</t>
  </si>
  <si>
    <t>BAT54S</t>
  </si>
  <si>
    <t>BAT54SLT1G</t>
  </si>
  <si>
    <t>VJ0805Y105KXXTW1BC</t>
  </si>
  <si>
    <t>C2012X7R1E105K125AB</t>
  </si>
  <si>
    <t>IC TLV70033DBVR</t>
  </si>
  <si>
    <t>TLV70233DBVR</t>
  </si>
  <si>
    <t>TLV70233DBVT</t>
  </si>
  <si>
    <t>ANALOG DEVICES</t>
  </si>
  <si>
    <t>ADP122AUJZ-3.3-R7</t>
  </si>
  <si>
    <t>FUSE 1,1A 16V SMD</t>
  </si>
  <si>
    <t>BELFUSE</t>
  </si>
  <si>
    <t>0ZCH0110AF2E</t>
  </si>
  <si>
    <t>RST 10K 1/8W1%805-2</t>
  </si>
  <si>
    <t>S5MS-E3</t>
  </si>
  <si>
    <t>S5MC-13-F</t>
  </si>
  <si>
    <t>FS5M</t>
  </si>
  <si>
    <t>RST 60,4 0,1W 1%603</t>
  </si>
  <si>
    <t>RC0603FR-0760R4L</t>
  </si>
  <si>
    <t>RC0603FR-1360R4L</t>
  </si>
  <si>
    <t>SEI</t>
  </si>
  <si>
    <t>RMCF0603FT60R4</t>
  </si>
  <si>
    <t>MULTICOMP</t>
  </si>
  <si>
    <t>MCMR06X60R4FTL</t>
  </si>
  <si>
    <t>EEE-FK1V221AP</t>
  </si>
  <si>
    <t>EEE-FK1V221GP</t>
  </si>
  <si>
    <t>EEE-FK1V221P</t>
  </si>
  <si>
    <t>UCD1V221MNL1GS</t>
  </si>
  <si>
    <t>EMVY350ADA221MHA0G</t>
  </si>
  <si>
    <t>EMVY350ARA221MHA0G</t>
  </si>
  <si>
    <t>35TKV220M8X10.5</t>
  </si>
  <si>
    <t>EMZA350ADA221MHA0G</t>
  </si>
  <si>
    <t>GLOVE PU PLAM FIT</t>
  </si>
  <si>
    <t>PAM (THAILAND) CO.,LTD</t>
  </si>
  <si>
    <t>GLOVE PU PLAM FIT SIZE M</t>
  </si>
  <si>
    <t>RST 1K 5% 1/4W 0603</t>
  </si>
  <si>
    <t>RK73B1JTTD102J</t>
  </si>
  <si>
    <t>HP03W5J0102T5E</t>
  </si>
  <si>
    <t>CC0805KKX7R6BB106</t>
  </si>
  <si>
    <t>FUSE 12A 450V</t>
  </si>
  <si>
    <t>0505012.MXEP</t>
  </si>
  <si>
    <t>MICRON</t>
  </si>
  <si>
    <t>M25P16-VMW6TG</t>
  </si>
  <si>
    <t>WINBOND</t>
  </si>
  <si>
    <t>W25Q16JVSSIQ</t>
  </si>
  <si>
    <t>W25Q16JVSSIQ-TR</t>
  </si>
  <si>
    <t>RST 681 1/4W 1%1206</t>
  </si>
  <si>
    <t>RC1206FR-07681RL</t>
  </si>
  <si>
    <t>RST 2M2 1W 5% 2512</t>
  </si>
  <si>
    <t>CHV2512-FX-2204ELF</t>
  </si>
  <si>
    <t>CHV2512-FX-2204ELFT</t>
  </si>
  <si>
    <t>RST 8,45K 1/8W 1%SM</t>
  </si>
  <si>
    <t>RC0805FR-078K45L</t>
  </si>
  <si>
    <t>CRCW08058K45FKEA</t>
  </si>
  <si>
    <t>RK73H2ATTD8451F</t>
  </si>
  <si>
    <t>0805W8F8451T5E</t>
  </si>
  <si>
    <t>WR08X8451FTL</t>
  </si>
  <si>
    <t>CR0805-FX-8451ELF</t>
  </si>
  <si>
    <t>CC0402JRNPO9BN820</t>
  </si>
  <si>
    <t>C0402C820J5GACTU</t>
  </si>
  <si>
    <t>STPS4S200B-TR</t>
  </si>
  <si>
    <t>NTC 1R 9A 3,1W TH</t>
  </si>
  <si>
    <t>B57237S0109M000</t>
  </si>
  <si>
    <t>RST 47K 1/8W 1%0805</t>
  </si>
  <si>
    <t>RMCF0805FT47K0</t>
  </si>
  <si>
    <t>MA-1150498STG</t>
  </si>
  <si>
    <t>C0402C152J5GACTU</t>
  </si>
  <si>
    <t>GRM1555C1H152JA01D</t>
  </si>
  <si>
    <t>OPT DRIVER 5KV-03</t>
  </si>
  <si>
    <t>HCPL-817-30DE</t>
  </si>
  <si>
    <t>HCPL-817-36DE</t>
  </si>
  <si>
    <t>HCPL-817-50DE</t>
  </si>
  <si>
    <t>HCPL-817-56DE</t>
  </si>
  <si>
    <t>STTH6006W</t>
  </si>
  <si>
    <t>STTW6006W</t>
  </si>
  <si>
    <t>B32022A3223M</t>
  </si>
  <si>
    <t>B32022A3223M Z 1</t>
  </si>
  <si>
    <t>MOS 20V 2,4A SMD</t>
  </si>
  <si>
    <t>FDN304P</t>
  </si>
  <si>
    <t>TAJB476K006RNJ</t>
  </si>
  <si>
    <t>C0805C472K5RACTU</t>
  </si>
  <si>
    <t>FUSE 30A 500V</t>
  </si>
  <si>
    <t>COOPER BUSSMANN</t>
  </si>
  <si>
    <t>FNQ-30</t>
  </si>
  <si>
    <t>MERSEN</t>
  </si>
  <si>
    <t>ATQ30</t>
  </si>
  <si>
    <t>GRM31C5C2A104JA01K</t>
  </si>
  <si>
    <t>GRM31C5C2A104JA01L</t>
  </si>
  <si>
    <t>RST 680 1W 5% 2512</t>
  </si>
  <si>
    <t>RC2512JK-07680RL</t>
  </si>
  <si>
    <t>RST 12R 3/4W5%206-T</t>
  </si>
  <si>
    <t>VIKING TECH AMERICA CORP</t>
  </si>
  <si>
    <t>SWR06JTFQ0120</t>
  </si>
  <si>
    <t>SWR06JTFQ0120A</t>
  </si>
  <si>
    <t>XTAL 25MHZ 8PF2X1,6</t>
  </si>
  <si>
    <t>ABM11W-25.0000MHZ-8-K1Z-T</t>
  </si>
  <si>
    <t>MOS 25V 0,41A DUALP</t>
  </si>
  <si>
    <t>FDG6304P</t>
  </si>
  <si>
    <t>NTJD4152PT1G</t>
  </si>
  <si>
    <t>B32033A4473M000</t>
  </si>
  <si>
    <t>RST 2,43K 0,1W1%603</t>
  </si>
  <si>
    <t>RC0603FR-(**) 2K43 L</t>
  </si>
  <si>
    <t>RK73H1JT(**) 2431 F</t>
  </si>
  <si>
    <t>RK73H1JTTD2431F</t>
  </si>
  <si>
    <t>WR06X2431F(*)L</t>
  </si>
  <si>
    <t>JUMPER 6,35 MM</t>
  </si>
  <si>
    <t>D3081-05</t>
  </si>
  <si>
    <t>B32023A3104M</t>
  </si>
  <si>
    <t>IC ISO7521CDW</t>
  </si>
  <si>
    <t>ISO7521CDW</t>
  </si>
  <si>
    <t>ISO7521CDWR</t>
  </si>
  <si>
    <t>RST 0 1/4W 5% MF</t>
  </si>
  <si>
    <t>ZOTMW400000A50</t>
  </si>
  <si>
    <t>GLUE 3M 8910NS</t>
  </si>
  <si>
    <t>3M 8910NS</t>
  </si>
  <si>
    <t>RST 7,5K 1/8W 1%805</t>
  </si>
  <si>
    <t>ERJ-6ENF7501V</t>
  </si>
  <si>
    <t>RC0805FR-077K5L</t>
  </si>
  <si>
    <t>0805W8F7501T5E</t>
  </si>
  <si>
    <t>B32924-E3335M</t>
  </si>
  <si>
    <t>F861FN335M310Z</t>
  </si>
  <si>
    <t>F339MX253331MKP2T1</t>
  </si>
  <si>
    <t>DUST  MASK</t>
  </si>
  <si>
    <t>MASK CARBON GREEN 5 PLY</t>
  </si>
  <si>
    <t>CC0805JRX7R8BB104</t>
  </si>
  <si>
    <t>IC MC74VHCT02ADR2G</t>
  </si>
  <si>
    <t>MC74VHCT02ADR2G</t>
  </si>
  <si>
    <t>IC BAS3007A</t>
  </si>
  <si>
    <t>BAS3007A</t>
  </si>
  <si>
    <t>BAS3007ARPPE6327HTSA1</t>
  </si>
  <si>
    <t>SEMTECH</t>
  </si>
  <si>
    <t>SX9211IULTRT</t>
  </si>
  <si>
    <t>RST 62 1/16W1% 402</t>
  </si>
  <si>
    <t>0402WGF620JTCE</t>
  </si>
  <si>
    <t>RST 22K 1/16W 1%402</t>
  </si>
  <si>
    <t>CRCW040222K0FKED</t>
  </si>
  <si>
    <t>0402WGF2202TCE</t>
  </si>
  <si>
    <t>MOS 30V 3,4A SOT23</t>
  </si>
  <si>
    <t>PMV50XNEA</t>
  </si>
  <si>
    <t>PMV50XNEAR</t>
  </si>
  <si>
    <t>CC1206KKX7R7BB105</t>
  </si>
  <si>
    <t>RST 330 1/4W 5% CF</t>
  </si>
  <si>
    <t>CF1/4CT52R(A)331J</t>
  </si>
  <si>
    <t>CFR0W4J0331A50</t>
  </si>
  <si>
    <t>B32521C0225K189</t>
  </si>
  <si>
    <t>MKT1820522065</t>
  </si>
  <si>
    <t>RST 2K74 0,1W1%0603</t>
  </si>
  <si>
    <t>RC0603FR-072K74L</t>
  </si>
  <si>
    <t>885012007031</t>
  </si>
  <si>
    <t>RST 47K 0,1W 1% 603</t>
  </si>
  <si>
    <t>ERJ-3EKF4702V</t>
  </si>
  <si>
    <t>0603WAF4702T5E</t>
  </si>
  <si>
    <t>RMCF0603FT47K0</t>
  </si>
  <si>
    <t>RM5/I N87 A63</t>
  </si>
  <si>
    <t>B65805J0063A087</t>
  </si>
  <si>
    <t>IC IP4220CZ6,125</t>
  </si>
  <si>
    <t>IP4220CZ6,125</t>
  </si>
  <si>
    <t>CNT 1729144</t>
  </si>
  <si>
    <t>MKDSN 1,5/ 4-5,08</t>
  </si>
  <si>
    <t>MKDSN 1,5/4-5,08</t>
  </si>
  <si>
    <t>1729144</t>
  </si>
  <si>
    <t>BSO080P03SHXUMA1</t>
  </si>
  <si>
    <t>IRF9321TRPBF</t>
  </si>
  <si>
    <t>CC0603KRX7R9BB102</t>
  </si>
  <si>
    <t>C0603C102K5RAC</t>
  </si>
  <si>
    <t>CL10B102KB8NNNC</t>
  </si>
  <si>
    <t>UCY2D121MHD12,5X31,5</t>
  </si>
  <si>
    <t>UCY2D121MHD6</t>
  </si>
  <si>
    <t>EKXJ201ELL121MK30S</t>
  </si>
  <si>
    <t>BL2D127M12030BB</t>
  </si>
  <si>
    <t>200BXW120MEFR12.5X25</t>
  </si>
  <si>
    <t>CC1206KKX7R0BB104</t>
  </si>
  <si>
    <t>RST 20K 1W 5% 2512</t>
  </si>
  <si>
    <t>ERJ-1TYJ203U</t>
  </si>
  <si>
    <t>RC2512JK-0720KL</t>
  </si>
  <si>
    <t>PTZTE2520A</t>
  </si>
  <si>
    <t>RST 221K 1/4W1%1206</t>
  </si>
  <si>
    <t>RK73H2BTTD2213F</t>
  </si>
  <si>
    <t>1206W4F2213T5E</t>
  </si>
  <si>
    <t>RST 560 1/2W 5% CF</t>
  </si>
  <si>
    <t>SFR16S0005600JA500</t>
  </si>
  <si>
    <t>CF1/2CT52R(A)561J</t>
  </si>
  <si>
    <t>CFRFU2J0561A50</t>
  </si>
  <si>
    <t>SPACER 18 MM</t>
  </si>
  <si>
    <t>RST 56K2 1/8W1%805A</t>
  </si>
  <si>
    <t>WR08X5622FTL</t>
  </si>
  <si>
    <t>RST 30,1K 1/4W1%805</t>
  </si>
  <si>
    <t>RC0805FR-0730K1L</t>
  </si>
  <si>
    <t>0805W8F3012T5E</t>
  </si>
  <si>
    <t>RST 10K 0,1W1% 603A</t>
  </si>
  <si>
    <t>MCT06030C1002FP500</t>
  </si>
  <si>
    <t>CR0603FX-1002ELF</t>
  </si>
  <si>
    <t>IC LM2902DR2G</t>
  </si>
  <si>
    <t>LM2902DR2G</t>
  </si>
  <si>
    <t>LM2902DT</t>
  </si>
  <si>
    <t>RST 147K0,1W 1%603A</t>
  </si>
  <si>
    <t>RC0603FR-07147KL</t>
  </si>
  <si>
    <t>CR0603FX1473ELF</t>
  </si>
  <si>
    <t>CNT 6450851-1</t>
  </si>
  <si>
    <t>FCI</t>
  </si>
  <si>
    <t>10106130-E008001LF</t>
  </si>
  <si>
    <t>6450851-1</t>
  </si>
  <si>
    <t>FUSE 40A 500V</t>
  </si>
  <si>
    <t>C14M40</t>
  </si>
  <si>
    <t>LEGRAND</t>
  </si>
  <si>
    <t>14040</t>
  </si>
  <si>
    <t>POLYSWITCH LVR016S</t>
  </si>
  <si>
    <t>224962-000£L</t>
  </si>
  <si>
    <t>LVR016S</t>
  </si>
  <si>
    <t>IC TS2431AILT</t>
  </si>
  <si>
    <t>ZTL431AFTA</t>
  </si>
  <si>
    <t>LM431SBCM3X</t>
  </si>
  <si>
    <t>TS2431AILT</t>
  </si>
  <si>
    <t>BAT54ALT1G</t>
  </si>
  <si>
    <t>CC1206KKX7R7BB106</t>
  </si>
  <si>
    <t>CL31B106KOHNNNE</t>
  </si>
  <si>
    <t>CGA5L1X7R1C106K160AC</t>
  </si>
  <si>
    <t>1206B106K160LT</t>
  </si>
  <si>
    <t>DSEC30-06B</t>
  </si>
  <si>
    <t>STTH30R06CW</t>
  </si>
  <si>
    <t>B32023A3224M</t>
  </si>
  <si>
    <t>B32023A3224M000</t>
  </si>
  <si>
    <t>C43Q1224M9SC000</t>
  </si>
  <si>
    <t>C43Q1224M9S000</t>
  </si>
  <si>
    <t>2N7002K-T1-E3</t>
  </si>
  <si>
    <t>2N7002-7-F</t>
  </si>
  <si>
    <t>RST 1K2 0,1W 1%603</t>
  </si>
  <si>
    <t>RC0603FR-071K2L</t>
  </si>
  <si>
    <t>UHE1E471MPD</t>
  </si>
  <si>
    <t>EKY-250E 471MH20D</t>
  </si>
  <si>
    <t>25YXH470MEFCT78X20</t>
  </si>
  <si>
    <t>FKP1T003304B00KSSD</t>
  </si>
  <si>
    <t>LED GREEN 0805</t>
  </si>
  <si>
    <t>150080GS75000</t>
  </si>
  <si>
    <t>CC0402KRX7R7BB104</t>
  </si>
  <si>
    <t>CRYSTAL 32MHZ 6PF</t>
  </si>
  <si>
    <t>XRCGB32M000F1H19R0</t>
  </si>
  <si>
    <t>XRCGB32M000F1SBAR0</t>
  </si>
  <si>
    <t>XRCGB32M000F1S1AR0</t>
  </si>
  <si>
    <t>RST 1,8K 0,1W 1%603</t>
  </si>
  <si>
    <t>0603WAF1801T5E</t>
  </si>
  <si>
    <t>CNT 85513-5114</t>
  </si>
  <si>
    <t>85513-5114</t>
  </si>
  <si>
    <t>RELAY 12V HF152 TH</t>
  </si>
  <si>
    <t>HONGFA</t>
  </si>
  <si>
    <t>HF152FD/12-1HST</t>
  </si>
  <si>
    <t>G5LE -1A-4- ASI-CF-36-E-S</t>
  </si>
  <si>
    <t>ZETTLER ELECTRON</t>
  </si>
  <si>
    <t>AZ943-1AH-12DE</t>
  </si>
  <si>
    <t>CH-15X50-48</t>
  </si>
  <si>
    <t>ESSENTRA</t>
  </si>
  <si>
    <t>CH-15X50-48 RICHCO</t>
  </si>
  <si>
    <t>CH15X50-48</t>
  </si>
  <si>
    <t>LED SMD CL-GR 0603</t>
  </si>
  <si>
    <t>19-217/GHC-YN1P2B18</t>
  </si>
  <si>
    <t>19-217/GHC-YN1P2B18X/3T</t>
  </si>
  <si>
    <t>19-217/GHC-YN1P2B18X/6T</t>
  </si>
  <si>
    <t>KPHM-1608CGCK</t>
  </si>
  <si>
    <t>RST 82 1/8W 5% 1206</t>
  </si>
  <si>
    <t>WR12X820JTL</t>
  </si>
  <si>
    <t>RST 8,25K 1/8W1%805</t>
  </si>
  <si>
    <t>RMCF0805FT8K25</t>
  </si>
  <si>
    <t>TRAN NPN 40V SOT223</t>
  </si>
  <si>
    <t>DZT2222A-13</t>
  </si>
  <si>
    <t>SWT 429-25130120002</t>
  </si>
  <si>
    <t>DDM HOPT+SCHULER</t>
  </si>
  <si>
    <t>429-25130120002</t>
  </si>
  <si>
    <t>SMAJ5.0A</t>
  </si>
  <si>
    <t>SMAJ5.0A-E3/61</t>
  </si>
  <si>
    <t>EKXJ451ELL820MU50S</t>
  </si>
  <si>
    <t>MA-1300123STG</t>
  </si>
  <si>
    <t>1N4148WS-E3</t>
  </si>
  <si>
    <t>MA-1150571STG</t>
  </si>
  <si>
    <t>GRT1555C1H331JA02D</t>
  </si>
  <si>
    <t>MA-1300075STG</t>
  </si>
  <si>
    <t>BAV70LT1</t>
  </si>
  <si>
    <t>VAR 385V LA20</t>
  </si>
  <si>
    <t>V385LA20AP</t>
  </si>
  <si>
    <t>MOV-14D621K</t>
  </si>
  <si>
    <t>16YXJ220M6.3X11</t>
  </si>
  <si>
    <t>ERJ1CM221E11OT</t>
  </si>
  <si>
    <t>RST 1K 0,1W5% 0603A</t>
  </si>
  <si>
    <t>CR0603-JW-102ELF</t>
  </si>
  <si>
    <t>CC0805KKX7R9BB105</t>
  </si>
  <si>
    <t>UMK212B7105KG-T</t>
  </si>
  <si>
    <t>C2012X7R1H105K085AC</t>
  </si>
  <si>
    <t>RST 8K2 0,1W 1% 603</t>
  </si>
  <si>
    <t>RC0603FR-078K2L</t>
  </si>
  <si>
    <t>B45196H3106M10(Õ)</t>
  </si>
  <si>
    <t>T491A106M016ZT</t>
  </si>
  <si>
    <t>293D106X0016A2(*)E3</t>
  </si>
  <si>
    <t>TAJA106M016(*)NJ</t>
  </si>
  <si>
    <t>TAJA106M016RNJ</t>
  </si>
  <si>
    <t>RST 6,8 0,1W 5% 603</t>
  </si>
  <si>
    <t>RC0603JR-076R8L</t>
  </si>
  <si>
    <t>RST 68K 0,1W 1%603A</t>
  </si>
  <si>
    <t>RC0603FR-0768KL</t>
  </si>
  <si>
    <t>C1206C475K5RACAUTO</t>
  </si>
  <si>
    <t>CL31B475KBHNNNE</t>
  </si>
  <si>
    <t>KME16VB47M</t>
  </si>
  <si>
    <t>16YXF47M5X11</t>
  </si>
  <si>
    <t>ERM1CM470D11OT</t>
  </si>
  <si>
    <t>B37650-K9226K0</t>
  </si>
  <si>
    <t>C1210C226K4PAC7800</t>
  </si>
  <si>
    <t>GRM32ER61C226KE20</t>
  </si>
  <si>
    <t>EMK325BJ226KM-P</t>
  </si>
  <si>
    <t>EMK325BJ226KM-T</t>
  </si>
  <si>
    <t>CM32X5R226K16A</t>
  </si>
  <si>
    <t>RST 200K 0,1W1%603A</t>
  </si>
  <si>
    <t>RC0603FR-07200KL</t>
  </si>
  <si>
    <t>CRCW0603200KFKEA</t>
  </si>
  <si>
    <t>C1808C222MFRACTU</t>
  </si>
  <si>
    <t>1808SC222KAT2A</t>
  </si>
  <si>
    <t>1808SC222MAT2A</t>
  </si>
  <si>
    <t>RST 51K 0,1W 5% 603</t>
  </si>
  <si>
    <t>RC0603JR-0751KL</t>
  </si>
  <si>
    <t>RST 5K1 0,1W 5% 603</t>
  </si>
  <si>
    <t>RC0603JR-075K1L</t>
  </si>
  <si>
    <t>RST 6K19 0,1W 1%603</t>
  </si>
  <si>
    <t>RC0603FR-076K19L</t>
  </si>
  <si>
    <t>RST 0 1/16W 5% 0603</t>
  </si>
  <si>
    <t>RC0603JR-070RL</t>
  </si>
  <si>
    <t>RST 100K0,1W 1%603A</t>
  </si>
  <si>
    <t>RC0603FR-07100KL</t>
  </si>
  <si>
    <t>C1210J105K5RACTU</t>
  </si>
  <si>
    <t>C1210J105K5RAC7800</t>
  </si>
  <si>
    <t>IC CP2102-GMR</t>
  </si>
  <si>
    <t>CP2102-GMR</t>
  </si>
  <si>
    <t>RST 10M 1W 1% 2512</t>
  </si>
  <si>
    <t>CRA2512-FZ-R010ELF</t>
  </si>
  <si>
    <t>MEGGITT</t>
  </si>
  <si>
    <t>TL3AR01F</t>
  </si>
  <si>
    <t>R60EF4100506AK</t>
  </si>
  <si>
    <t>60EF4100506AK</t>
  </si>
  <si>
    <t>MKT1820510015M</t>
  </si>
  <si>
    <t>B32521C1105J</t>
  </si>
  <si>
    <t>RST 0,02 1% 2W 2512</t>
  </si>
  <si>
    <t>PA2512FKE7W0R02E</t>
  </si>
  <si>
    <t>CNTM 2-1634688-0</t>
  </si>
  <si>
    <t>5103308-5</t>
  </si>
  <si>
    <t>IRFL110TRPBF</t>
  </si>
  <si>
    <t>B32913B5224K</t>
  </si>
  <si>
    <t>CL31A226KAHNNNE</t>
  </si>
  <si>
    <t>ECQUAAF104M</t>
  </si>
  <si>
    <t>B32922C3104M</t>
  </si>
  <si>
    <t>B32932A3104M</t>
  </si>
  <si>
    <t>C42Q2104K6WA605</t>
  </si>
  <si>
    <t>MKX2AW31004B00</t>
  </si>
  <si>
    <t>MKX2AW31004B00KSSD</t>
  </si>
  <si>
    <t>RST 10R 1W 350V</t>
  </si>
  <si>
    <t>PR01000101009J</t>
  </si>
  <si>
    <t>PR01000101009JA100</t>
  </si>
  <si>
    <t>WAVE GREASE HITEMP</t>
  </si>
  <si>
    <t>DUPONT</t>
  </si>
  <si>
    <t>KRYTOX : GPL 227</t>
  </si>
  <si>
    <t>KRYTOX : GPL 227 (1KG)</t>
  </si>
  <si>
    <t>KRYTOX : GPL 227 500 G</t>
  </si>
  <si>
    <t>5KP58CA</t>
  </si>
  <si>
    <t>BZW50-56B</t>
  </si>
  <si>
    <t>GCM1885C1H101JA16D</t>
  </si>
  <si>
    <t>06035A101J4T2A</t>
  </si>
  <si>
    <t>B32021A3102M</t>
  </si>
  <si>
    <t>B32021A3102M000</t>
  </si>
  <si>
    <t>B32021A3102M189</t>
  </si>
  <si>
    <t>08055C222KAT2A</t>
  </si>
  <si>
    <t>MA-1360173G</t>
  </si>
  <si>
    <t>FDN337N</t>
  </si>
  <si>
    <t>MA-1200291G</t>
  </si>
  <si>
    <t>36501E12NJTDG</t>
  </si>
  <si>
    <t>L-07W12NGV4T</t>
  </si>
  <si>
    <t>L-07W12NJV4T</t>
  </si>
  <si>
    <t>MA-1200292G</t>
  </si>
  <si>
    <t>L-07W39NJV4T</t>
  </si>
  <si>
    <t>MA-1360210G</t>
  </si>
  <si>
    <t>SI2343CDS-T1-GE3</t>
  </si>
  <si>
    <t>VAR 680V LA80</t>
  </si>
  <si>
    <t>V680LA100BP</t>
  </si>
  <si>
    <t>MORNSUN</t>
  </si>
  <si>
    <t>SCM1212BTA</t>
  </si>
  <si>
    <t>12065C104KAT2A</t>
  </si>
  <si>
    <t>RST 75 1% 0402-T</t>
  </si>
  <si>
    <t>CRCW040275R0FKED</t>
  </si>
  <si>
    <t>CQ02WGF750JTCE</t>
  </si>
  <si>
    <t>RST 22,1K 1/8W1%805</t>
  </si>
  <si>
    <t>RMCF0805FT22K1</t>
  </si>
  <si>
    <t>DMG1016UDW-7</t>
  </si>
  <si>
    <t>CL21A226MAQNNNE</t>
  </si>
  <si>
    <t>CL21A226MAYNNNE</t>
  </si>
  <si>
    <t>RST 0,33 2W 5% 2512</t>
  </si>
  <si>
    <t>AMP</t>
  </si>
  <si>
    <t>3-2176058-7</t>
  </si>
  <si>
    <t>RLP73K3AR33JTE</t>
  </si>
  <si>
    <t>IC AD8628ARTZ</t>
  </si>
  <si>
    <t>OPA335AIDBVR</t>
  </si>
  <si>
    <t>OPA335AIDBVT</t>
  </si>
  <si>
    <t>AD8628ARTZ-REEL7</t>
  </si>
  <si>
    <t>LINEAR TECHNOLOGY</t>
  </si>
  <si>
    <t>LTC2050HS5#TRMPBF</t>
  </si>
  <si>
    <t>PTC 4,5A 16V</t>
  </si>
  <si>
    <t>RHEF450</t>
  </si>
  <si>
    <t>RST 3,3K 1/4W 5%SMD</t>
  </si>
  <si>
    <t>RC1206FR-073K3L</t>
  </si>
  <si>
    <t>WR12X3301FTL</t>
  </si>
  <si>
    <t>B32774D1305K000</t>
  </si>
  <si>
    <t>TAPE 65X98MM 060GF</t>
  </si>
  <si>
    <t>KANSAI FELT</t>
  </si>
  <si>
    <t>GL0008824-0000 REV 01</t>
  </si>
  <si>
    <t>GL0008824-0000 REV 02</t>
  </si>
  <si>
    <t>FABRITECH</t>
  </si>
  <si>
    <t>LED SMD GREEN2</t>
  </si>
  <si>
    <t>VLMG3100-GS08</t>
  </si>
  <si>
    <t>IC TMS320F28032PAGT</t>
  </si>
  <si>
    <t>TMS320F28032PAGT</t>
  </si>
  <si>
    <t>IC REF3030AIDBZ</t>
  </si>
  <si>
    <t>REF3030AIDBZ</t>
  </si>
  <si>
    <t>REF3030AIDBZR</t>
  </si>
  <si>
    <t>REF3030AIDBZT</t>
  </si>
  <si>
    <t>MAX6010AEUR+</t>
  </si>
  <si>
    <t>ESD5Z5.0T5G</t>
  </si>
  <si>
    <t>VY1472M63Y5UG63V0</t>
  </si>
  <si>
    <t>MP2451DT-LF-Z</t>
  </si>
  <si>
    <t>POWER INTEGRATIONS</t>
  </si>
  <si>
    <t>DSSK60-02A</t>
  </si>
  <si>
    <t>STPS60SM200CW</t>
  </si>
  <si>
    <t>MICROSEMI</t>
  </si>
  <si>
    <t>APT60S20B2CTG</t>
  </si>
  <si>
    <t>MA-1150572STG</t>
  </si>
  <si>
    <t>500R07S8R2CV4T</t>
  </si>
  <si>
    <t>EEE-FK1E470P</t>
  </si>
  <si>
    <t>RST 150K 1W5%2512</t>
  </si>
  <si>
    <t>CRCW2512150KJNEG</t>
  </si>
  <si>
    <t>MCHVR12JTET1503</t>
  </si>
  <si>
    <t>12101C475K4Z2A</t>
  </si>
  <si>
    <t>CNA6P1X7R2A475K250AE</t>
  </si>
  <si>
    <t>UDZ18B</t>
  </si>
  <si>
    <t>PDZ18B,115</t>
  </si>
  <si>
    <t>CAP 1NF/100V 10%805</t>
  </si>
  <si>
    <t>CL21B102KCANNNC</t>
  </si>
  <si>
    <t>CC0603KRX7R9BB104</t>
  </si>
  <si>
    <t>C0603X104K5RACXX</t>
  </si>
  <si>
    <t>06035C104KXXXX</t>
  </si>
  <si>
    <t>GRM1885C1H101JA01D</t>
  </si>
  <si>
    <t>RST 4,7 1/4W 5%0805</t>
  </si>
  <si>
    <t>SR0805JR-7W4R7L</t>
  </si>
  <si>
    <t>RK73B2ATTD4R7J</t>
  </si>
  <si>
    <t>HP05W3J047JT5E</t>
  </si>
  <si>
    <t>B0520LW-7-F</t>
  </si>
  <si>
    <t>MBR0520L</t>
  </si>
  <si>
    <t>MBR0520LT1G</t>
  </si>
  <si>
    <t>C3225C0G3A123JT000N</t>
  </si>
  <si>
    <t>C3225C0G3A123J250AC</t>
  </si>
  <si>
    <t>LED DIA 5 MM CL-GRN</t>
  </si>
  <si>
    <t>NSPG510BS</t>
  </si>
  <si>
    <t>LW0010X0,070 ETFE</t>
  </si>
  <si>
    <t>GREAT LEOFLON</t>
  </si>
  <si>
    <t>TRW (F)(L)-007/010 0.07MM</t>
  </si>
  <si>
    <t>RST 4,7K 1/4W 5%805</t>
  </si>
  <si>
    <t>RK73B2ATTD472J</t>
  </si>
  <si>
    <t>Short</t>
  </si>
  <si>
    <t>cate</t>
  </si>
  <si>
    <t xml:space="preserve">OPT </t>
  </si>
  <si>
    <t xml:space="preserve">NTC </t>
  </si>
  <si>
    <t xml:space="preserve">LED </t>
  </si>
  <si>
    <t>IC R</t>
  </si>
  <si>
    <t>22-2</t>
  </si>
  <si>
    <t>FUSE</t>
  </si>
  <si>
    <t xml:space="preserve">IND </t>
  </si>
  <si>
    <t>BUSB</t>
  </si>
  <si>
    <t>IC A</t>
  </si>
  <si>
    <t xml:space="preserve">PIN </t>
  </si>
  <si>
    <t>22-0</t>
  </si>
  <si>
    <t>IC F</t>
  </si>
  <si>
    <t xml:space="preserve">CTM </t>
  </si>
  <si>
    <t xml:space="preserve">VAR </t>
  </si>
  <si>
    <t>ANTE</t>
  </si>
  <si>
    <t xml:space="preserve">BAT </t>
  </si>
  <si>
    <t xml:space="preserve">SCR </t>
  </si>
  <si>
    <t>TRAN</t>
  </si>
  <si>
    <t>MA-1</t>
  </si>
  <si>
    <t>POLY</t>
  </si>
  <si>
    <t>CNTF</t>
  </si>
  <si>
    <t>IC T</t>
  </si>
  <si>
    <t>CG21</t>
  </si>
  <si>
    <t>IC M</t>
  </si>
  <si>
    <t>0043</t>
  </si>
  <si>
    <t xml:space="preserve">EMI </t>
  </si>
  <si>
    <t xml:space="preserve">CNT </t>
  </si>
  <si>
    <t>CONT</t>
  </si>
  <si>
    <t>XTAL</t>
  </si>
  <si>
    <t>IC H</t>
  </si>
  <si>
    <t xml:space="preserve">MOS </t>
  </si>
  <si>
    <t>08-5</t>
  </si>
  <si>
    <t>IC L</t>
  </si>
  <si>
    <t>HEAD</t>
  </si>
  <si>
    <t>C330</t>
  </si>
  <si>
    <t xml:space="preserve">BLE </t>
  </si>
  <si>
    <t>CLIP</t>
  </si>
  <si>
    <t xml:space="preserve">CTF </t>
  </si>
  <si>
    <t>CRYS</t>
  </si>
  <si>
    <t>SENS</t>
  </si>
  <si>
    <t>SW B</t>
  </si>
  <si>
    <t>COPP</t>
  </si>
  <si>
    <t>IC V</t>
  </si>
  <si>
    <t>IC 2</t>
  </si>
  <si>
    <t>BASE</t>
  </si>
  <si>
    <t>SPAC</t>
  </si>
  <si>
    <t>R10K</t>
  </si>
  <si>
    <t xml:space="preserve">BOB </t>
  </si>
  <si>
    <t>IC X</t>
  </si>
  <si>
    <t>COVE</t>
  </si>
  <si>
    <t xml:space="preserve">DIO </t>
  </si>
  <si>
    <t>GLOV</t>
  </si>
  <si>
    <t>JUMP</t>
  </si>
  <si>
    <t>IC I</t>
  </si>
  <si>
    <t>GLUE</t>
  </si>
  <si>
    <t>DUST</t>
  </si>
  <si>
    <t>IC B</t>
  </si>
  <si>
    <t>RM5/</t>
  </si>
  <si>
    <t>RELA</t>
  </si>
  <si>
    <t>CH-1</t>
  </si>
  <si>
    <t xml:space="preserve">SWT </t>
  </si>
  <si>
    <t>IC C</t>
  </si>
  <si>
    <t>CNTM</t>
  </si>
  <si>
    <t>WAVE</t>
  </si>
  <si>
    <t xml:space="preserve">PTC </t>
  </si>
  <si>
    <t>TAPE</t>
  </si>
  <si>
    <t xml:space="preserve">CAP </t>
  </si>
  <si>
    <t>LW00</t>
  </si>
  <si>
    <t>mfg:</t>
  </si>
  <si>
    <t>qty:</t>
  </si>
  <si>
    <t>des</t>
  </si>
  <si>
    <t>pn:</t>
  </si>
  <si>
    <t xml:space="preserve">Resistor </t>
  </si>
  <si>
    <t>Capacitor</t>
  </si>
  <si>
    <t>Capacitorcitor</t>
  </si>
  <si>
    <t>Capacitor 100NF K16V0402</t>
  </si>
  <si>
    <t>Capacitor 4U7/10V 20%402</t>
  </si>
  <si>
    <t>Capacitor 1NF/25V 5%-02</t>
  </si>
  <si>
    <t>Capacitor 1UF K25V 0805</t>
  </si>
  <si>
    <t>Capacitor 1UF/25V 402</t>
  </si>
  <si>
    <t>Capacitor 2NF K16V 0402</t>
  </si>
  <si>
    <t>Capacitor 33PF K16V 0603</t>
  </si>
  <si>
    <t>Capacitor 10UF/50V 10%</t>
  </si>
  <si>
    <t>Capacitor 22UF K10V 1206</t>
  </si>
  <si>
    <t>Capacitor 100NF K16V0603</t>
  </si>
  <si>
    <t>Capacitor 1NF/630V 10%</t>
  </si>
  <si>
    <t>Capacitor 56PF J50V 0603</t>
  </si>
  <si>
    <t>Capacitor 15PF K16V 0603</t>
  </si>
  <si>
    <t>Capacitor 0,1UF/25V 0805</t>
  </si>
  <si>
    <t>Capacitor 1NF/25V 5%</t>
  </si>
  <si>
    <t>Capacitor 22NF/25V 5%805</t>
  </si>
  <si>
    <t>Capacitor 22PF K16V 0603</t>
  </si>
  <si>
    <t>Capacitor 1UF/50V 10%</t>
  </si>
  <si>
    <t>Capacitor 10UF/10V 10%</t>
  </si>
  <si>
    <t>Capacitor 10NF/50V 10%-2</t>
  </si>
  <si>
    <t>Capacitor 100NF/25V 5%-2</t>
  </si>
  <si>
    <t>Capacitor 33UF/450V 20%2</t>
  </si>
  <si>
    <t>Capacitor 10UF/50V 1206</t>
  </si>
  <si>
    <t>Capacitor 1UF 16V 0805</t>
  </si>
  <si>
    <t>Capacitor 2,2NF K16V0603</t>
  </si>
  <si>
    <t>Capacitor 2,2UF/25V 1206</t>
  </si>
  <si>
    <t>Capacitor 1000UF/25V 20%</t>
  </si>
  <si>
    <t>Capacitor 10UF/16V 10%-2</t>
  </si>
  <si>
    <t>Capacitor 100NF 16V 0603</t>
  </si>
  <si>
    <t>Capacitor 22PF/50V 10%</t>
  </si>
  <si>
    <t>Capacitor 60NF/700V-02</t>
  </si>
  <si>
    <t>Capacitor 100NF/63V 10%</t>
  </si>
  <si>
    <t>Capacitor 10NF/16V 10%</t>
  </si>
  <si>
    <t>Capacitor 10UF/50V 20%</t>
  </si>
  <si>
    <t>Capacitor 4,7NF 250V2220</t>
  </si>
  <si>
    <t>Capacitor 15PF/16V 10%</t>
  </si>
  <si>
    <t>Capacitor 47NF K25V 805</t>
  </si>
  <si>
    <t>Capacitor 10NF/16V 10%-A</t>
  </si>
  <si>
    <t>Capacitor 47PF/25V 0402</t>
  </si>
  <si>
    <t>Capacitor 1NF/50V X7R603</t>
  </si>
  <si>
    <t>Capacitor 10NF/630V 1206</t>
  </si>
  <si>
    <t>Capacitor 100NF/25V 10%</t>
  </si>
  <si>
    <t>Capacitor 10PF/50V 402</t>
  </si>
  <si>
    <t>Capacitor 10UF/250V</t>
  </si>
  <si>
    <t>Capacitor 220NF/16V 0402</t>
  </si>
  <si>
    <t>Capacitor 220NF/500V 10%</t>
  </si>
  <si>
    <t>Capacitor 100NF/10V 0402</t>
  </si>
  <si>
    <t>Capacitor 4U7/6,3V 0402</t>
  </si>
  <si>
    <t>Capacitor 1PF/50V 0402</t>
  </si>
  <si>
    <t>Capacitor 0,1UF 400V TH</t>
  </si>
  <si>
    <t>Capacitor 2,2UF 10V 0603</t>
  </si>
  <si>
    <t>Capacitor Y1 2,2NF/400V</t>
  </si>
  <si>
    <t>Capacitor Y1 100PF/400V</t>
  </si>
  <si>
    <t>Capacitor 10NF K16V 0402</t>
  </si>
  <si>
    <t>Capacitor 3,3NF/25V10%SM</t>
  </si>
  <si>
    <t>Capacitor 10NF/25V 402</t>
  </si>
  <si>
    <t>Capacitor 0,9PF/50V 0402</t>
  </si>
  <si>
    <t>Capacitor 1NF/100V 0402</t>
  </si>
  <si>
    <t>Capacitor 1000PF/50V 603</t>
  </si>
  <si>
    <t>Capacitor 100PF 200V1206</t>
  </si>
  <si>
    <t>Capacitor 1UF/10V 10%402</t>
  </si>
  <si>
    <t>Capacitor 470PF 500V1206</t>
  </si>
  <si>
    <t>Capacitor 10NF/25V 0402</t>
  </si>
  <si>
    <t>Capacitor 22NF/50V 0805</t>
  </si>
  <si>
    <t>Capacitor 1NF/50V 1206</t>
  </si>
  <si>
    <t>Capacitor 1PF/25V 0402</t>
  </si>
  <si>
    <t>Capacitor 100PF/50V 402</t>
  </si>
  <si>
    <t>Capacitor 220NF K50V 805</t>
  </si>
  <si>
    <t>Capacitor 220NF 400V TH</t>
  </si>
  <si>
    <t>Capacitor 10UF/25V 805</t>
  </si>
  <si>
    <t>Capacitor 470PF50V5%0603</t>
  </si>
  <si>
    <t>Capacitor 2,2UF K16V 603</t>
  </si>
  <si>
    <t>Capacitor 100NF/50V 0805</t>
  </si>
  <si>
    <t>Capacitor 1NF/300V 20%TH</t>
  </si>
  <si>
    <t>Capacitor 22NF/16V10%603</t>
  </si>
  <si>
    <t>Capacitor 10PF/50V 5%603</t>
  </si>
  <si>
    <t>Capacitor 47PF/100V 805A</t>
  </si>
  <si>
    <t>Capacitor 220PF/50V 0805</t>
  </si>
  <si>
    <t>Capacitor 100PF/50V 603</t>
  </si>
  <si>
    <t>Capacitor 47PF50V 5%603A</t>
  </si>
  <si>
    <t>Capacitor 1UF 10V 0603</t>
  </si>
  <si>
    <t>Capacitor 10NF 200V 0805</t>
  </si>
  <si>
    <t>Capacitor 4,7NF 50V0603</t>
  </si>
  <si>
    <t>Capacitor 120PF/50V 0805</t>
  </si>
  <si>
    <t>Capacitor 4,7NF/305V Y2</t>
  </si>
  <si>
    <t>Capacitor 10UF/25V20%603</t>
  </si>
  <si>
    <t>Capacitor 47NF/300V 20%2</t>
  </si>
  <si>
    <t>Capacitor 100PF/25V 0603</t>
  </si>
  <si>
    <t>Capacitor 220NF 630V TH</t>
  </si>
  <si>
    <t>Capacitor 22PF/16V 10%</t>
  </si>
  <si>
    <t>Capacitor 470UF 80V TH</t>
  </si>
  <si>
    <t>Capacitor 1NF 100V 1206</t>
  </si>
  <si>
    <t>Capacitor 47PF50V 5%603B</t>
  </si>
  <si>
    <t>Capacitor 10PF J50V 0805</t>
  </si>
  <si>
    <t>Capacitor 1NF/50V 5%</t>
  </si>
  <si>
    <t>Capacitor 68PF/630V 805</t>
  </si>
  <si>
    <t>Capacitor 56PF/16V 10%</t>
  </si>
  <si>
    <t>Capacitor 330PF/25V 0603</t>
  </si>
  <si>
    <t>Capacitor 0,1UF/100V 805</t>
  </si>
  <si>
    <t>Capacitor 1NF/50V 0805B</t>
  </si>
  <si>
    <t>Capacitor 1UF/16V 0603</t>
  </si>
  <si>
    <t>Capacitor 4,7UF K16V1206</t>
  </si>
  <si>
    <t>Capacitor 10NF 250V TH</t>
  </si>
  <si>
    <t>Capacitor 10UF 16V 1206</t>
  </si>
  <si>
    <t>Capacitor 0,1UF/25V 0402</t>
  </si>
  <si>
    <t>Capacitor 22PF/50V5% 402</t>
  </si>
  <si>
    <t>Capacitor 2,7PF/25V 0402</t>
  </si>
  <si>
    <t>Capacitor 1NF/500V 1206</t>
  </si>
  <si>
    <t>Capacitor 10PF/50V 0805</t>
  </si>
  <si>
    <t>Capacitor 10NF 1000V1812</t>
  </si>
  <si>
    <t>Capacitor 1UF/50V 20%</t>
  </si>
  <si>
    <t>Capacitor 4,7NF/480V-TH</t>
  </si>
  <si>
    <t>Capacitor 220NF 50V 805B</t>
  </si>
  <si>
    <t>Capacitor Y2 2,2NF/250V</t>
  </si>
  <si>
    <t>Capacitor 470PF/25V 5%</t>
  </si>
  <si>
    <t>Capacitor 2,2UF/25V 10%</t>
  </si>
  <si>
    <t>Capacitor 10NF/25V 10%</t>
  </si>
  <si>
    <t>Capacitor 1NF/16V 10%402</t>
  </si>
  <si>
    <t>Capacitor 2200UF/25V 20%</t>
  </si>
  <si>
    <t>Capacitor 470NF 275V TH</t>
  </si>
  <si>
    <t>Capacitor 10NF/1500V20%</t>
  </si>
  <si>
    <t>Capacitor 15NF/2000V</t>
  </si>
  <si>
    <t>Capacitor 100UF 6,3V1210</t>
  </si>
  <si>
    <t>Capacitor 2,2UF 50V 1206</t>
  </si>
  <si>
    <t>Capacitor 220NF/200V1210</t>
  </si>
  <si>
    <t>Capacitor 22UF/6,3V 20%A</t>
  </si>
  <si>
    <t>Capacitor 680UF/25V TH-1</t>
  </si>
  <si>
    <t>Capacitor 4,7NF250V20%TH</t>
  </si>
  <si>
    <t>Capacitor 4,7NF/250V 20%</t>
  </si>
  <si>
    <t>Capacitor 27PF/50V 1%</t>
  </si>
  <si>
    <t>Capacitor 15NF/50V 1%805</t>
  </si>
  <si>
    <t>Capacitor 220NF 16V0603</t>
  </si>
  <si>
    <t>Capacitor 100NF/25V 603</t>
  </si>
  <si>
    <t>Capacitor 4,7UF/25V 1210</t>
  </si>
  <si>
    <t>Capacitor 1NF/100V 10%</t>
  </si>
  <si>
    <t>Capacitor 100NF K16V603A</t>
  </si>
  <si>
    <t>Capacitor 4,7UF/25V 0805</t>
  </si>
  <si>
    <t>Capacitor 10UF 25V 1206</t>
  </si>
  <si>
    <t>Capacitor 1UF/25V 0805</t>
  </si>
  <si>
    <t>Capacitor 220UF/35V20%-2</t>
  </si>
  <si>
    <t>Capacitor 10UF/10V 0805C</t>
  </si>
  <si>
    <t>Capacitor 82PF/50V 0402</t>
  </si>
  <si>
    <t>Capacitor 22NF/300VAC</t>
  </si>
  <si>
    <t>Capacitor 47UF/6,3V TANT</t>
  </si>
  <si>
    <t>Capacitor 4,7NF/50V 0805</t>
  </si>
  <si>
    <t>Capacitor 0,1UF/100V 206</t>
  </si>
  <si>
    <t>Capacitor 47NF/350V Y2</t>
  </si>
  <si>
    <t>Capacitor 100NF M300V Y2</t>
  </si>
  <si>
    <t>Capacitor 3,3UF 300V TH</t>
  </si>
  <si>
    <t>Capacitor 100NF 25V 0805</t>
  </si>
  <si>
    <t>Capacitor 1UF 16V 1206</t>
  </si>
  <si>
    <t>Capacitor 2,2NF 63V TH</t>
  </si>
  <si>
    <t>Capacitor 33PF 25V 0805</t>
  </si>
  <si>
    <t>Capacitor 1NF/25V20% 603</t>
  </si>
  <si>
    <t>Capacitor 120UF 200V TH</t>
  </si>
  <si>
    <t>Capacitor 100NF 100V1206</t>
  </si>
  <si>
    <t>Capacitor 10UF/16V 10%</t>
  </si>
  <si>
    <t>Capacitor 220NF/3000V-2</t>
  </si>
  <si>
    <t>Capacitor 470UF 25V TH</t>
  </si>
  <si>
    <t>Capacitor 330PF/1600VDC</t>
  </si>
  <si>
    <t>Capacitor 100NF/16V 0402</t>
  </si>
  <si>
    <t>Capacitor 82UF/450VDC-TH</t>
  </si>
  <si>
    <t>Capacitor 220UF/16V 20%A</t>
  </si>
  <si>
    <t>Capacitor 1UF50V 10%805A</t>
  </si>
  <si>
    <t>Capacitor 10UF/16V 1206</t>
  </si>
  <si>
    <t>Capacitor 4,7UF/50V 1206</t>
  </si>
  <si>
    <t>Capacitor 47UF 16V 20%</t>
  </si>
  <si>
    <t>Capacitor 22UF 16V 1210</t>
  </si>
  <si>
    <t>Capacitor 2,2NF/1500V</t>
  </si>
  <si>
    <t>Capacitor 1UF 50V 1210</t>
  </si>
  <si>
    <t>Capacitor 1UF 100V TH</t>
  </si>
  <si>
    <t>Capacitor 220NF/530VK-TH</t>
  </si>
  <si>
    <t>Capacitor 22UF/25V 1206</t>
  </si>
  <si>
    <t>Capacitor 100NF/275V</t>
  </si>
  <si>
    <t>Capacitor 100PF/50V5%603</t>
  </si>
  <si>
    <t>Capacitor 1NF 250V TH</t>
  </si>
  <si>
    <t>Capacitor 2,2NF/50V 0805</t>
  </si>
  <si>
    <t>Capacitor 0,1UF/50V 206</t>
  </si>
  <si>
    <t>Capacitor 22UF/25V20%805</t>
  </si>
  <si>
    <t>Capacitor 3UF K1300VDC</t>
  </si>
  <si>
    <t>Capacitor 4,7NF 400V TH</t>
  </si>
  <si>
    <t>Capacitor 47UF/25V 20%-A</t>
  </si>
  <si>
    <t>Capacitor 4,7UF 100V1210</t>
  </si>
  <si>
    <t>Capacitor 100NF50V 0603A</t>
  </si>
  <si>
    <t>Capacitor 100PF/50V 0603</t>
  </si>
  <si>
    <t>Capacitor 12NF/1KV5%1210</t>
  </si>
  <si>
    <t>IC</t>
  </si>
  <si>
    <t>ICMD 74HC125</t>
  </si>
  <si>
    <t>ICMD OPA4277UA</t>
  </si>
  <si>
    <t>ICMD LM2931AD?5,0</t>
  </si>
  <si>
    <t>ICI8238BB-D-IS1</t>
  </si>
  <si>
    <t>ICMD MC9S08DZ32</t>
  </si>
  <si>
    <t>ICMD UCC25600DR</t>
  </si>
  <si>
    <t>ICTMPS2141STR</t>
  </si>
  <si>
    <t>ICMD ICM7555CBA</t>
  </si>
  <si>
    <t>ICMD M25P16-VMW6G</t>
  </si>
  <si>
    <t>ICX9211IULTRT</t>
  </si>
  <si>
    <t>ICCM1212B</t>
  </si>
  <si>
    <t>Choke Coil</t>
  </si>
  <si>
    <t>Choke CoilE SMD 3,3U 3,2A</t>
  </si>
  <si>
    <t>Choke CoilE SMD 2,2U 2,5A</t>
  </si>
  <si>
    <t>Choke CoilE SMD 2,2U 2,8A</t>
  </si>
  <si>
    <t>Choke CoilE SMD 470UH 20%</t>
  </si>
  <si>
    <t>Choke CoilE SMD 100UH1,5A</t>
  </si>
  <si>
    <t>Choke CoilE SMD 90 OHM</t>
  </si>
  <si>
    <t>Choke CoilE 2200OHM 0,2A</t>
  </si>
  <si>
    <t>Choke CoilE 330OHM 2,5A</t>
  </si>
  <si>
    <t>Choke CoilE SMD 33UH 0,5A</t>
  </si>
  <si>
    <t>Choke CoilE SMD 33UH 3,5A</t>
  </si>
  <si>
    <t>Diode</t>
  </si>
  <si>
    <t>DiodeE ZE 12V/1W</t>
  </si>
  <si>
    <t>DiodeE 5V/10MA</t>
  </si>
  <si>
    <t>DiodeE 0,2A 70V SMD</t>
  </si>
  <si>
    <t>DiodeE 15A 260W</t>
  </si>
  <si>
    <t>DiodeE TVS 220V 600W</t>
  </si>
  <si>
    <t>DiodeE 1A 200V SMA</t>
  </si>
  <si>
    <t>DiodeE 5A 100V SMA</t>
  </si>
  <si>
    <t>DiodeE 1200V 2A SMD</t>
  </si>
  <si>
    <t>DiodeE ZE 13V/0W5</t>
  </si>
  <si>
    <t>DiodeE ZE 10V SMA</t>
  </si>
  <si>
    <t>DiodeE 2A 400V SMD</t>
  </si>
  <si>
    <t>DiodeE 4A 600V SMC</t>
  </si>
  <si>
    <t>DiodeE 1KV 2A 4PIN</t>
  </si>
  <si>
    <t>DiodeE ZE 3,9V0,5WSM</t>
  </si>
  <si>
    <t>DiodeE BDG 2A 200V</t>
  </si>
  <si>
    <t>DiodeE 60A 200V</t>
  </si>
  <si>
    <t>DiodeE 0,03A 30V</t>
  </si>
  <si>
    <t>DiodeE ZE 5,6V SMD</t>
  </si>
  <si>
    <t>DiodeE 1A 100V</t>
  </si>
  <si>
    <t>DiodeE TVS 8V5SOD123</t>
  </si>
  <si>
    <t>DiodeE TVS 15V SMA</t>
  </si>
  <si>
    <t>DiodeE TVS 35V SMT</t>
  </si>
  <si>
    <t>DiodeE 0,215A 90VSMT</t>
  </si>
  <si>
    <t>DiodeE 0,25A 250VSMT</t>
  </si>
  <si>
    <t>DiodeE 0,15A 100VSMT</t>
  </si>
  <si>
    <t>DiodeE 0,2A 30V SOT</t>
  </si>
  <si>
    <t>DiodeE BDG 50A 1600V</t>
  </si>
  <si>
    <t>DiodeE 0,2A30VSD323</t>
  </si>
  <si>
    <t>DiodeE 1A 1000V</t>
  </si>
  <si>
    <t>DiodeE 8A/400V</t>
  </si>
  <si>
    <t>DiodeE 1A 600V SMA</t>
  </si>
  <si>
    <t>DiodeE 4A 40V</t>
  </si>
  <si>
    <t>DiodeE TVS 200V SMT</t>
  </si>
  <si>
    <t>DiodeE 40V 0,35A SOD</t>
  </si>
  <si>
    <t>DiodeE 3A 40V SOD123</t>
  </si>
  <si>
    <t>DiodeE 0,5A 30V SOD</t>
  </si>
  <si>
    <t>DiodeE ZE 5V SOD882</t>
  </si>
  <si>
    <t>DiodeE 1A 200V SMT</t>
  </si>
  <si>
    <t>DiodeE 400V 1A 14NS</t>
  </si>
  <si>
    <t>DiodeE 4A 200V SMD-2</t>
  </si>
  <si>
    <t>DiodeE 100V 0,2A</t>
  </si>
  <si>
    <t>DiodeE ZE 3V3 SOD123</t>
  </si>
  <si>
    <t>DiodeE 1A 60V SMD-01</t>
  </si>
  <si>
    <t>DiodeE TVS 14V 25,9A</t>
  </si>
  <si>
    <t>DiodeE TVS 100V SMB</t>
  </si>
  <si>
    <t>DiodeE 1A 200V SMB</t>
  </si>
  <si>
    <t>DiodeE 0,2A 100V SMT</t>
  </si>
  <si>
    <t>DiodeE 0,25A 100V SM</t>
  </si>
  <si>
    <t>DiodeE ZE 3V/0,5W 5%</t>
  </si>
  <si>
    <t>DiodeE 5A 1000V SMC</t>
  </si>
  <si>
    <t>DiodeE 4A 200V DPAK</t>
  </si>
  <si>
    <t>DiodeE 60A 600V-03</t>
  </si>
  <si>
    <t>DiodeE ZE 20V SMD</t>
  </si>
  <si>
    <t>DiodeE BAT54ALT1G</t>
  </si>
  <si>
    <t>DiodeE 30A 600V TH</t>
  </si>
  <si>
    <t>DiodeE TVS 5V 43,5A2</t>
  </si>
  <si>
    <t>DiodeE TVS 56V TH</t>
  </si>
  <si>
    <t>DiodeE TVS 5V 9,4A</t>
  </si>
  <si>
    <t>DiodeE 60A 200VTO247</t>
  </si>
  <si>
    <t>DiodeE ZE 18V0,4WSMT</t>
  </si>
  <si>
    <t>DiodeE 0,5A 20V</t>
  </si>
  <si>
    <t>DiodeES INC.</t>
  </si>
  <si>
    <t>TOPDiodeE</t>
  </si>
  <si>
    <t>ICWM FAN5333B</t>
  </si>
  <si>
    <t>ICCF8574TS/3,118</t>
  </si>
  <si>
    <t>ICWM MP2451DT</t>
  </si>
  <si>
    <t>MPS -MonolithICower Sys</t>
  </si>
  <si>
    <t>High Efficiency, High Current Serial LED Driver with 30 V Integrated Switch</t>
  </si>
  <si>
    <t>MOSFET</t>
  </si>
  <si>
    <t>MOSFETET 60V 0,3A SC7</t>
  </si>
  <si>
    <t>MOSFETET 4A 1500V</t>
  </si>
  <si>
    <t>MOSFETET 2,6A 60V</t>
  </si>
  <si>
    <t>MOSFETET 2,6A 60V-A</t>
  </si>
  <si>
    <t>MOSFETET SI2301</t>
  </si>
  <si>
    <t>MOSFETET 20V 9A SC70</t>
  </si>
  <si>
    <t>MOSFETET 12,6A 30V</t>
  </si>
  <si>
    <t>MOSFETET 60V 0,3A SMD</t>
  </si>
  <si>
    <t>MOSFETET 100V 1,5A</t>
  </si>
  <si>
    <t>MOSFETET 20V 1A-363</t>
  </si>
  <si>
    <t>BLUETOOTH</t>
  </si>
  <si>
    <t>Opto</t>
  </si>
  <si>
    <t>Grease</t>
  </si>
  <si>
    <t>Transistor</t>
  </si>
  <si>
    <t>Var Resistor</t>
  </si>
  <si>
    <t>SENSOR</t>
  </si>
  <si>
    <t>ANTENNA</t>
  </si>
  <si>
    <t>Switch</t>
  </si>
  <si>
    <t>BOBBIN</t>
  </si>
  <si>
    <t>Connector</t>
  </si>
  <si>
    <t>Terminal</t>
  </si>
  <si>
    <t>BATTERY</t>
  </si>
  <si>
    <t>}</t>
  </si>
  <si>
    <t>{</t>
  </si>
  <si>
    <t>JSON</t>
  </si>
  <si>
    <t>mfg</t>
  </si>
  <si>
    <t>pn</t>
  </si>
  <si>
    <t>qty</t>
  </si>
  <si>
    <t>},</t>
  </si>
  <si>
    <t>s1</t>
  </si>
  <si>
    <t>s4</t>
  </si>
  <si>
    <t>s2</t>
  </si>
  <si>
    <t>s3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</si>
  <si>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</si>
  <si>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</si>
  <si>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</si>
  <si>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</si>
  <si>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</si>
  <si>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</si>
  <si>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</si>
  <si>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</si>
  <si>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</si>
  <si>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</si>
  <si>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</si>
  <si>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</si>
  <si>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</si>
  <si>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</si>
  <si>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</si>
  <si>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</si>
  <si>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</si>
  <si>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</si>
  <si>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</si>
  <si>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</si>
  <si>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</si>
  <si>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</si>
  <si>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</si>
  <si>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</si>
  <si>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</si>
  <si>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</si>
  <si>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</si>
  <si>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</si>
  <si>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</si>
  <si>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</si>
  <si>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</si>
  <si>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</si>
  <si>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</si>
  <si>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</si>
  <si>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</si>
  <si>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</si>
  <si>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</si>
  <si>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</si>
  <si>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</si>
  <si>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</si>
  <si>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</si>
  <si>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</si>
  <si>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</si>
  <si>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</si>
  <si>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</si>
  <si>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</si>
  <si>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</si>
  <si>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</si>
  <si>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</si>
  <si>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</si>
  <si>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</si>
  <si>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</si>
  <si>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</si>
  <si>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</si>
  <si>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</si>
  <si>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</si>
  <si>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</si>
  <si>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</si>
  <si>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</si>
  <si>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</si>
  <si>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</si>
  <si>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</si>
  <si>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</si>
  <si>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</si>
  <si>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</si>
  <si>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</si>
  <si>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</si>
  <si>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</si>
  <si>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</si>
  <si>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</si>
  <si>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</si>
  <si>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</si>
  <si>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</si>
  <si>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</si>
  <si>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</si>
  <si>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</si>
  <si>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</si>
  <si>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</si>
  <si>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</si>
  <si>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</si>
  <si>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</si>
  <si>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</si>
  <si>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</si>
  <si>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</si>
  <si>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</si>
  <si>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</si>
  <si>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</si>
  <si>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</si>
  <si>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</si>
  <si>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</si>
  <si>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</si>
  <si>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</si>
  <si>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</si>
  <si>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</si>
  <si>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</si>
  <si>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</si>
  <si>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</si>
  <si>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</si>
  <si>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</si>
  <si>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</si>
  <si>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</si>
  <si>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</si>
  <si>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</si>
  <si>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</si>
  <si>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</si>
  <si>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</si>
  <si>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</si>
  <si>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</si>
  <si>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</si>
  <si>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</si>
  <si>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</si>
  <si>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</si>
  <si>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</si>
  <si>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</si>
  <si>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</si>
  <si>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</si>
  <si>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</si>
  <si>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</si>
  <si>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</si>
  <si>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</si>
  <si>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</si>
  <si>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</si>
  <si>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</si>
  <si>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</si>
  <si>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</si>
  <si>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</si>
  <si>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</si>
  <si>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</si>
  <si>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</si>
  <si>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</si>
  <si>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</si>
  <si>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</si>
  <si>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</si>
  <si>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</si>
  <si>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</si>
  <si>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</si>
  <si>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</si>
  <si>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</si>
  <si>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</si>
  <si>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</si>
  <si>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</si>
  <si>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</si>
  <si>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</si>
  <si>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</si>
  <si>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</si>
  <si>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</si>
  <si>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</si>
  <si>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</si>
  <si>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</si>
  <si>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</si>
  <si>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</si>
  <si>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</si>
  <si>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</si>
  <si>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</si>
  <si>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</si>
  <si>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</si>
  <si>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</si>
  <si>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</si>
  <si>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</si>
  <si>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</si>
  <si>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</si>
  <si>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</si>
  <si>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</si>
  <si>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</si>
  <si>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</si>
  <si>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</si>
  <si>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</si>
  <si>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</si>
  <si>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</si>
  <si>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</si>
  <si>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</si>
  <si>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</si>
  <si>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</si>
  <si>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</si>
  <si>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</si>
  <si>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</si>
  <si>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</si>
  <si>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</si>
  <si>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</si>
  <si>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</si>
  <si>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</si>
  <si>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</si>
  <si>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</si>
  <si>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</si>
  <si>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</si>
  <si>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</si>
  <si>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</si>
  <si>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</si>
  <si>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</si>
  <si>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</si>
  <si>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</si>
  <si>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</si>
  <si>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</si>
  <si>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</si>
  <si>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</si>
  <si>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</si>
  <si>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</si>
  <si>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</si>
  <si>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</si>
  <si>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</si>
  <si>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</si>
  <si>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</si>
  <si>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</si>
  <si>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</si>
  <si>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</si>
  <si>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</si>
  <si>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</si>
  <si>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</si>
  <si>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</si>
  <si>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</si>
  <si>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</si>
  <si>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</si>
  <si>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</si>
  <si>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</si>
  <si>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</si>
  <si>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</si>
  <si>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</si>
  <si>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</si>
  <si>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</si>
  <si>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</si>
  <si>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</si>
  <si>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</si>
  <si>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</si>
  <si>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</si>
  <si>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</si>
  <si>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</si>
  <si>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</si>
  <si>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</si>
  <si>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</si>
  <si>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</si>
  <si>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</si>
  <si>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</si>
  <si>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</si>
  <si>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</si>
  <si>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</si>
  <si>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</si>
  <si>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</si>
  <si>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</si>
  <si>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</si>
  <si>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</si>
  <si>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</si>
  <si>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</si>
  <si>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</si>
  <si>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</si>
  <si>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</si>
  <si>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</si>
  <si>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</si>
  <si>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</si>
  <si>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</si>
  <si>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</si>
  <si>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</si>
  <si>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</si>
  <si>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</si>
  <si>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</si>
  <si>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</si>
  <si>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</si>
  <si>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</si>
  <si>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</si>
  <si>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</si>
  <si>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</si>
  <si>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</si>
  <si>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</si>
  <si>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</si>
  <si>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</si>
  <si>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</si>
  <si>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</si>
  <si>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</si>
  <si>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</si>
  <si>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</si>
  <si>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</si>
  <si>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</si>
  <si>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</si>
  <si>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</si>
  <si>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</si>
  <si>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</si>
  <si>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</si>
  <si>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</si>
  <si>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</si>
  <si>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</si>
  <si>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</si>
  <si>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</si>
  <si>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</si>
  <si>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</si>
  <si>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</si>
  <si>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</si>
  <si>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</si>
  <si>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</si>
  <si>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</si>
  <si>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</si>
  <si>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</si>
  <si>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</si>
  <si>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</si>
  <si>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</si>
  <si>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</si>
  <si>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</si>
  <si>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</si>
  <si>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</si>
  <si>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</si>
  <si>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</si>
  <si>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</si>
  <si>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</si>
  <si>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</si>
  <si>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</si>
  <si>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</si>
  <si>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</si>
  <si>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</si>
  <si>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</si>
  <si>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</si>
  <si>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</si>
  <si>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</si>
  <si>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</si>
  <si>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</si>
  <si>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</si>
  <si>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</si>
  <si>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</si>
  <si>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</si>
  <si>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</si>
  <si>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</si>
  <si>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</si>
  <si>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</si>
  <si>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</si>
  <si>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</si>
  <si>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</si>
  <si>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</si>
  <si>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</si>
  <si>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</si>
  <si>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</si>
  <si>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</si>
  <si>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</si>
  <si>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</si>
  <si>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</si>
  <si>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</si>
  <si>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</si>
  <si>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</si>
  <si>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</si>
  <si>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</si>
  <si>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</si>
  <si>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</si>
  <si>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</si>
  <si>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</si>
  <si>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</si>
  <si>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</si>
  <si>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</si>
  <si>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</si>
  <si>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</si>
  <si>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</si>
  <si>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</si>
  <si>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</si>
  <si>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</si>
  <si>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</si>
  <si>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</si>
  <si>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</si>
  <si>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</si>
  <si>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</si>
  <si>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</si>
  <si>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</si>
  <si>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</si>
  <si>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</si>
  <si>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</si>
  <si>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</si>
  <si>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</si>
  <si>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</si>
  <si>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</si>
  <si>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</si>
  <si>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</si>
  <si>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</si>
  <si>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</si>
  <si>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</si>
  <si>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</si>
  <si>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</si>
  <si>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</si>
  <si>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</si>
  <si>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</si>
  <si>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</si>
  <si>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</si>
  <si>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</si>
  <si>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</si>
  <si>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</si>
  <si>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</si>
  <si>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</si>
  <si>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</si>
  <si>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</si>
  <si>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</si>
  <si>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</si>
  <si>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</si>
  <si>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</si>
  <si>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</si>
  <si>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</si>
  <si>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</si>
  <si>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</si>
  <si>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</si>
  <si>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</si>
  <si>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</si>
  <si>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</si>
  <si>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</si>
  <si>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</si>
  <si>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</si>
  <si>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</si>
  <si>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</si>
  <si>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</si>
  <si>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</si>
  <si>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</si>
  <si>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</si>
  <si>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</si>
  <si>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</si>
  <si>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</si>
  <si>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</si>
  <si>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</si>
  <si>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</si>
  <si>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</si>
  <si>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</si>
  <si>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</si>
  <si>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</si>
  <si>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</si>
  <si>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</si>
  <si>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</si>
  <si>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</si>
  <si>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</si>
  <si>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</si>
  <si>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</si>
  <si>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</si>
  <si>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</si>
  <si>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</si>
  <si>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</si>
  <si>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</si>
  <si>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</si>
  <si>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</si>
  <si>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</si>
  <si>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</si>
  <si>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</si>
  <si>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</si>
  <si>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</si>
  <si>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</si>
  <si>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</si>
  <si>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</si>
  <si>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</si>
  <si>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</si>
  <si>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</si>
  <si>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</si>
  <si>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</si>
  <si>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</si>
  <si>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</si>
  <si>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</si>
  <si>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</si>
  <si>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</si>
  <si>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</si>
  <si>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</si>
  <si>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</si>
  <si>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</si>
  <si>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</si>
  <si>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</si>
  <si>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</si>
  <si>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</si>
  <si>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</si>
  <si>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</si>
  <si>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</si>
  <si>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</si>
  <si>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</si>
  <si>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</si>
  <si>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</si>
  <si>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</si>
  <si>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</si>
  <si>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</si>
  <si>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</si>
  <si>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</si>
  <si>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</si>
  <si>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</si>
  <si>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</si>
  <si>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</si>
  <si>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</si>
  <si>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</si>
  <si>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</si>
  <si>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</si>
  <si>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</si>
  <si>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</si>
  <si>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</si>
  <si>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</si>
  <si>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</si>
  <si>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</si>
  <si>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</si>
  <si>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</si>
  <si>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</si>
  <si>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</si>
  <si>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</si>
  <si>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</si>
  <si>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</si>
  <si>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</si>
  <si>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</si>
  <si>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</si>
  <si>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</si>
  <si>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</si>
  <si>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</si>
  <si>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</si>
  <si>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</si>
  <si>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</si>
  <si>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</si>
  <si>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</si>
  <si>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</si>
  <si>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</si>
  <si>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</si>
  <si>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</si>
  <si>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</si>
  <si>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</si>
  <si>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</si>
  <si>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</si>
  <si>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</si>
  <si>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</si>
  <si>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</si>
  <si>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</si>
  <si>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</si>
  <si>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</si>
  <si>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</si>
  <si>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</si>
  <si>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</si>
  <si>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</si>
  <si>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</si>
  <si>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</si>
  <si>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</si>
  <si>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</si>
  <si>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</si>
  <si>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</si>
  <si>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</si>
  <si>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</si>
  <si>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</si>
  <si>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</si>
  <si>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</si>
  <si>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</si>
  <si>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</si>
  <si>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</si>
  <si>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</si>
  <si>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</si>
  <si>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</si>
  <si>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</si>
  <si>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</si>
  <si>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</si>
  <si>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</si>
  <si>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</si>
  <si>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</si>
  <si>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</si>
  <si>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</si>
  <si>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</si>
  <si>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</si>
  <si>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</si>
  <si>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</si>
  <si>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</si>
  <si>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</si>
  <si>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</si>
  <si>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</si>
  <si>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</si>
  <si>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</si>
  <si>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</si>
  <si>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</si>
  <si>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</si>
  <si>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</si>
  <si>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</si>
  <si>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</si>
  <si>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</si>
  <si>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</si>
  <si>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</si>
  <si>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</si>
  <si>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</si>
  <si>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</si>
  <si>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</si>
  <si>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</si>
  <si>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</si>
  <si>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</si>
  <si>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</si>
  <si>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</si>
  <si>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</si>
  <si>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</si>
  <si>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</si>
  <si>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</si>
  <si>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</si>
  <si>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</si>
  <si>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</si>
  <si>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</si>
  <si>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</si>
  <si>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</si>
  <si>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</si>
  <si>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</si>
  <si>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</si>
  <si>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</si>
  <si>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</si>
  <si>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</si>
  <si>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</si>
  <si>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</si>
  <si>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</si>
  <si>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</si>
  <si>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</si>
  <si>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</si>
  <si>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</si>
  <si>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</si>
  <si>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</si>
  <si>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</si>
  <si>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</si>
  <si>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</si>
  <si>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</si>
  <si>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</si>
  <si>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</si>
  <si>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</si>
  <si>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</si>
  <si>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</si>
  <si>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</si>
  <si>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</si>
  <si>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</si>
  <si>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</si>
  <si>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</si>
  <si>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</si>
  <si>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</si>
  <si>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</si>
  <si>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</si>
  <si>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</si>
  <si>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</si>
  <si>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</si>
  <si>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</si>
  <si>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</si>
  <si>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</si>
  <si>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</si>
  <si>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</si>
  <si>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</si>
  <si>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</si>
  <si>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</si>
  <si>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</si>
  <si>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</si>
  <si>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</si>
  <si>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</si>
  <si>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</si>
  <si>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</si>
  <si>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</si>
  <si>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</si>
  <si>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</si>
  <si>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</si>
  <si>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</si>
  <si>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</si>
  <si>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</si>
  <si>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</si>
  <si>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</si>
  <si>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</si>
  <si>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</si>
  <si>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</si>
  <si>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</si>
  <si>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</si>
  <si>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</si>
  <si>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</si>
  <si>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</si>
  <si>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</si>
  <si>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</si>
  <si>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</si>
  <si>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</si>
  <si>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</si>
  <si>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</si>
  <si>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</si>
  <si>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</si>
  <si>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</si>
  <si>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</si>
  <si>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</si>
  <si>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</si>
  <si>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</si>
  <si>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</si>
  <si>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</si>
  <si>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</si>
  <si>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</si>
  <si>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</si>
  <si>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</si>
  <si>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</si>
  <si>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</si>
  <si>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</si>
  <si>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</si>
  <si>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</si>
  <si>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</si>
  <si>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</si>
  <si>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</si>
  <si>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</si>
  <si>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</si>
  <si>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</si>
  <si>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</si>
  <si>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</si>
  <si>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</si>
  <si>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</si>
  <si>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</si>
  <si>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</si>
  <si>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</si>
  <si>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</si>
  <si>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</si>
  <si>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</si>
  <si>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</si>
  <si>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</si>
  <si>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</si>
  <si>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</si>
  <si>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</si>
  <si>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</si>
  <si>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</si>
  <si>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</si>
  <si>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</si>
  <si>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</si>
  <si>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</si>
  <si>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</si>
  <si>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</si>
  <si>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</si>
  <si>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</si>
  <si>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</si>
  <si>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</si>
  <si>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</si>
  <si>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</si>
  <si>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</si>
  <si>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</si>
  <si>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</si>
  <si>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</si>
  <si>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</si>
  <si>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</si>
  <si>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</si>
  <si>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</si>
  <si>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</si>
  <si>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</si>
  <si>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</si>
  <si>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</si>
  <si>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</si>
  <si>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</si>
  <si>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</si>
  <si>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</si>
  <si>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</si>
  <si>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</si>
  <si>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</si>
  <si>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</si>
  <si>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</si>
  <si>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</si>
  <si>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</si>
  <si>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</si>
  <si>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</si>
  <si>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</si>
  <si>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</si>
  <si>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</si>
  <si>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</si>
  <si>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</si>
  <si>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</si>
  <si>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</si>
  <si>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</si>
  <si>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</si>
  <si>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</si>
  <si>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</si>
  <si>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</si>
  <si>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</si>
  <si>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</si>
  <si>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</si>
  <si>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</si>
  <si>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</si>
  <si>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</si>
  <si>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</si>
  <si>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</si>
  <si>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</si>
  <si>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</si>
  <si>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</si>
  <si>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</si>
  <si>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</si>
  <si>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</si>
  <si>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</si>
  <si>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</si>
  <si>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</si>
  <si>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</si>
  <si>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</si>
  <si>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</si>
  <si>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</si>
  <si>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</si>
  <si>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</si>
  <si>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</si>
  <si>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</si>
  <si>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</si>
  <si>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</si>
  <si>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</si>
  <si>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</si>
  <si>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</si>
  <si>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</si>
  <si>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</si>
  <si>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</si>
  <si>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</si>
  <si>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</si>
  <si>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</si>
  <si>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</si>
  <si>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</si>
  <si>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</si>
  <si>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</si>
  <si>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</si>
  <si>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</si>
  <si>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</si>
  <si>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</si>
  <si>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</si>
  <si>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</si>
  <si>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</si>
  <si>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</si>
  <si>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</si>
  <si>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</si>
  <si>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</si>
  <si>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</si>
  <si>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</si>
  <si>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</si>
  <si>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</si>
  <si>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</si>
  <si>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</si>
  <si>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</si>
  <si>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</si>
  <si>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</si>
  <si>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</si>
  <si>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</si>
  <si>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</si>
  <si>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</si>
  <si>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</si>
  <si>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</si>
  <si>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</si>
  <si>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</si>
  <si>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</si>
  <si>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</si>
  <si>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</si>
  <si>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</si>
  <si>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</si>
  <si>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</si>
  <si>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</si>
  <si>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</si>
  <si>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</si>
  <si>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</si>
  <si>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</si>
  <si>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</si>
  <si>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</si>
  <si>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</si>
  <si>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</si>
  <si>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</si>
  <si>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</si>
  <si>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</si>
  <si>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</si>
  <si>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</si>
  <si>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</si>
  <si>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</si>
  <si>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</si>
  <si>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</si>
  <si>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</si>
  <si>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</si>
  <si>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</si>
  <si>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</si>
  <si>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</si>
  <si>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</si>
  <si>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</si>
  <si>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</si>
  <si>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</si>
  <si>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</si>
  <si>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</si>
  <si>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</si>
  <si>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</si>
  <si>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</si>
  <si>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</si>
  <si>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</si>
  <si>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</si>
  <si>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</si>
  <si>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</si>
  <si>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</si>
  <si>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</si>
  <si>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</si>
  <si>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</si>
  <si>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</si>
  <si>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</si>
  <si>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</si>
  <si>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</si>
  <si>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</si>
  <si>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</si>
  <si>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</si>
  <si>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</si>
  <si>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</si>
  <si>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</si>
  <si>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</si>
  <si>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</si>
  <si>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</si>
  <si>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</si>
  <si>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</si>
  <si>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</si>
  <si>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</si>
  <si>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</si>
  <si>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</si>
  <si>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</si>
  <si>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</si>
  <si>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</si>
  <si>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</si>
  <si>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</si>
  <si>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</si>
  <si>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</si>
  <si>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</si>
  <si>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</si>
  <si>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</si>
  <si>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</si>
  <si>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</si>
  <si>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</si>
  <si>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</si>
  <si>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</si>
  <si>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</si>
  <si>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</si>
  <si>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</si>
  <si>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</si>
  <si>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</si>
  <si>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</si>
  <si>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</si>
  <si>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</si>
  <si>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</si>
  <si>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</si>
  <si>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</si>
  <si>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</si>
  <si>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</si>
  <si>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</si>
  <si>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</si>
  <si>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</si>
  <si>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</si>
  <si>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</si>
  <si>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</si>
  <si>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</si>
  <si>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</si>
  <si>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</si>
  <si>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</si>
  <si>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</si>
  <si>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</si>
  <si>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</si>
  <si>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</si>
  <si>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</si>
  <si>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</si>
  <si>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</si>
  <si>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</si>
  <si>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</si>
  <si>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</si>
  <si>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</si>
  <si>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</si>
  <si>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</si>
  <si>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</si>
  <si>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</si>
  <si>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</si>
  <si>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</si>
  <si>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</si>
  <si>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</si>
  <si>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</si>
  <si>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</si>
  <si>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</si>
  <si>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</si>
  <si>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</si>
  <si>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</si>
  <si>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</si>
  <si>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</si>
  <si>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</si>
  <si>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</si>
  <si>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</si>
  <si>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</si>
  <si>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</si>
  <si>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</si>
  <si>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</si>
  <si>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</si>
  <si>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</si>
  <si>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</si>
  <si>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</si>
  <si>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</si>
  <si>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</si>
  <si>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</si>
  <si>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</si>
  <si>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</si>
  <si>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</si>
  <si>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</si>
  <si>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</si>
  <si>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</si>
  <si>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</si>
  <si>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</si>
  <si>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</si>
  <si>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</si>
  <si>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</si>
  <si>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</si>
  <si>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</si>
  <si>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</si>
  <si>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</si>
  <si>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</si>
  <si>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</si>
  <si>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</si>
  <si>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</si>
  <si>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</si>
  <si>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</si>
  <si>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</si>
  <si>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</si>
  <si>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</si>
  <si>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</si>
  <si>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</si>
  <si>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</si>
  <si>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</si>
  <si>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</si>
  <si>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</si>
  <si>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</si>
  <si>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</si>
  <si>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</si>
  <si>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</si>
  <si>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</si>
  <si>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</si>
  <si>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</si>
  <si>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</si>
  <si>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</si>
  <si>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</si>
  <si>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</si>
  <si>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</si>
  <si>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</si>
  <si>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</si>
  <si>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</si>
  <si>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</si>
  <si>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</si>
  <si>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</si>
  <si>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</si>
  <si>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</si>
  <si>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</si>
  <si>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</si>
  <si>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</si>
  <si>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</si>
  <si>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</si>
  <si>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</si>
  <si>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</si>
  <si>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</si>
  <si>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</si>
  <si>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</si>
  <si>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</si>
  <si>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</si>
  <si>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</si>
  <si>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</si>
  <si>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</si>
  <si>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</si>
  <si>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</si>
  <si>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</si>
  <si>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</si>
  <si>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</si>
  <si>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</si>
  <si>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</si>
  <si>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</si>
  <si>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</si>
  <si>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</si>
  <si>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</si>
  <si>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</si>
  <si>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</si>
  <si>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</si>
  <si>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</si>
  <si>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</si>
  <si>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</si>
  <si>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</si>
  <si>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</si>
  <si>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</si>
  <si>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</si>
  <si>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</si>
  <si>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</si>
  <si>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</si>
  <si>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</si>
  <si>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</si>
  <si>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</si>
  <si>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</si>
  <si>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</si>
  <si>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</si>
  <si>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</si>
  <si>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</si>
  <si>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</si>
  <si>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</si>
  <si>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</si>
  <si>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</si>
  <si>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</si>
  <si>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</si>
  <si>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</si>
  <si>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</si>
  <si>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</si>
  <si>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</si>
  <si>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</si>
  <si>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</si>
  <si>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</si>
  <si>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</si>
  <si>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</si>
  <si>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</si>
  <si>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</si>
  <si>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</si>
  <si>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</si>
  <si>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</si>
  <si>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</si>
  <si>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</si>
  <si>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</si>
  <si>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</si>
  <si>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</si>
  <si>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</si>
  <si>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</si>
  <si>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</si>
  <si>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</si>
  <si>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</si>
  <si>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</si>
  <si>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</si>
  <si>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</si>
  <si>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</si>
  <si>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</si>
  <si>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</si>
  <si>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</si>
  <si>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</si>
  <si>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</si>
  <si>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</si>
  <si>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</si>
  <si>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</si>
  <si>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</si>
  <si>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</si>
  <si>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</si>
  <si>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</si>
  <si>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</si>
  <si>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</si>
  <si>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</si>
  <si>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</si>
  <si>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</si>
  <si>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</si>
  <si>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</si>
  <si>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</si>
  <si>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</si>
  <si>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</si>
  <si>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</si>
  <si>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</si>
  <si>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</si>
  <si>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</si>
  <si>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</si>
  <si>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</si>
  <si>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</si>
  <si>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</si>
  <si>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</si>
  <si>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</si>
  <si>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</si>
  <si>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</si>
  <si>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</si>
  <si>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</si>
  <si>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</si>
  <si>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</si>
  <si>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</si>
  <si>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</si>
  <si>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</si>
  <si>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</si>
  <si>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</si>
  <si>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</si>
  <si>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</si>
  <si>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</si>
  <si>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</si>
  <si>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</si>
  <si>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</si>
  <si>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</si>
  <si>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</si>
  <si>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</si>
  <si>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</si>
  <si>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</si>
  <si>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</si>
  <si>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</si>
  <si>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</si>
  <si>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</si>
  <si>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</si>
  <si>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</si>
  <si>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</si>
  <si>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</si>
  <si>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</si>
  <si>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</si>
  <si>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</si>
  <si>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</si>
  <si>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</si>
  <si>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</si>
  <si>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</si>
  <si>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</si>
  <si>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</si>
  <si>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</si>
  <si>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</si>
  <si>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</si>
  <si>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</si>
  <si>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</si>
  <si>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</si>
  <si>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</si>
  <si>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</si>
  <si>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</si>
  <si>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</si>
  <si>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</si>
  <si>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</si>
  <si>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</si>
  <si>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</si>
  <si>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</si>
  <si>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</si>
  <si>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</si>
  <si>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</si>
  <si>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</si>
  <si>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</si>
  <si>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</si>
  <si>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</si>
  <si>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</si>
  <si>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</si>
  <si>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</si>
  <si>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</si>
  <si>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</si>
  <si>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</si>
  <si>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</si>
  <si>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</si>
  <si>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</si>
  <si>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</si>
  <si>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</si>
  <si>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</si>
  <si>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</si>
  <si>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</si>
  <si>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</si>
  <si>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</si>
  <si>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</si>
  <si>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</si>
  <si>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</si>
  <si>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</si>
  <si>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</si>
  <si>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</si>
  <si>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</si>
  <si>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</si>
  <si>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</si>
  <si>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</si>
  <si>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</si>
  <si>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</si>
  <si>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</si>
  <si>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</si>
  <si>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</si>
  <si>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</si>
  <si>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</si>
  <si>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</si>
  <si>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</si>
  <si>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</si>
  <si>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</si>
  <si>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</si>
  <si>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</si>
  <si>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</si>
  <si>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</si>
  <si>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</si>
  <si>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</si>
  <si>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</si>
  <si>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</si>
  <si>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</si>
  <si>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</si>
  <si>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</si>
  <si>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</si>
  <si>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</si>
  <si>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</si>
  <si>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</si>
  <si>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</si>
  <si>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</si>
  <si>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</si>
  <si>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</si>
  <si>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</si>
  <si>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</si>
  <si>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</si>
  <si>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</si>
  <si>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</si>
  <si>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</si>
  <si>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</si>
  <si>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</si>
  <si>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</si>
  <si>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</si>
  <si>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</si>
  <si>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</si>
  <si>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</si>
  <si>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</si>
  <si>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</si>
  <si>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</si>
  <si>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</si>
  <si>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</si>
  <si>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</si>
  <si>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</si>
  <si>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</si>
  <si>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</si>
  <si>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</si>
  <si>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</si>
  <si>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</si>
  <si>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</si>
  <si>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</si>
  <si>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</si>
  <si>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</si>
  <si>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</si>
  <si>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</si>
  <si>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</si>
  <si>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</si>
  <si>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</si>
  <si>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</si>
  <si>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</si>
  <si>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</si>
  <si>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</si>
  <si>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</si>
  <si>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</si>
  <si>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</si>
  <si>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</si>
  <si>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</si>
  <si>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</si>
  <si>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</si>
  <si>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</si>
  <si>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</si>
  <si>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</si>
  <si>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</si>
  <si>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</si>
  <si>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</si>
  <si>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</si>
  <si>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</si>
  <si>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</si>
  <si>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</si>
  <si>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</si>
  <si>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</si>
  <si>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</si>
  <si>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</si>
  <si>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</si>
  <si>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</si>
  <si>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</si>
  <si>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</si>
  <si>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</si>
  <si>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</si>
  <si>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</si>
  <si>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</si>
  <si>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</si>
  <si>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</si>
  <si>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</si>
  <si>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</si>
  <si>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</si>
  <si>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</si>
  <si>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</si>
  <si>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</si>
  <si>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</si>
  <si>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</si>
  <si>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</si>
  <si>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</si>
  <si>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</si>
  <si>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</si>
  <si>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</si>
  <si>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</si>
  <si>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</si>
  <si>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</si>
  <si>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</si>
  <si>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</si>
  <si>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</si>
  <si>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</si>
  <si>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</si>
  <si>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</si>
  <si>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</si>
  <si>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</si>
  <si>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</si>
  <si>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</si>
  <si>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</si>
  <si>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</si>
  <si>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</si>
  <si>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</si>
  <si>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</si>
  <si>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</si>
  <si>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</si>
  <si>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</si>
  <si>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</si>
  <si>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</si>
  <si>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</si>
  <si>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</si>
  <si>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</si>
  <si>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</si>
  <si>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</si>
  <si>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</si>
  <si>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</si>
  <si>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</si>
  <si>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</si>
  <si>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</si>
  <si>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</si>
  <si>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</si>
  <si>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</si>
  <si>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</si>
  <si>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</si>
  <si>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</si>
  <si>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</si>
  <si>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</si>
  <si>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</si>
  <si>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</si>
  <si>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</si>
  <si>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</si>
  <si>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</si>
  <si>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</si>
  <si>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</si>
  <si>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</si>
  <si>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</si>
  <si>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</si>
  <si>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</si>
  <si>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</si>
  <si>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</si>
  <si>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</si>
  <si>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</si>
  <si>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</si>
  <si>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</si>
  <si>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</si>
  <si>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</si>
  <si>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</si>
  <si>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</si>
  <si>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</si>
  <si>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</si>
  <si>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</si>
  <si>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</si>
  <si>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</si>
  <si>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</si>
  <si>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</si>
  <si>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</si>
  <si>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</si>
  <si>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</si>
  <si>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</si>
  <si>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</si>
  <si>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</si>
  <si>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</si>
  <si>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</si>
  <si>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</si>
  <si>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</si>
  <si>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</si>
  <si>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</si>
  <si>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</si>
  <si>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</si>
  <si>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</si>
  <si>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</si>
  <si>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</si>
  <si>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</si>
  <si>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</si>
  <si>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</si>
  <si>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</si>
  <si>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</si>
  <si>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</si>
  <si>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</si>
  <si>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</si>
  <si>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</si>
  <si>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</si>
  <si>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</si>
  <si>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</si>
  <si>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</si>
  <si>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</si>
  <si>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</si>
  <si>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</si>
  <si>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</si>
  <si>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</si>
  <si>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</si>
  <si>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</si>
  <si>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</si>
  <si>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</si>
  <si>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</si>
  <si>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</si>
  <si>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</si>
  <si>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</si>
  <si>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</si>
  <si>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</si>
  <si>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</si>
  <si>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</si>
  <si>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</si>
  <si>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</si>
  <si>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</si>
  <si>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</si>
  <si>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</si>
  <si>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</si>
  <si>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</si>
  <si>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</si>
  <si>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</si>
  <si>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</si>
  <si>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</si>
  <si>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</si>
  <si>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</si>
  <si>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</si>
  <si>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</si>
  <si>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</si>
  <si>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</si>
  <si>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</si>
  <si>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</si>
  <si>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</si>
  <si>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</si>
  <si>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</si>
  <si>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</si>
  <si>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</si>
  <si>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</si>
  <si>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</si>
  <si>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</si>
  <si>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</si>
  <si>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</si>
  <si>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</si>
  <si>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</si>
  <si>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</si>
  <si>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</si>
  <si>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</si>
  <si>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</si>
  <si>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</si>
  <si>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</si>
  <si>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</si>
  <si>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</si>
  <si>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</si>
  <si>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</si>
  <si>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</si>
  <si>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</si>
  <si>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</si>
  <si>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</si>
  <si>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</si>
  <si>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</si>
  <si>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</si>
  <si>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</si>
  <si>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</si>
  <si>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</si>
  <si>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</si>
  <si>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</si>
  <si>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</si>
  <si>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</si>
  <si>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</si>
  <si>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</si>
  <si>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</si>
  <si>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</si>
  <si>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</si>
  <si>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</si>
  <si>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</si>
  <si>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</si>
  <si>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</si>
  <si>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</si>
  <si>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</si>
  <si>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</si>
  <si>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</si>
  <si>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</si>
  <si>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</si>
  <si>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</si>
  <si>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</si>
  <si>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</si>
  <si>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</si>
  <si>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</si>
  <si>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</si>
  <si>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</si>
  <si>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</si>
  <si>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</si>
  <si>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</si>
  <si>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</si>
  <si>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</si>
  <si>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</si>
  <si>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</si>
  <si>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</si>
  <si>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</si>
  <si>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</si>
  <si>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</si>
  <si>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</si>
  <si>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</si>
  <si>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</si>
  <si>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</si>
  <si>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</si>
  <si>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</si>
  <si>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</si>
  <si>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</si>
  <si>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</si>
  <si>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</si>
  <si>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</si>
  <si>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</si>
  <si>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</si>
  <si>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</si>
  <si>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</si>
  <si>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</si>
  <si>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</si>
  <si>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</si>
  <si>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</si>
  <si>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</si>
  <si>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</si>
  <si>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</si>
  <si>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</si>
  <si>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</si>
  <si>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</si>
  <si>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</si>
  <si>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</si>
  <si>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id</t>
  </si>
  <si>
    <t>img.src</t>
  </si>
  <si>
    <t>img.alt</t>
  </si>
  <si>
    <t>https://www.onsemi.com/download/data-sheet/pdf/nds7002a-d.pdf</t>
  </si>
  <si>
    <t>CRYSTAL</t>
  </si>
  <si>
    <t>https://www.ti.com/product/LM1117/part-details/LM1117DTX-ADJ/NOPB</t>
  </si>
  <si>
    <t>lnk</t>
  </si>
  <si>
    <t>Bobbin</t>
  </si>
  <si>
    <t>grp</t>
  </si>
  <si>
    <t>capacitor</t>
  </si>
  <si>
    <t>crystal</t>
  </si>
  <si>
    <t>connector</t>
  </si>
  <si>
    <t>antenna</t>
  </si>
  <si>
    <t>base</t>
  </si>
  <si>
    <t>battery</t>
  </si>
  <si>
    <t>bluetooth</t>
  </si>
  <si>
    <t>fuse</t>
  </si>
  <si>
    <t>wire</t>
  </si>
  <si>
    <t>clip</t>
  </si>
  <si>
    <t>resistor</t>
  </si>
  <si>
    <t>diode</t>
  </si>
  <si>
    <t>head</t>
  </si>
  <si>
    <t>transistor</t>
  </si>
  <si>
    <t>wave</t>
  </si>
  <si>
    <t>varistor</t>
  </si>
  <si>
    <t>ic</t>
  </si>
  <si>
    <t>led</t>
  </si>
  <si>
    <t>ntc</t>
  </si>
  <si>
    <t>opto</t>
  </si>
  <si>
    <t>inductor</t>
  </si>
  <si>
    <t>jumper</t>
  </si>
  <si>
    <t>tape</t>
  </si>
  <si>
    <t>coppertape</t>
  </si>
  <si>
    <t>covertape</t>
  </si>
  <si>
    <t>scr</t>
  </si>
  <si>
    <t>sw</t>
  </si>
  <si>
    <t>sensor</t>
  </si>
  <si>
    <t>ptc</t>
  </si>
  <si>
    <t>relay</t>
  </si>
  <si>
    <t>contact</t>
  </si>
  <si>
    <t>ferrite</t>
  </si>
  <si>
    <t>spacer</t>
  </si>
  <si>
    <t>others</t>
  </si>
  <si>
    <t>LED Lighting Driver ICs SYSTEM POWER</t>
  </si>
  <si>
    <t>IC REG BUCK ADJ 600MA SOT23-6</t>
  </si>
  <si>
    <t>Diode Array</t>
  </si>
  <si>
    <t>oscillator</t>
  </si>
  <si>
    <t>WIRE</t>
  </si>
  <si>
    <t>CONNECTOR</t>
  </si>
  <si>
    <t>CAPACITOR</t>
  </si>
  <si>
    <t>INDUCTOR</t>
  </si>
  <si>
    <t>CONTACT</t>
  </si>
  <si>
    <t>COPPERTAPE</t>
  </si>
  <si>
    <t>COVERTAPE</t>
  </si>
  <si>
    <t>DIODE</t>
  </si>
  <si>
    <t>OTHERS</t>
  </si>
  <si>
    <t>JUMPER</t>
  </si>
  <si>
    <t>LED</t>
  </si>
  <si>
    <t>RESISTOR</t>
  </si>
  <si>
    <t>TRANSISTOR</t>
  </si>
  <si>
    <t>NTC</t>
  </si>
  <si>
    <t>OPTO</t>
  </si>
  <si>
    <t>PTC</t>
  </si>
  <si>
    <t>RELAY</t>
  </si>
  <si>
    <t>FERRITE</t>
  </si>
  <si>
    <t>SCR</t>
  </si>
  <si>
    <t>SPACER</t>
  </si>
  <si>
    <t>SW</t>
  </si>
  <si>
    <t>VARISTOR</t>
  </si>
  <si>
    <t>OSCILLATOR</t>
  </si>
  <si>
    <t>name</t>
  </si>
  <si>
    <t>alt_message</t>
  </si>
  <si>
    <t>smd_cap.jpg</t>
  </si>
  <si>
    <t>Switching Voltage Regulators BUCK CONV 300KHZ 1.5A 23V 0.8V</t>
  </si>
  <si>
    <t xml:space="preserve">NOR Flash 4 Mbit, Wide Vcc (1.65V to 3.6V), -40C to 85C, SOIC-N 150mil (Tube), Single, Dual SPI NOR flash </t>
  </si>
  <si>
    <t xml:space="preserve">NOR Flash 4 Mbit, Wide Vcc (1.65V to 3.6V), -40C to 85C, SOIC-N 150mil (Tape &amp; Reel), Single, Dual SPI NOR flash </t>
  </si>
  <si>
    <t xml:space="preserve">Switching Voltage Regulators DCDC Conv HV Buck TSOT26 T&amp;R 3K </t>
  </si>
  <si>
    <t>Precision Amplifiers 0.05uV/C max Single- Supply CMOS A 595-OPA335AIDBVR</t>
  </si>
  <si>
    <t>Precision Amplifiers 0.05uV/C max Single- Supply CMOS A 595-OPA335AIDBVT</t>
  </si>
  <si>
    <t>IC OPAMP ZER-DRIFT 1CIRC SOT23-5</t>
  </si>
  <si>
    <t>IC OPAMP ZER-DRIFT 1CIR  TSOT23-5</t>
  </si>
  <si>
    <t>BRIDGE RECT 1P 30V 900MA SOT143</t>
  </si>
  <si>
    <t>IC USB-TO-UART BRIDGE 28VQFN</t>
  </si>
  <si>
    <t>IC GATE DRVR LOW-SIDE 8MLP</t>
  </si>
  <si>
    <t>IC GATE DRIVER LOW-SIDE 8MLP</t>
  </si>
  <si>
    <t>IC INVERTER 6CH 1-INP 16SO</t>
  </si>
  <si>
    <t>DGTL ISO 4.243KV 2CH GP 16-SOIC</t>
  </si>
  <si>
    <t>TVS DIODE 5.5VWM 6TSOP</t>
  </si>
  <si>
    <t>REG LINEAR 5V 800MA DPAK</t>
  </si>
  <si>
    <t>REG LINEAR 5V 800MA TO252-3</t>
  </si>
  <si>
    <t>OPAMP GP 2 CIRCUIT 8SO</t>
  </si>
  <si>
    <t>OPAMP GP 2 CIRCUIT 8MSOP</t>
  </si>
  <si>
    <t>OPAMP GP 2 CIRCUIT 8TSSOP</t>
  </si>
  <si>
    <t>IC OPAMP GP 2 CIRCUIT 8SOIC</t>
  </si>
  <si>
    <t>IC REG CHRG PUMP INV 40MA SOT23</t>
  </si>
  <si>
    <t>Comparator General Purpose Open-Collector 14-SOIC</t>
  </si>
  <si>
    <t>Comparator General Purpose CMOS, MOS, Open-Collector, TTL 14-SO</t>
  </si>
  <si>
    <t>Standard Amplifier 2 Circuit Rail-to-Rail 8-VSSOP</t>
  </si>
  <si>
    <t>Standard Amplifier 4 Circuit 14-SOIC</t>
  </si>
  <si>
    <t>Standard Amplifier 4 Circuit 14-SOPJ</t>
  </si>
  <si>
    <t>Power Switch/Driver 1:1 P-Channel 2.5A SOT-23-6</t>
  </si>
  <si>
    <t>Low-Side Gate Driver IC Non-Inverting 8-SOIC</t>
  </si>
  <si>
    <t>Charge Pump Switching Regulator IC Positive or Negative Fixed -Vin, 2Vin 1 Output 25mA SOT-23-6</t>
  </si>
  <si>
    <t>EEPROM Memory IC 512Kbit I2C 400 kHz 900 ns 8-TSSOP</t>
  </si>
  <si>
    <t>Buck Switching Regulator IC Positive Adjustable 0.8V 1 Output 3A 8-SOIC (0.154", 3.90mm Width)</t>
  </si>
  <si>
    <t>EEPROM Memory IC 512Kbit I2C 1 MHz 500 ns 8-TSSOP</t>
  </si>
  <si>
    <t>EEPROM Memory IC 64Kbit I2C 1 MHz 450 ns 8-TSSOP</t>
  </si>
  <si>
    <t>EEPROM Memory IC 64Kbit I2C 400 kHz 900 ns 8-TSSOP</t>
  </si>
  <si>
    <t>NOR Gate IC 4 Channel 14-SOIC</t>
  </si>
  <si>
    <t>Converter Offline Flyback Topology 65kHz SOT-23-6</t>
  </si>
  <si>
    <t>Linear Voltage Regulator IC Positive Fixed 1 Output 150mA SOT-23-5</t>
  </si>
  <si>
    <t>RX RX600 Microcontroller IC 32-Bit Single-Core 100MHz 512KB (512K x 8) FLASH 64-LFQFP (10x10)</t>
  </si>
  <si>
    <t>RX RX631 Microcontroller IC 32-Bit Single-Core 100MHz 512KB (512K x 8) FLASH 64-LFQFP (10x10)</t>
  </si>
  <si>
    <t>Series Voltage Reference IC Fixed 3V V ±0.2% 25 mA SOT-23-3</t>
  </si>
  <si>
    <t>Series Voltage Reference IC Fixed 3V V ±0.2% 7 mA SOT-23-3</t>
  </si>
  <si>
    <t>Standard Amplifier 1 Circuit SOT-23-5</t>
  </si>
  <si>
    <t>Linear Voltage Regulator IC Positive Fixed 1 Output 800mA SOT-223-3</t>
  </si>
  <si>
    <t>Linear Voltage Regulator IC Positive Fixed 1 Output 300mA SOT-23-5</t>
  </si>
  <si>
    <t>Linear Voltage Regulator IC Positive Fixed 1 Output 300mA TSOT-23-5</t>
  </si>
  <si>
    <t>Shunt Voltage Reference IC Adjustable 2.5V 20 VV ±1% 100 mA SOT-23-3</t>
  </si>
  <si>
    <t>Shunt Voltage Reference IC Adjustable 2.495V 36 VV ±1% 100 mA SOT-23-3</t>
  </si>
  <si>
    <t>Shunt Voltage Reference IC Adjustable 2.5V 24 VV ±1% 100 mA SOT-23-3</t>
  </si>
  <si>
    <t>C28x C2000™ C28x Piccolo™ Microcontroller IC 32-Bit Single-Core 60MHz 64KB (32K x 16) FLASH 64-TQFP (10x10)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</si>
</sst>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name val="Arial"/>
      <charset val="1"/>
    </font>
    <font>
      <sz val="10"/>
      <name val="Arial"/>
      <family val="2"/>
    </font>
    <font>
      <b/>
      <sz val="10"/>
      <color theme="5"/>
      <name val="Arial"/>
      <family val="2"/>
    </font>
    <font>
      <sz val="10"/>
      <name val="Arial"/>
      <charset val="1"/>
    </font>
    <font>
      <b/>
      <sz val="10"/>
      <name val="Arial"/>
      <family val="2"/>
    </font>
    <font>
      <sz val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/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2" fontId="0" fillId="0" borderId="0" xfId="0" quotePrefix="1" applyNumberForma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3">
    <cellStyle name="Comma" xfId="1" builtinId="3"/>
    <cellStyle name="Normal" xfId="0" builtinId="0"/>
    <cellStyle name="Normal 2" xfId="2" xr:uid="{6177D6E9-DBC9-4C32-8687-DC5F29224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7F868F-A24F-405A-B01D-6580455FC4C5}">
  <we:reference id="wa104380263" version="3.0.0.0" store="en-US" storeType="OMEX"/>
  <we:alternateReferences>
    <we:reference id="wa104380263" version="3.0.0.0" store="wa1043802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96E3-1E26-4010-81BE-C3B0A239CA4A}">
  <dimension ref="A1:BGY1553"/>
  <sheetViews>
    <sheetView zoomScaleNormal="100" workbookViewId="0">
      <pane ySplit="1" topLeftCell="A2" activePane="bottomLeft" state="frozen"/>
      <selection pane="bottomLeft" activeCell="D1" sqref="D1:D1048576"/>
    </sheetView>
  </sheetViews>
  <sheetFormatPr defaultRowHeight="13.2" x14ac:dyDescent="0.25"/>
  <cols>
    <col min="2" max="2" width="26.109375" customWidth="1"/>
    <col min="3" max="3" width="29.77734375" bestFit="1" customWidth="1"/>
    <col min="4" max="4" width="29.88671875" customWidth="1"/>
    <col min="5" max="5" width="11.21875" bestFit="1" customWidth="1"/>
    <col min="9" max="9" width="20.88671875" customWidth="1"/>
    <col min="10" max="10" width="19.77734375" bestFit="1" customWidth="1"/>
    <col min="11" max="12" width="20.5546875" bestFit="1" customWidth="1"/>
    <col min="13" max="14" width="20.21875" bestFit="1" customWidth="1"/>
    <col min="15" max="16" width="19.77734375" bestFit="1" customWidth="1"/>
    <col min="17" max="17" width="20.77734375" bestFit="1" customWidth="1"/>
    <col min="18" max="18" width="16.44140625" bestFit="1" customWidth="1"/>
    <col min="19" max="20" width="18.5546875" bestFit="1" customWidth="1"/>
    <col min="21" max="21" width="22.21875" bestFit="1" customWidth="1"/>
    <col min="22" max="22" width="20.109375" bestFit="1" customWidth="1"/>
    <col min="23" max="23" width="15.21875" bestFit="1" customWidth="1"/>
    <col min="24" max="25" width="20.109375" bestFit="1" customWidth="1"/>
    <col min="26" max="27" width="20.44140625" bestFit="1" customWidth="1"/>
    <col min="28" max="28" width="18.21875" bestFit="1" customWidth="1"/>
    <col min="29" max="29" width="19.44140625" bestFit="1" customWidth="1"/>
    <col min="30" max="30" width="18" bestFit="1" customWidth="1"/>
    <col min="31" max="31" width="19.21875" bestFit="1" customWidth="1"/>
    <col min="32" max="32" width="14" bestFit="1" customWidth="1"/>
    <col min="33" max="33" width="20.21875" bestFit="1" customWidth="1"/>
    <col min="34" max="34" width="20.5546875" bestFit="1" customWidth="1"/>
    <col min="35" max="39" width="19.21875" bestFit="1" customWidth="1"/>
    <col min="40" max="40" width="19.77734375" bestFit="1" customWidth="1"/>
    <col min="41" max="42" width="19.109375" bestFit="1" customWidth="1"/>
    <col min="43" max="44" width="14.6640625" bestFit="1" customWidth="1"/>
    <col min="45" max="45" width="14.77734375" bestFit="1" customWidth="1"/>
    <col min="46" max="46" width="22.109375" bestFit="1" customWidth="1"/>
    <col min="47" max="47" width="20.5546875" bestFit="1" customWidth="1"/>
    <col min="48" max="48" width="24.44140625" bestFit="1" customWidth="1"/>
    <col min="49" max="49" width="17.6640625" bestFit="1" customWidth="1"/>
    <col min="50" max="50" width="19.77734375" bestFit="1" customWidth="1"/>
    <col min="51" max="51" width="24.44140625" bestFit="1" customWidth="1"/>
    <col min="52" max="52" width="19.109375" bestFit="1" customWidth="1"/>
    <col min="53" max="54" width="20.109375" bestFit="1" customWidth="1"/>
    <col min="55" max="55" width="24.44140625" bestFit="1" customWidth="1"/>
    <col min="56" max="56" width="19.109375" bestFit="1" customWidth="1"/>
    <col min="57" max="58" width="18.77734375" bestFit="1" customWidth="1"/>
    <col min="59" max="59" width="19.33203125" bestFit="1" customWidth="1"/>
    <col min="60" max="60" width="19.21875" bestFit="1" customWidth="1"/>
    <col min="61" max="61" width="18.5546875" bestFit="1" customWidth="1"/>
    <col min="62" max="62" width="20.21875" bestFit="1" customWidth="1"/>
    <col min="63" max="63" width="49.77734375" customWidth="1"/>
    <col min="64" max="69" width="21.33203125" bestFit="1" customWidth="1"/>
    <col min="70" max="70" width="20.109375" bestFit="1" customWidth="1"/>
    <col min="71" max="71" width="25.21875" customWidth="1"/>
    <col min="72" max="76" width="20.5546875" bestFit="1" customWidth="1"/>
    <col min="77" max="77" width="24.44140625" bestFit="1" customWidth="1"/>
    <col min="78" max="80" width="20.5546875" bestFit="1" customWidth="1"/>
    <col min="81" max="84" width="20.21875" bestFit="1" customWidth="1"/>
    <col min="85" max="85" width="20.109375" bestFit="1" customWidth="1"/>
    <col min="86" max="86" width="21.33203125" bestFit="1" customWidth="1"/>
    <col min="87" max="87" width="24.21875" bestFit="1" customWidth="1"/>
    <col min="88" max="89" width="21.33203125" bestFit="1" customWidth="1"/>
    <col min="90" max="90" width="24" bestFit="1" customWidth="1"/>
    <col min="91" max="91" width="24.44140625" bestFit="1" customWidth="1"/>
    <col min="92" max="92" width="21.33203125" bestFit="1" customWidth="1"/>
    <col min="93" max="93" width="20" bestFit="1" customWidth="1"/>
    <col min="94" max="95" width="20.21875" bestFit="1" customWidth="1"/>
    <col min="96" max="96" width="20.109375" bestFit="1" customWidth="1"/>
    <col min="97" max="97" width="20.33203125" bestFit="1" customWidth="1"/>
    <col min="98" max="98" width="19.77734375" bestFit="1" customWidth="1"/>
    <col min="99" max="99" width="21.109375" bestFit="1" customWidth="1"/>
    <col min="100" max="101" width="19.77734375" bestFit="1" customWidth="1"/>
    <col min="102" max="102" width="14.21875" bestFit="1" customWidth="1"/>
    <col min="103" max="103" width="15.109375" bestFit="1" customWidth="1"/>
    <col min="104" max="104" width="14.5546875" bestFit="1" customWidth="1"/>
    <col min="105" max="105" width="18.88671875" bestFit="1" customWidth="1"/>
    <col min="106" max="106" width="24.6640625" bestFit="1" customWidth="1"/>
    <col min="107" max="107" width="13.21875" bestFit="1" customWidth="1"/>
    <col min="108" max="108" width="20.109375" bestFit="1" customWidth="1"/>
    <col min="109" max="109" width="13.77734375" bestFit="1" customWidth="1"/>
    <col min="110" max="110" width="19.77734375" bestFit="1" customWidth="1"/>
    <col min="111" max="113" width="19.44140625" bestFit="1" customWidth="1"/>
    <col min="114" max="114" width="20" bestFit="1" customWidth="1"/>
    <col min="115" max="115" width="18.109375" bestFit="1" customWidth="1"/>
    <col min="116" max="116" width="28.44140625" bestFit="1" customWidth="1"/>
    <col min="117" max="117" width="19.88671875" bestFit="1" customWidth="1"/>
    <col min="118" max="119" width="16.44140625" bestFit="1" customWidth="1"/>
    <col min="120" max="121" width="20.5546875" bestFit="1" customWidth="1"/>
    <col min="122" max="122" width="10.109375" bestFit="1" customWidth="1"/>
    <col min="123" max="124" width="20.109375" bestFit="1" customWidth="1"/>
    <col min="125" max="127" width="19.77734375" bestFit="1" customWidth="1"/>
    <col min="128" max="128" width="18.77734375" bestFit="1" customWidth="1"/>
    <col min="129" max="129" width="20.44140625" bestFit="1" customWidth="1"/>
    <col min="130" max="130" width="17.77734375" bestFit="1" customWidth="1"/>
    <col min="131" max="131" width="17.5546875" bestFit="1" customWidth="1"/>
    <col min="132" max="132" width="19.5546875" bestFit="1" customWidth="1"/>
    <col min="133" max="135" width="19.6640625" bestFit="1" customWidth="1"/>
    <col min="136" max="136" width="20.6640625" bestFit="1" customWidth="1"/>
    <col min="137" max="137" width="21.44140625" bestFit="1" customWidth="1"/>
    <col min="138" max="138" width="19.21875" bestFit="1" customWidth="1"/>
    <col min="139" max="139" width="20.44140625" bestFit="1" customWidth="1"/>
    <col min="140" max="140" width="24.44140625" bestFit="1" customWidth="1"/>
    <col min="141" max="141" width="19.109375" bestFit="1" customWidth="1"/>
    <col min="142" max="147" width="20.21875" bestFit="1" customWidth="1"/>
    <col min="148" max="149" width="19.21875" bestFit="1" customWidth="1"/>
    <col min="150" max="151" width="20.109375" bestFit="1" customWidth="1"/>
    <col min="152" max="152" width="17.33203125" bestFit="1" customWidth="1"/>
    <col min="153" max="153" width="20.5546875" bestFit="1" customWidth="1"/>
    <col min="154" max="154" width="28.6640625" bestFit="1" customWidth="1"/>
    <col min="155" max="156" width="19.77734375" bestFit="1" customWidth="1"/>
    <col min="157" max="157" width="18.88671875" bestFit="1" customWidth="1"/>
    <col min="158" max="158" width="20.77734375" bestFit="1" customWidth="1"/>
    <col min="159" max="159" width="22.21875" bestFit="1" customWidth="1"/>
    <col min="160" max="160" width="17" bestFit="1" customWidth="1"/>
    <col min="161" max="161" width="18.77734375" bestFit="1" customWidth="1"/>
    <col min="162" max="162" width="20.44140625" bestFit="1" customWidth="1"/>
    <col min="163" max="163" width="24.44140625" bestFit="1" customWidth="1"/>
    <col min="164" max="164" width="22.109375" bestFit="1" customWidth="1"/>
    <col min="165" max="165" width="20.77734375" bestFit="1" customWidth="1"/>
    <col min="166" max="166" width="17.44140625" bestFit="1" customWidth="1"/>
    <col min="167" max="167" width="19.44140625" bestFit="1" customWidth="1"/>
    <col min="168" max="168" width="17.77734375" bestFit="1" customWidth="1"/>
    <col min="169" max="170" width="20.21875" bestFit="1" customWidth="1"/>
    <col min="171" max="171" width="19.6640625" bestFit="1" customWidth="1"/>
    <col min="172" max="173" width="12.44140625" bestFit="1" customWidth="1"/>
    <col min="174" max="175" width="24.88671875" bestFit="1" customWidth="1"/>
    <col min="176" max="178" width="20.109375" bestFit="1" customWidth="1"/>
    <col min="179" max="179" width="19.44140625" bestFit="1" customWidth="1"/>
    <col min="180" max="180" width="21.5546875" bestFit="1" customWidth="1"/>
    <col min="181" max="181" width="19.44140625" bestFit="1" customWidth="1"/>
    <col min="182" max="182" width="20.6640625" bestFit="1" customWidth="1"/>
    <col min="183" max="183" width="10.77734375" bestFit="1" customWidth="1"/>
    <col min="184" max="185" width="10.109375" bestFit="1" customWidth="1"/>
    <col min="186" max="186" width="20.5546875" bestFit="1" customWidth="1"/>
    <col min="187" max="187" width="20.6640625" bestFit="1" customWidth="1"/>
    <col min="188" max="188" width="19.77734375" bestFit="1" customWidth="1"/>
    <col min="189" max="189" width="18.6640625" bestFit="1" customWidth="1"/>
    <col min="190" max="190" width="27" bestFit="1" customWidth="1"/>
    <col min="191" max="191" width="20.109375" bestFit="1" customWidth="1"/>
    <col min="192" max="196" width="20.21875" bestFit="1" customWidth="1"/>
    <col min="197" max="197" width="15" bestFit="1" customWidth="1"/>
    <col min="198" max="198" width="19.6640625" bestFit="1" customWidth="1"/>
    <col min="199" max="199" width="19.88671875" bestFit="1" customWidth="1"/>
    <col min="200" max="200" width="20.33203125" bestFit="1" customWidth="1"/>
    <col min="201" max="201" width="19.77734375" bestFit="1" customWidth="1"/>
    <col min="202" max="202" width="19.6640625" bestFit="1" customWidth="1"/>
    <col min="203" max="203" width="18.6640625" bestFit="1" customWidth="1"/>
    <col min="204" max="204" width="21.109375" bestFit="1" customWidth="1"/>
    <col min="205" max="206" width="19.77734375" bestFit="1" customWidth="1"/>
    <col min="207" max="207" width="24.88671875" bestFit="1" customWidth="1"/>
    <col min="208" max="211" width="18.6640625" bestFit="1" customWidth="1"/>
    <col min="212" max="213" width="16.6640625" bestFit="1" customWidth="1"/>
    <col min="214" max="214" width="18" bestFit="1" customWidth="1"/>
    <col min="215" max="215" width="20.109375" bestFit="1" customWidth="1"/>
    <col min="216" max="216" width="22.21875" bestFit="1" customWidth="1"/>
    <col min="217" max="217" width="20.109375" bestFit="1" customWidth="1"/>
    <col min="218" max="218" width="22.109375" bestFit="1" customWidth="1"/>
    <col min="219" max="220" width="24.44140625" bestFit="1" customWidth="1"/>
    <col min="221" max="222" width="19.6640625" bestFit="1" customWidth="1"/>
    <col min="223" max="223" width="19.5546875" bestFit="1" customWidth="1"/>
    <col min="224" max="224" width="19" bestFit="1" customWidth="1"/>
    <col min="225" max="225" width="20.77734375" bestFit="1" customWidth="1"/>
    <col min="226" max="226" width="22" bestFit="1" customWidth="1"/>
    <col min="227" max="230" width="19.6640625" bestFit="1" customWidth="1"/>
    <col min="231" max="233" width="19.5546875" bestFit="1" customWidth="1"/>
    <col min="234" max="236" width="19.77734375" bestFit="1" customWidth="1"/>
    <col min="237" max="237" width="28.6640625" bestFit="1" customWidth="1"/>
    <col min="238" max="239" width="20.77734375" bestFit="1" customWidth="1"/>
    <col min="240" max="241" width="18.6640625" bestFit="1" customWidth="1"/>
    <col min="242" max="242" width="19.77734375" bestFit="1" customWidth="1"/>
    <col min="243" max="243" width="18.77734375" bestFit="1" customWidth="1"/>
    <col min="244" max="245" width="18.5546875" bestFit="1" customWidth="1"/>
    <col min="246" max="248" width="20.109375" bestFit="1" customWidth="1"/>
    <col min="249" max="249" width="19.88671875" bestFit="1" customWidth="1"/>
    <col min="250" max="250" width="24.44140625" bestFit="1" customWidth="1"/>
    <col min="251" max="251" width="20.109375" bestFit="1" customWidth="1"/>
    <col min="252" max="252" width="19.33203125" bestFit="1" customWidth="1"/>
    <col min="253" max="253" width="19.21875" bestFit="1" customWidth="1"/>
    <col min="254" max="254" width="18.5546875" bestFit="1" customWidth="1"/>
    <col min="255" max="255" width="19.109375" bestFit="1" customWidth="1"/>
    <col min="256" max="257" width="19.77734375" bestFit="1" customWidth="1"/>
    <col min="258" max="258" width="21.44140625" bestFit="1" customWidth="1"/>
    <col min="259" max="259" width="19.6640625" bestFit="1" customWidth="1"/>
    <col min="260" max="260" width="21.5546875" bestFit="1" customWidth="1"/>
    <col min="261" max="262" width="19.21875" bestFit="1" customWidth="1"/>
    <col min="263" max="263" width="20.77734375" bestFit="1" customWidth="1"/>
    <col min="264" max="264" width="17.77734375" bestFit="1" customWidth="1"/>
    <col min="265" max="265" width="24.44140625" bestFit="1" customWidth="1"/>
    <col min="266" max="269" width="19.6640625" bestFit="1" customWidth="1"/>
    <col min="270" max="270" width="20.6640625" bestFit="1" customWidth="1"/>
    <col min="271" max="275" width="19.77734375" bestFit="1" customWidth="1"/>
    <col min="276" max="276" width="24" bestFit="1" customWidth="1"/>
    <col min="277" max="279" width="20.21875" bestFit="1" customWidth="1"/>
    <col min="280" max="280" width="20.33203125" bestFit="1" customWidth="1"/>
    <col min="281" max="281" width="22.109375" bestFit="1" customWidth="1"/>
    <col min="282" max="282" width="18.88671875" bestFit="1" customWidth="1"/>
    <col min="283" max="285" width="20.44140625" bestFit="1" customWidth="1"/>
    <col min="286" max="286" width="16.44140625" bestFit="1" customWidth="1"/>
    <col min="287" max="288" width="25.88671875" bestFit="1" customWidth="1"/>
    <col min="289" max="289" width="20.33203125" bestFit="1" customWidth="1"/>
    <col min="290" max="290" width="20.44140625" bestFit="1" customWidth="1"/>
    <col min="291" max="291" width="20.77734375" bestFit="1" customWidth="1"/>
    <col min="292" max="292" width="20.109375" bestFit="1" customWidth="1"/>
    <col min="293" max="295" width="19.77734375" bestFit="1" customWidth="1"/>
    <col min="296" max="296" width="28.6640625" bestFit="1" customWidth="1"/>
    <col min="297" max="297" width="19.88671875" bestFit="1" customWidth="1"/>
    <col min="298" max="298" width="20.5546875" bestFit="1" customWidth="1"/>
    <col min="299" max="299" width="19.88671875" bestFit="1" customWidth="1"/>
    <col min="300" max="300" width="22.88671875" bestFit="1" customWidth="1"/>
    <col min="301" max="301" width="20.77734375" bestFit="1" customWidth="1"/>
    <col min="302" max="302" width="19.21875" bestFit="1" customWidth="1"/>
    <col min="303" max="303" width="21.77734375" bestFit="1" customWidth="1"/>
    <col min="304" max="304" width="19.21875" bestFit="1" customWidth="1"/>
    <col min="305" max="306" width="20.77734375" bestFit="1" customWidth="1"/>
    <col min="307" max="307" width="17.5546875" bestFit="1" customWidth="1"/>
    <col min="308" max="309" width="17.77734375" bestFit="1" customWidth="1"/>
    <col min="310" max="310" width="20.109375" bestFit="1" customWidth="1"/>
    <col min="311" max="311" width="19.77734375" bestFit="1" customWidth="1"/>
    <col min="312" max="315" width="19.5546875" bestFit="1" customWidth="1"/>
    <col min="316" max="318" width="19.77734375" bestFit="1" customWidth="1"/>
    <col min="319" max="319" width="19.88671875" bestFit="1" customWidth="1"/>
    <col min="320" max="320" width="19.5546875" bestFit="1" customWidth="1"/>
    <col min="321" max="321" width="16.77734375" bestFit="1" customWidth="1"/>
    <col min="322" max="322" width="19.88671875" bestFit="1" customWidth="1"/>
    <col min="323" max="323" width="18.6640625" bestFit="1" customWidth="1"/>
    <col min="324" max="324" width="18.33203125" bestFit="1" customWidth="1"/>
    <col min="325" max="325" width="21.21875" bestFit="1" customWidth="1"/>
    <col min="326" max="327" width="17.77734375" bestFit="1" customWidth="1"/>
    <col min="328" max="328" width="16.77734375" bestFit="1" customWidth="1"/>
    <col min="329" max="329" width="20.77734375" bestFit="1" customWidth="1"/>
    <col min="330" max="331" width="20.88671875" bestFit="1" customWidth="1"/>
    <col min="332" max="332" width="16.44140625" bestFit="1" customWidth="1"/>
    <col min="333" max="334" width="20.77734375" bestFit="1" customWidth="1"/>
    <col min="335" max="335" width="19.5546875" bestFit="1" customWidth="1"/>
    <col min="336" max="336" width="17.5546875" bestFit="1" customWidth="1"/>
    <col min="337" max="338" width="19.77734375" bestFit="1" customWidth="1"/>
    <col min="339" max="339" width="20.77734375" bestFit="1" customWidth="1"/>
    <col min="340" max="342" width="19.77734375" bestFit="1" customWidth="1"/>
    <col min="343" max="344" width="20.5546875" bestFit="1" customWidth="1"/>
    <col min="345" max="345" width="20.77734375" bestFit="1" customWidth="1"/>
    <col min="346" max="346" width="21.5546875" bestFit="1" customWidth="1"/>
    <col min="347" max="350" width="19.109375" bestFit="1" customWidth="1"/>
    <col min="351" max="351" width="19.77734375" bestFit="1" customWidth="1"/>
    <col min="352" max="352" width="15.77734375" bestFit="1" customWidth="1"/>
    <col min="353" max="353" width="21.5546875" bestFit="1" customWidth="1"/>
    <col min="354" max="355" width="18.21875" bestFit="1" customWidth="1"/>
    <col min="356" max="356" width="28.6640625" bestFit="1" customWidth="1"/>
    <col min="357" max="357" width="20.77734375" bestFit="1" customWidth="1"/>
    <col min="358" max="358" width="20.5546875" bestFit="1" customWidth="1"/>
    <col min="359" max="359" width="21.21875" bestFit="1" customWidth="1"/>
    <col min="360" max="360" width="20.5546875" bestFit="1" customWidth="1"/>
    <col min="361" max="362" width="20.21875" bestFit="1" customWidth="1"/>
    <col min="363" max="363" width="13.21875" bestFit="1" customWidth="1"/>
    <col min="364" max="365" width="19.77734375" bestFit="1" customWidth="1"/>
    <col min="366" max="366" width="19.6640625" bestFit="1" customWidth="1"/>
    <col min="367" max="367" width="15" bestFit="1" customWidth="1"/>
    <col min="368" max="368" width="18.77734375" bestFit="1" customWidth="1"/>
    <col min="369" max="369" width="23" bestFit="1" customWidth="1"/>
    <col min="370" max="370" width="19.88671875" bestFit="1" customWidth="1"/>
    <col min="371" max="371" width="17.21875" bestFit="1" customWidth="1"/>
    <col min="372" max="373" width="19.6640625" bestFit="1" customWidth="1"/>
    <col min="374" max="375" width="22.109375" bestFit="1" customWidth="1"/>
    <col min="376" max="376" width="17" bestFit="1" customWidth="1"/>
    <col min="377" max="377" width="22.109375" bestFit="1" customWidth="1"/>
    <col min="378" max="379" width="20.77734375" bestFit="1" customWidth="1"/>
    <col min="380" max="380" width="16.77734375" bestFit="1" customWidth="1"/>
    <col min="381" max="381" width="16.6640625" bestFit="1" customWidth="1"/>
    <col min="382" max="383" width="19.77734375" bestFit="1" customWidth="1"/>
    <col min="384" max="384" width="20.109375" bestFit="1" customWidth="1"/>
    <col min="385" max="385" width="17.109375" bestFit="1" customWidth="1"/>
    <col min="386" max="386" width="18" bestFit="1" customWidth="1"/>
    <col min="387" max="388" width="20.109375" bestFit="1" customWidth="1"/>
    <col min="389" max="390" width="18.88671875" bestFit="1" customWidth="1"/>
    <col min="391" max="391" width="20.109375" bestFit="1" customWidth="1"/>
    <col min="392" max="394" width="24.44140625" bestFit="1" customWidth="1"/>
    <col min="395" max="395" width="28.6640625" bestFit="1" customWidth="1"/>
    <col min="396" max="397" width="18.6640625" bestFit="1" customWidth="1"/>
    <col min="398" max="398" width="19.21875" bestFit="1" customWidth="1"/>
    <col min="399" max="400" width="24.21875" bestFit="1" customWidth="1"/>
    <col min="401" max="401" width="24.44140625" bestFit="1" customWidth="1"/>
    <col min="402" max="402" width="18.77734375" bestFit="1" customWidth="1"/>
    <col min="403" max="403" width="20.109375" bestFit="1" customWidth="1"/>
    <col min="404" max="407" width="20.88671875" bestFit="1" customWidth="1"/>
    <col min="408" max="410" width="18.77734375" bestFit="1" customWidth="1"/>
    <col min="411" max="412" width="19.21875" bestFit="1" customWidth="1"/>
    <col min="413" max="413" width="19.77734375" bestFit="1" customWidth="1"/>
    <col min="414" max="414" width="19.6640625" bestFit="1" customWidth="1"/>
    <col min="415" max="415" width="19.77734375" bestFit="1" customWidth="1"/>
    <col min="416" max="416" width="11.33203125" bestFit="1" customWidth="1"/>
    <col min="417" max="417" width="11.88671875" bestFit="1" customWidth="1"/>
    <col min="418" max="418" width="18.77734375" bestFit="1" customWidth="1"/>
    <col min="419" max="420" width="21.44140625" bestFit="1" customWidth="1"/>
    <col min="421" max="421" width="20.44140625" bestFit="1" customWidth="1"/>
    <col min="422" max="422" width="20.77734375" bestFit="1" customWidth="1"/>
    <col min="423" max="423" width="19.21875" bestFit="1" customWidth="1"/>
    <col min="424" max="425" width="21.44140625" bestFit="1" customWidth="1"/>
    <col min="426" max="426" width="17.77734375" bestFit="1" customWidth="1"/>
    <col min="427" max="427" width="18.88671875" bestFit="1" customWidth="1"/>
    <col min="428" max="428" width="17.77734375" bestFit="1" customWidth="1"/>
    <col min="429" max="429" width="20.109375" bestFit="1" customWidth="1"/>
    <col min="430" max="430" width="21.33203125" bestFit="1" customWidth="1"/>
    <col min="431" max="431" width="20.109375" bestFit="1" customWidth="1"/>
    <col min="432" max="432" width="20" bestFit="1" customWidth="1"/>
    <col min="433" max="433" width="20.6640625" bestFit="1" customWidth="1"/>
    <col min="434" max="434" width="20" bestFit="1" customWidth="1"/>
    <col min="435" max="435" width="19.77734375" bestFit="1" customWidth="1"/>
    <col min="436" max="436" width="18.44140625" bestFit="1" customWidth="1"/>
    <col min="437" max="437" width="20.77734375" bestFit="1" customWidth="1"/>
    <col min="438" max="438" width="19.77734375" bestFit="1" customWidth="1"/>
    <col min="439" max="439" width="24.44140625" bestFit="1" customWidth="1"/>
    <col min="440" max="440" width="17.88671875" bestFit="1" customWidth="1"/>
    <col min="441" max="441" width="21.5546875" bestFit="1" customWidth="1"/>
    <col min="442" max="445" width="20.5546875" bestFit="1" customWidth="1"/>
    <col min="446" max="447" width="20.21875" bestFit="1" customWidth="1"/>
    <col min="448" max="448" width="16.77734375" bestFit="1" customWidth="1"/>
    <col min="449" max="449" width="16.6640625" bestFit="1" customWidth="1"/>
    <col min="450" max="450" width="20.21875" bestFit="1" customWidth="1"/>
    <col min="451" max="451" width="24.44140625" bestFit="1" customWidth="1"/>
    <col min="452" max="452" width="19.44140625" bestFit="1" customWidth="1"/>
    <col min="453" max="453" width="20.21875" bestFit="1" customWidth="1"/>
    <col min="454" max="454" width="24.44140625" bestFit="1" customWidth="1"/>
    <col min="455" max="455" width="18.88671875" bestFit="1" customWidth="1"/>
    <col min="456" max="456" width="24.44140625" bestFit="1" customWidth="1"/>
    <col min="457" max="457" width="15.5546875" bestFit="1" customWidth="1"/>
    <col min="458" max="458" width="19.21875" bestFit="1" customWidth="1"/>
    <col min="459" max="460" width="18.6640625" bestFit="1" customWidth="1"/>
    <col min="461" max="463" width="24.44140625" bestFit="1" customWidth="1"/>
    <col min="464" max="465" width="25.5546875" bestFit="1" customWidth="1"/>
    <col min="466" max="468" width="20.77734375" bestFit="1" customWidth="1"/>
    <col min="469" max="469" width="16.21875" bestFit="1" customWidth="1"/>
    <col min="470" max="471" width="19.77734375" bestFit="1" customWidth="1"/>
    <col min="472" max="472" width="28.6640625" bestFit="1" customWidth="1"/>
    <col min="473" max="473" width="19.77734375" bestFit="1" customWidth="1"/>
    <col min="474" max="474" width="13.21875" bestFit="1" customWidth="1"/>
    <col min="475" max="475" width="17.109375" bestFit="1" customWidth="1"/>
    <col min="476" max="476" width="15.109375" bestFit="1" customWidth="1"/>
    <col min="477" max="477" width="19.33203125" bestFit="1" customWidth="1"/>
    <col min="478" max="478" width="20.21875" bestFit="1" customWidth="1"/>
    <col min="479" max="479" width="19.5546875" bestFit="1" customWidth="1"/>
    <col min="480" max="480" width="24.88671875" bestFit="1" customWidth="1"/>
    <col min="481" max="482" width="18.6640625" bestFit="1" customWidth="1"/>
    <col min="483" max="483" width="20.77734375" bestFit="1" customWidth="1"/>
    <col min="484" max="484" width="24.44140625" bestFit="1" customWidth="1"/>
    <col min="485" max="487" width="20.21875" bestFit="1" customWidth="1"/>
    <col min="488" max="488" width="19.21875" bestFit="1" customWidth="1"/>
    <col min="489" max="491" width="18" bestFit="1" customWidth="1"/>
    <col min="492" max="492" width="24" bestFit="1" customWidth="1"/>
    <col min="493" max="494" width="20.109375" bestFit="1" customWidth="1"/>
    <col min="495" max="495" width="15.6640625" bestFit="1" customWidth="1"/>
    <col min="496" max="496" width="28.6640625" bestFit="1" customWidth="1"/>
    <col min="497" max="498" width="20.109375" bestFit="1" customWidth="1"/>
    <col min="499" max="499" width="18.77734375" bestFit="1" customWidth="1"/>
    <col min="500" max="500" width="19.21875" bestFit="1" customWidth="1"/>
    <col min="501" max="502" width="20.21875" bestFit="1" customWidth="1"/>
    <col min="503" max="503" width="19.88671875" bestFit="1" customWidth="1"/>
    <col min="504" max="504" width="20.21875" bestFit="1" customWidth="1"/>
    <col min="505" max="506" width="24.44140625" bestFit="1" customWidth="1"/>
    <col min="507" max="507" width="16.21875" bestFit="1" customWidth="1"/>
    <col min="508" max="508" width="18" bestFit="1" customWidth="1"/>
    <col min="509" max="509" width="20.33203125" bestFit="1" customWidth="1"/>
    <col min="510" max="510" width="13.77734375" bestFit="1" customWidth="1"/>
    <col min="511" max="512" width="20" bestFit="1" customWidth="1"/>
    <col min="513" max="513" width="28.6640625" bestFit="1" customWidth="1"/>
    <col min="514" max="515" width="20.5546875" bestFit="1" customWidth="1"/>
    <col min="516" max="516" width="28.6640625" bestFit="1" customWidth="1"/>
    <col min="517" max="517" width="20.77734375" bestFit="1" customWidth="1"/>
    <col min="518" max="518" width="18.109375" bestFit="1" customWidth="1"/>
    <col min="519" max="519" width="20.5546875" bestFit="1" customWidth="1"/>
    <col min="520" max="520" width="28.6640625" bestFit="1" customWidth="1"/>
    <col min="521" max="521" width="20.44140625" bestFit="1" customWidth="1"/>
    <col min="522" max="523" width="28.6640625" bestFit="1" customWidth="1"/>
    <col min="524" max="524" width="18.6640625" bestFit="1" customWidth="1"/>
    <col min="525" max="525" width="24.44140625" bestFit="1" customWidth="1"/>
    <col min="526" max="527" width="19.77734375" bestFit="1" customWidth="1"/>
    <col min="528" max="528" width="18.6640625" bestFit="1" customWidth="1"/>
    <col min="529" max="529" width="20.21875" bestFit="1" customWidth="1"/>
    <col min="530" max="530" width="28.6640625" bestFit="1" customWidth="1"/>
    <col min="531" max="533" width="21.109375" bestFit="1" customWidth="1"/>
    <col min="534" max="534" width="19.44140625" bestFit="1" customWidth="1"/>
    <col min="535" max="535" width="28.6640625" bestFit="1" customWidth="1"/>
    <col min="536" max="536" width="20.33203125" bestFit="1" customWidth="1"/>
    <col min="537" max="537" width="19.77734375" bestFit="1" customWidth="1"/>
    <col min="538" max="538" width="20.21875" bestFit="1" customWidth="1"/>
    <col min="539" max="539" width="19.44140625" bestFit="1" customWidth="1"/>
    <col min="540" max="540" width="28.6640625" bestFit="1" customWidth="1"/>
    <col min="541" max="542" width="20.77734375" bestFit="1" customWidth="1"/>
    <col min="543" max="543" width="24.44140625" bestFit="1" customWidth="1"/>
    <col min="544" max="545" width="18.6640625" bestFit="1" customWidth="1"/>
    <col min="546" max="546" width="28.6640625" bestFit="1" customWidth="1"/>
    <col min="547" max="549" width="19.77734375" bestFit="1" customWidth="1"/>
    <col min="550" max="551" width="20.21875" bestFit="1" customWidth="1"/>
    <col min="552" max="552" width="19.5546875" bestFit="1" customWidth="1"/>
    <col min="553" max="553" width="19.77734375" bestFit="1" customWidth="1"/>
    <col min="554" max="555" width="18.44140625" bestFit="1" customWidth="1"/>
    <col min="556" max="556" width="18.33203125" bestFit="1" customWidth="1"/>
    <col min="557" max="557" width="20.77734375" bestFit="1" customWidth="1"/>
    <col min="558" max="558" width="22.21875" bestFit="1" customWidth="1"/>
    <col min="559" max="559" width="14.21875" bestFit="1" customWidth="1"/>
    <col min="560" max="560" width="18.88671875" bestFit="1" customWidth="1"/>
    <col min="561" max="563" width="18.33203125" bestFit="1" customWidth="1"/>
    <col min="564" max="564" width="17.21875" bestFit="1" customWidth="1"/>
    <col min="565" max="565" width="20" bestFit="1" customWidth="1"/>
    <col min="566" max="566" width="20.33203125" bestFit="1" customWidth="1"/>
    <col min="567" max="567" width="21.109375" bestFit="1" customWidth="1"/>
    <col min="568" max="568" width="17.88671875" bestFit="1" customWidth="1"/>
    <col min="569" max="569" width="24.21875" bestFit="1" customWidth="1"/>
    <col min="570" max="570" width="18.5546875" bestFit="1" customWidth="1"/>
    <col min="571" max="571" width="27" bestFit="1" customWidth="1"/>
    <col min="572" max="572" width="17.88671875" bestFit="1" customWidth="1"/>
    <col min="573" max="576" width="15.77734375" bestFit="1" customWidth="1"/>
    <col min="577" max="577" width="19.33203125" bestFit="1" customWidth="1"/>
    <col min="578" max="578" width="25.5546875" bestFit="1" customWidth="1"/>
    <col min="579" max="580" width="15.77734375" bestFit="1" customWidth="1"/>
    <col min="581" max="582" width="20.77734375" bestFit="1" customWidth="1"/>
    <col min="583" max="583" width="28.6640625" bestFit="1" customWidth="1"/>
    <col min="584" max="585" width="20.88671875" bestFit="1" customWidth="1"/>
    <col min="586" max="586" width="16.6640625" bestFit="1" customWidth="1"/>
    <col min="587" max="587" width="17.88671875" bestFit="1" customWidth="1"/>
    <col min="588" max="588" width="17.77734375" bestFit="1" customWidth="1"/>
    <col min="589" max="589" width="22.109375" bestFit="1" customWidth="1"/>
    <col min="590" max="590" width="20.5546875" bestFit="1" customWidth="1"/>
    <col min="591" max="592" width="18.88671875" bestFit="1" customWidth="1"/>
    <col min="593" max="593" width="19.33203125" bestFit="1" customWidth="1"/>
    <col min="594" max="596" width="20.77734375" bestFit="1" customWidth="1"/>
    <col min="597" max="597" width="21.44140625" bestFit="1" customWidth="1"/>
    <col min="598" max="598" width="20.21875" bestFit="1" customWidth="1"/>
    <col min="599" max="599" width="28.6640625" bestFit="1" customWidth="1"/>
    <col min="600" max="601" width="20.21875" bestFit="1" customWidth="1"/>
    <col min="602" max="602" width="10.77734375" bestFit="1" customWidth="1"/>
    <col min="603" max="605" width="10.109375" bestFit="1" customWidth="1"/>
    <col min="606" max="607" width="18.88671875" bestFit="1" customWidth="1"/>
    <col min="608" max="608" width="19.6640625" bestFit="1" customWidth="1"/>
    <col min="609" max="611" width="20.109375" bestFit="1" customWidth="1"/>
    <col min="612" max="613" width="19.77734375" bestFit="1" customWidth="1"/>
    <col min="614" max="614" width="20.21875" bestFit="1" customWidth="1"/>
    <col min="615" max="616" width="19.6640625" bestFit="1" customWidth="1"/>
    <col min="617" max="617" width="19.5546875" bestFit="1" customWidth="1"/>
    <col min="618" max="618" width="17.5546875" bestFit="1" customWidth="1"/>
    <col min="619" max="619" width="20.21875" bestFit="1" customWidth="1"/>
    <col min="620" max="620" width="20.77734375" bestFit="1" customWidth="1"/>
    <col min="621" max="621" width="20.21875" bestFit="1" customWidth="1"/>
    <col min="622" max="622" width="20.109375" bestFit="1" customWidth="1"/>
    <col min="623" max="624" width="22.109375" bestFit="1" customWidth="1"/>
    <col min="625" max="626" width="19.44140625" bestFit="1" customWidth="1"/>
    <col min="627" max="627" width="16.77734375" bestFit="1" customWidth="1"/>
    <col min="628" max="628" width="28.6640625" bestFit="1" customWidth="1"/>
    <col min="629" max="629" width="19.21875" bestFit="1" customWidth="1"/>
    <col min="630" max="630" width="21.77734375" bestFit="1" customWidth="1"/>
    <col min="631" max="631" width="20.33203125" bestFit="1" customWidth="1"/>
    <col min="632" max="632" width="19.21875" bestFit="1" customWidth="1"/>
    <col min="633" max="633" width="18.77734375" bestFit="1" customWidth="1"/>
    <col min="634" max="634" width="22.109375" bestFit="1" customWidth="1"/>
    <col min="635" max="635" width="18.77734375" bestFit="1" customWidth="1"/>
    <col min="636" max="636" width="24.21875" customWidth="1"/>
    <col min="637" max="637" width="24.44140625" bestFit="1" customWidth="1"/>
    <col min="638" max="639" width="19.21875" bestFit="1" customWidth="1"/>
    <col min="640" max="640" width="20.77734375" bestFit="1" customWidth="1"/>
    <col min="641" max="643" width="21.5546875" bestFit="1" customWidth="1"/>
    <col min="644" max="645" width="19.77734375" bestFit="1" customWidth="1"/>
    <col min="646" max="647" width="19.109375" bestFit="1" customWidth="1"/>
    <col min="648" max="649" width="20.88671875" bestFit="1" customWidth="1"/>
    <col min="650" max="650" width="20.21875" bestFit="1" customWidth="1"/>
    <col min="651" max="651" width="28.6640625" bestFit="1" customWidth="1"/>
    <col min="652" max="654" width="19.21875" bestFit="1" customWidth="1"/>
    <col min="655" max="655" width="19.77734375" bestFit="1" customWidth="1"/>
    <col min="656" max="656" width="20.44140625" bestFit="1" customWidth="1"/>
    <col min="657" max="657" width="18.21875" bestFit="1" customWidth="1"/>
    <col min="658" max="658" width="17.6640625" bestFit="1" customWidth="1"/>
    <col min="659" max="659" width="21.5546875" bestFit="1" customWidth="1"/>
    <col min="660" max="660" width="19.77734375" bestFit="1" customWidth="1"/>
    <col min="661" max="661" width="18.77734375" bestFit="1" customWidth="1"/>
    <col min="662" max="662" width="24.44140625" bestFit="1" customWidth="1"/>
    <col min="663" max="663" width="23.33203125" bestFit="1" customWidth="1"/>
    <col min="664" max="664" width="15.6640625" bestFit="1" customWidth="1"/>
    <col min="665" max="665" width="19.6640625" bestFit="1" customWidth="1"/>
    <col min="666" max="666" width="19.44140625" bestFit="1" customWidth="1"/>
    <col min="667" max="667" width="16.77734375" bestFit="1" customWidth="1"/>
    <col min="668" max="668" width="24" bestFit="1" customWidth="1"/>
    <col min="669" max="669" width="20.5546875" bestFit="1" customWidth="1"/>
    <col min="670" max="672" width="19.77734375" bestFit="1" customWidth="1"/>
    <col min="673" max="673" width="20.5546875" bestFit="1" customWidth="1"/>
    <col min="674" max="676" width="20.88671875" bestFit="1" customWidth="1"/>
    <col min="677" max="677" width="17.77734375" bestFit="1" customWidth="1"/>
    <col min="678" max="678" width="22.21875" bestFit="1" customWidth="1"/>
    <col min="679" max="679" width="18.21875" bestFit="1" customWidth="1"/>
    <col min="680" max="681" width="20.109375" bestFit="1" customWidth="1"/>
    <col min="682" max="683" width="19.6640625" bestFit="1" customWidth="1"/>
    <col min="684" max="684" width="18.77734375" bestFit="1" customWidth="1"/>
    <col min="685" max="686" width="20.88671875" bestFit="1" customWidth="1"/>
    <col min="687" max="687" width="19.77734375" bestFit="1" customWidth="1"/>
    <col min="688" max="688" width="24.21875" bestFit="1" customWidth="1"/>
    <col min="689" max="689" width="20.77734375" bestFit="1" customWidth="1"/>
    <col min="690" max="690" width="28.6640625" bestFit="1" customWidth="1"/>
    <col min="691" max="692" width="19.88671875" bestFit="1" customWidth="1"/>
    <col min="693" max="693" width="13.5546875" bestFit="1" customWidth="1"/>
    <col min="694" max="694" width="20.21875" bestFit="1" customWidth="1"/>
    <col min="695" max="695" width="28.6640625" bestFit="1" customWidth="1"/>
    <col min="696" max="699" width="20.77734375" bestFit="1" customWidth="1"/>
    <col min="700" max="700" width="20.5546875" bestFit="1" customWidth="1"/>
    <col min="701" max="701" width="23" bestFit="1" customWidth="1"/>
    <col min="702" max="702" width="20.5546875" bestFit="1" customWidth="1"/>
    <col min="703" max="703" width="21.109375" bestFit="1" customWidth="1"/>
    <col min="704" max="704" width="20.21875" bestFit="1" customWidth="1"/>
    <col min="705" max="705" width="23" bestFit="1" customWidth="1"/>
    <col min="706" max="706" width="20.77734375" bestFit="1" customWidth="1"/>
    <col min="707" max="708" width="20.44140625" bestFit="1" customWidth="1"/>
    <col min="709" max="712" width="20.5546875" bestFit="1" customWidth="1"/>
    <col min="713" max="715" width="20.109375" bestFit="1" customWidth="1"/>
    <col min="716" max="716" width="19.88671875" bestFit="1" customWidth="1"/>
    <col min="717" max="717" width="20.5546875" bestFit="1" customWidth="1"/>
    <col min="718" max="720" width="19.6640625" bestFit="1" customWidth="1"/>
    <col min="721" max="721" width="24.44140625" bestFit="1" customWidth="1"/>
    <col min="722" max="722" width="28.6640625" bestFit="1" customWidth="1"/>
    <col min="723" max="723" width="19.88671875" bestFit="1" customWidth="1"/>
    <col min="724" max="726" width="21.21875" bestFit="1" customWidth="1"/>
    <col min="727" max="727" width="19.77734375" bestFit="1" customWidth="1"/>
    <col min="728" max="728" width="18.6640625" bestFit="1" customWidth="1"/>
    <col min="729" max="729" width="24.44140625" bestFit="1" customWidth="1"/>
    <col min="730" max="730" width="20.21875" bestFit="1" customWidth="1"/>
    <col min="731" max="733" width="19.77734375" bestFit="1" customWidth="1"/>
    <col min="734" max="736" width="20.5546875" bestFit="1" customWidth="1"/>
    <col min="737" max="738" width="19.88671875" bestFit="1" customWidth="1"/>
    <col min="739" max="739" width="19.77734375" bestFit="1" customWidth="1"/>
    <col min="740" max="740" width="22.21875" bestFit="1" customWidth="1"/>
    <col min="741" max="742" width="20.88671875" bestFit="1" customWidth="1"/>
    <col min="743" max="744" width="20.5546875" bestFit="1" customWidth="1"/>
    <col min="745" max="745" width="16.21875" bestFit="1" customWidth="1"/>
    <col min="746" max="746" width="28.6640625" bestFit="1" customWidth="1"/>
    <col min="747" max="748" width="19.6640625" bestFit="1" customWidth="1"/>
    <col min="749" max="750" width="19.88671875" bestFit="1" customWidth="1"/>
    <col min="751" max="754" width="20.44140625" bestFit="1" customWidth="1"/>
    <col min="755" max="755" width="19.88671875" bestFit="1" customWidth="1"/>
    <col min="756" max="756" width="20.33203125" bestFit="1" customWidth="1"/>
    <col min="757" max="757" width="19.6640625" bestFit="1" customWidth="1"/>
    <col min="758" max="758" width="18.77734375" bestFit="1" customWidth="1"/>
    <col min="759" max="760" width="19.77734375" bestFit="1" customWidth="1"/>
    <col min="761" max="763" width="21.109375" bestFit="1" customWidth="1"/>
    <col min="764" max="764" width="19.21875" bestFit="1" customWidth="1"/>
    <col min="765" max="765" width="14" bestFit="1" customWidth="1"/>
    <col min="766" max="766" width="20.109375" bestFit="1" customWidth="1"/>
    <col min="767" max="769" width="18.21875" bestFit="1" customWidth="1"/>
    <col min="770" max="772" width="20.88671875" bestFit="1" customWidth="1"/>
    <col min="773" max="773" width="20.77734375" bestFit="1" customWidth="1"/>
    <col min="774" max="774" width="19.88671875" bestFit="1" customWidth="1"/>
    <col min="775" max="775" width="19.77734375" bestFit="1" customWidth="1"/>
    <col min="776" max="779" width="20.5546875" bestFit="1" customWidth="1"/>
    <col min="780" max="780" width="15.88671875" bestFit="1" customWidth="1"/>
    <col min="781" max="781" width="17.44140625" bestFit="1" customWidth="1"/>
    <col min="782" max="782" width="18.33203125" bestFit="1" customWidth="1"/>
    <col min="783" max="783" width="20" bestFit="1" customWidth="1"/>
    <col min="784" max="785" width="20.21875" bestFit="1" customWidth="1"/>
    <col min="786" max="786" width="28.6640625" bestFit="1" customWidth="1"/>
    <col min="787" max="790" width="19.77734375" bestFit="1" customWidth="1"/>
    <col min="791" max="796" width="20.21875" bestFit="1" customWidth="1"/>
    <col min="797" max="801" width="19.77734375" bestFit="1" customWidth="1"/>
    <col min="802" max="803" width="18.21875" bestFit="1" customWidth="1"/>
    <col min="804" max="804" width="21.109375" bestFit="1" customWidth="1"/>
    <col min="805" max="807" width="22.21875" bestFit="1" customWidth="1"/>
    <col min="808" max="808" width="20.6640625" bestFit="1" customWidth="1"/>
    <col min="809" max="810" width="20.77734375" bestFit="1" customWidth="1"/>
    <col min="811" max="811" width="14.21875" bestFit="1" customWidth="1"/>
    <col min="812" max="813" width="19.6640625" bestFit="1" customWidth="1"/>
    <col min="814" max="815" width="19.77734375" bestFit="1" customWidth="1"/>
    <col min="816" max="816" width="21.109375" bestFit="1" customWidth="1"/>
    <col min="817" max="817" width="19.88671875" bestFit="1" customWidth="1"/>
    <col min="818" max="821" width="20.88671875" bestFit="1" customWidth="1"/>
    <col min="822" max="823" width="19.21875" bestFit="1" customWidth="1"/>
    <col min="824" max="824" width="19.88671875" bestFit="1" customWidth="1"/>
    <col min="825" max="825" width="20.33203125" bestFit="1" customWidth="1"/>
    <col min="826" max="826" width="18.33203125" bestFit="1" customWidth="1"/>
    <col min="827" max="827" width="17.44140625" bestFit="1" customWidth="1"/>
    <col min="828" max="828" width="21.5546875" bestFit="1" customWidth="1"/>
    <col min="829" max="833" width="20.88671875" bestFit="1" customWidth="1"/>
    <col min="834" max="834" width="21.109375" bestFit="1" customWidth="1"/>
    <col min="835" max="836" width="20.44140625" bestFit="1" customWidth="1"/>
    <col min="837" max="837" width="22.21875" bestFit="1" customWidth="1"/>
    <col min="838" max="838" width="20.44140625" bestFit="1" customWidth="1"/>
    <col min="839" max="839" width="24.77734375" bestFit="1" customWidth="1"/>
    <col min="840" max="840" width="20.21875" bestFit="1" customWidth="1"/>
    <col min="841" max="841" width="18.5546875" bestFit="1" customWidth="1"/>
    <col min="842" max="842" width="23" bestFit="1" customWidth="1"/>
    <col min="843" max="843" width="20.109375" bestFit="1" customWidth="1"/>
    <col min="844" max="844" width="23" bestFit="1" customWidth="1"/>
    <col min="845" max="845" width="14.109375" bestFit="1" customWidth="1"/>
    <col min="846" max="846" width="20.33203125" bestFit="1" customWidth="1"/>
    <col min="847" max="847" width="18.44140625" bestFit="1" customWidth="1"/>
    <col min="848" max="848" width="14.6640625" bestFit="1" customWidth="1"/>
    <col min="849" max="853" width="20.109375" bestFit="1" customWidth="1"/>
    <col min="854" max="854" width="14.6640625" bestFit="1" customWidth="1"/>
    <col min="855" max="857" width="20.77734375" bestFit="1" customWidth="1"/>
    <col min="858" max="858" width="19.88671875" bestFit="1" customWidth="1"/>
    <col min="859" max="859" width="13.33203125" bestFit="1" customWidth="1"/>
    <col min="860" max="863" width="21.109375" bestFit="1" customWidth="1"/>
    <col min="864" max="865" width="20.21875" bestFit="1" customWidth="1"/>
    <col min="866" max="867" width="22.109375" bestFit="1" customWidth="1"/>
    <col min="868" max="868" width="18.21875" bestFit="1" customWidth="1"/>
    <col min="869" max="869" width="22.6640625" bestFit="1" customWidth="1"/>
    <col min="870" max="870" width="20.77734375" bestFit="1" customWidth="1"/>
    <col min="871" max="871" width="20.21875" bestFit="1" customWidth="1"/>
    <col min="872" max="872" width="20.77734375" bestFit="1" customWidth="1"/>
    <col min="873" max="873" width="20.5546875" bestFit="1" customWidth="1"/>
    <col min="874" max="874" width="12.88671875" bestFit="1" customWidth="1"/>
    <col min="875" max="875" width="19.88671875" bestFit="1" customWidth="1"/>
    <col min="876" max="876" width="18.88671875" bestFit="1" customWidth="1"/>
    <col min="877" max="878" width="19.21875" bestFit="1" customWidth="1"/>
    <col min="879" max="879" width="17.77734375" bestFit="1" customWidth="1"/>
    <col min="880" max="880" width="15.109375" bestFit="1" customWidth="1"/>
    <col min="881" max="882" width="14.109375" bestFit="1" customWidth="1"/>
    <col min="883" max="883" width="20.109375" bestFit="1" customWidth="1"/>
    <col min="884" max="884" width="22.109375" bestFit="1" customWidth="1"/>
    <col min="885" max="885" width="14.5546875" bestFit="1" customWidth="1"/>
    <col min="886" max="886" width="18" bestFit="1" customWidth="1"/>
    <col min="887" max="887" width="14" bestFit="1" customWidth="1"/>
    <col min="888" max="888" width="16.21875" bestFit="1" customWidth="1"/>
    <col min="889" max="890" width="18.6640625" bestFit="1" customWidth="1"/>
    <col min="891" max="891" width="12.77734375" bestFit="1" customWidth="1"/>
    <col min="892" max="895" width="21.21875" bestFit="1" customWidth="1"/>
    <col min="896" max="896" width="24.44140625" bestFit="1" customWidth="1"/>
    <col min="897" max="897" width="22" bestFit="1" customWidth="1"/>
    <col min="898" max="898" width="19.88671875" bestFit="1" customWidth="1"/>
    <col min="899" max="902" width="19.77734375" bestFit="1" customWidth="1"/>
    <col min="903" max="903" width="18.6640625" bestFit="1" customWidth="1"/>
    <col min="904" max="904" width="18.5546875" bestFit="1" customWidth="1"/>
    <col min="905" max="905" width="21.109375" bestFit="1" customWidth="1"/>
    <col min="906" max="906" width="24.44140625" bestFit="1" customWidth="1"/>
    <col min="907" max="907" width="20" bestFit="1" customWidth="1"/>
    <col min="908" max="908" width="19" bestFit="1" customWidth="1"/>
    <col min="909" max="911" width="24.44140625" bestFit="1" customWidth="1"/>
    <col min="912" max="912" width="20.21875" bestFit="1" customWidth="1"/>
    <col min="913" max="913" width="20.77734375" bestFit="1" customWidth="1"/>
    <col min="914" max="916" width="19.44140625" bestFit="1" customWidth="1"/>
    <col min="917" max="917" width="19.21875" bestFit="1" customWidth="1"/>
    <col min="918" max="919" width="19.6640625" bestFit="1" customWidth="1"/>
    <col min="920" max="920" width="20.77734375" bestFit="1" customWidth="1"/>
    <col min="921" max="923" width="20" bestFit="1" customWidth="1"/>
    <col min="924" max="924" width="19.88671875" bestFit="1" customWidth="1"/>
    <col min="925" max="925" width="18.5546875" bestFit="1" customWidth="1"/>
    <col min="926" max="926" width="20" bestFit="1" customWidth="1"/>
    <col min="927" max="928" width="13.109375" bestFit="1" customWidth="1"/>
    <col min="929" max="929" width="19.88671875" bestFit="1" customWidth="1"/>
    <col min="930" max="930" width="20.77734375" bestFit="1" customWidth="1"/>
    <col min="931" max="931" width="28.6640625" bestFit="1" customWidth="1"/>
    <col min="932" max="932" width="20.21875" bestFit="1" customWidth="1"/>
    <col min="933" max="934" width="19.77734375" bestFit="1" customWidth="1"/>
    <col min="935" max="935" width="22.109375" bestFit="1" customWidth="1"/>
    <col min="936" max="936" width="19.77734375" bestFit="1" customWidth="1"/>
    <col min="937" max="937" width="20.77734375" bestFit="1" customWidth="1"/>
    <col min="938" max="938" width="20.109375" bestFit="1" customWidth="1"/>
    <col min="939" max="940" width="19.44140625" bestFit="1" customWidth="1"/>
    <col min="941" max="941" width="20" bestFit="1" customWidth="1"/>
    <col min="942" max="942" width="28.44140625" bestFit="1" customWidth="1"/>
    <col min="943" max="943" width="22.109375" bestFit="1" customWidth="1"/>
    <col min="944" max="944" width="20.77734375" bestFit="1" customWidth="1"/>
    <col min="945" max="947" width="20.21875" bestFit="1" customWidth="1"/>
    <col min="948" max="948" width="16.21875" bestFit="1" customWidth="1"/>
    <col min="949" max="949" width="20.109375" bestFit="1" customWidth="1"/>
    <col min="950" max="951" width="19.77734375" bestFit="1" customWidth="1"/>
    <col min="952" max="952" width="19.109375" bestFit="1" customWidth="1"/>
    <col min="953" max="953" width="19.77734375" bestFit="1" customWidth="1"/>
    <col min="954" max="954" width="21.5546875" bestFit="1" customWidth="1"/>
    <col min="955" max="955" width="21.77734375" bestFit="1" customWidth="1"/>
    <col min="956" max="956" width="19.44140625" bestFit="1" customWidth="1"/>
    <col min="957" max="957" width="17.5546875" bestFit="1" customWidth="1"/>
    <col min="958" max="958" width="18.33203125" bestFit="1" customWidth="1"/>
    <col min="959" max="959" width="24.21875" bestFit="1" customWidth="1"/>
    <col min="960" max="962" width="20.6640625" bestFit="1" customWidth="1"/>
    <col min="963" max="964" width="18.5546875" bestFit="1" customWidth="1"/>
    <col min="965" max="965" width="20.109375" bestFit="1" customWidth="1"/>
    <col min="966" max="967" width="24.44140625" bestFit="1" customWidth="1"/>
    <col min="968" max="969" width="20.109375" bestFit="1" customWidth="1"/>
    <col min="970" max="972" width="18.21875" bestFit="1" customWidth="1"/>
    <col min="973" max="973" width="17.109375" bestFit="1" customWidth="1"/>
    <col min="974" max="974" width="20" bestFit="1" customWidth="1"/>
    <col min="975" max="975" width="18.88671875" bestFit="1" customWidth="1"/>
    <col min="976" max="976" width="24.44140625" bestFit="1" customWidth="1"/>
    <col min="977" max="978" width="18.88671875" bestFit="1" customWidth="1"/>
    <col min="979" max="979" width="19.77734375" bestFit="1" customWidth="1"/>
    <col min="980" max="980" width="19.44140625" bestFit="1" customWidth="1"/>
    <col min="981" max="981" width="22.109375" bestFit="1" customWidth="1"/>
    <col min="982" max="982" width="13" bestFit="1" customWidth="1"/>
    <col min="983" max="984" width="20.5546875" bestFit="1" customWidth="1"/>
    <col min="985" max="986" width="14.6640625" bestFit="1" customWidth="1"/>
    <col min="987" max="987" width="19.44140625" bestFit="1" customWidth="1"/>
    <col min="988" max="988" width="19.88671875" bestFit="1" customWidth="1"/>
    <col min="989" max="989" width="19.109375" bestFit="1" customWidth="1"/>
    <col min="990" max="991" width="20.88671875" bestFit="1" customWidth="1"/>
    <col min="992" max="992" width="20.109375" bestFit="1" customWidth="1"/>
    <col min="993" max="993" width="23" bestFit="1" customWidth="1"/>
    <col min="994" max="994" width="20.109375" bestFit="1" customWidth="1"/>
    <col min="995" max="995" width="20" bestFit="1" customWidth="1"/>
    <col min="996" max="996" width="22.21875" bestFit="1" customWidth="1"/>
    <col min="997" max="997" width="22.109375" bestFit="1" customWidth="1"/>
    <col min="998" max="998" width="28.44140625" bestFit="1" customWidth="1"/>
    <col min="999" max="999" width="19.88671875" bestFit="1" customWidth="1"/>
    <col min="1000" max="1002" width="18.88671875" bestFit="1" customWidth="1"/>
    <col min="1003" max="1004" width="20.33203125" bestFit="1" customWidth="1"/>
    <col min="1005" max="1005" width="26.77734375" bestFit="1" customWidth="1"/>
    <col min="1006" max="1006" width="22.109375" bestFit="1" customWidth="1"/>
    <col min="1007" max="1010" width="21.109375" bestFit="1" customWidth="1"/>
    <col min="1011" max="1012" width="19.21875" bestFit="1" customWidth="1"/>
    <col min="1013" max="1013" width="19.44140625" bestFit="1" customWidth="1"/>
    <col min="1014" max="1014" width="19.21875" bestFit="1" customWidth="1"/>
    <col min="1015" max="1016" width="20.88671875" bestFit="1" customWidth="1"/>
    <col min="1017" max="1017" width="17.5546875" bestFit="1" customWidth="1"/>
    <col min="1018" max="1018" width="19.6640625" bestFit="1" customWidth="1"/>
    <col min="1019" max="1019" width="16" bestFit="1" customWidth="1"/>
    <col min="1020" max="1020" width="19.21875" bestFit="1" customWidth="1"/>
    <col min="1021" max="1021" width="20.109375" bestFit="1" customWidth="1"/>
    <col min="1022" max="1022" width="19.77734375" bestFit="1" customWidth="1"/>
    <col min="1023" max="1024" width="20.6640625" bestFit="1" customWidth="1"/>
    <col min="1025" max="1025" width="20.77734375" bestFit="1" customWidth="1"/>
    <col min="1026" max="1028" width="18.77734375" bestFit="1" customWidth="1"/>
    <col min="1029" max="1029" width="20.77734375" bestFit="1" customWidth="1"/>
    <col min="1030" max="1030" width="19.109375" bestFit="1" customWidth="1"/>
    <col min="1031" max="1031" width="20.44140625" bestFit="1" customWidth="1"/>
    <col min="1032" max="1032" width="19.88671875" bestFit="1" customWidth="1"/>
    <col min="1033" max="1033" width="22.21875" bestFit="1" customWidth="1"/>
    <col min="1034" max="1034" width="18.77734375" bestFit="1" customWidth="1"/>
    <col min="1035" max="1036" width="21.44140625" bestFit="1" customWidth="1"/>
    <col min="1037" max="1037" width="19.21875" bestFit="1" customWidth="1"/>
    <col min="1038" max="1038" width="18.5546875" bestFit="1" customWidth="1"/>
    <col min="1039" max="1043" width="19.77734375" bestFit="1" customWidth="1"/>
    <col min="1044" max="1044" width="19.21875" bestFit="1" customWidth="1"/>
    <col min="1045" max="1045" width="20.21875" bestFit="1" customWidth="1"/>
    <col min="1046" max="1046" width="22.109375" bestFit="1" customWidth="1"/>
    <col min="1047" max="1047" width="20" bestFit="1" customWidth="1"/>
    <col min="1048" max="1048" width="19.88671875" bestFit="1" customWidth="1"/>
    <col min="1049" max="1050" width="18.5546875" bestFit="1" customWidth="1"/>
    <col min="1051" max="1051" width="19.77734375" bestFit="1" customWidth="1"/>
    <col min="1052" max="1052" width="19.109375" bestFit="1" customWidth="1"/>
    <col min="1053" max="1053" width="19.77734375" bestFit="1" customWidth="1"/>
    <col min="1054" max="1055" width="18.5546875" bestFit="1" customWidth="1"/>
    <col min="1056" max="1056" width="20.33203125" bestFit="1" customWidth="1"/>
    <col min="1057" max="1057" width="22.109375" bestFit="1" customWidth="1"/>
    <col min="1058" max="1058" width="20.33203125" bestFit="1" customWidth="1"/>
    <col min="1059" max="1059" width="19.5546875" bestFit="1" customWidth="1"/>
    <col min="1060" max="1061" width="20.5546875" bestFit="1" customWidth="1"/>
    <col min="1062" max="1062" width="20.109375" bestFit="1" customWidth="1"/>
    <col min="1063" max="1063" width="20.77734375" bestFit="1" customWidth="1"/>
    <col min="1064" max="1066" width="19.77734375" bestFit="1" customWidth="1"/>
    <col min="1067" max="1068" width="20.21875" bestFit="1" customWidth="1"/>
    <col min="1069" max="1069" width="22.109375" bestFit="1" customWidth="1"/>
    <col min="1070" max="1071" width="20.5546875" bestFit="1" customWidth="1"/>
    <col min="1072" max="1072" width="19.77734375" bestFit="1" customWidth="1"/>
    <col min="1073" max="1073" width="13.77734375" bestFit="1" customWidth="1"/>
    <col min="1074" max="1074" width="21.5546875" bestFit="1" customWidth="1"/>
    <col min="1075" max="1075" width="13.77734375" bestFit="1" customWidth="1"/>
    <col min="1076" max="1076" width="19.6640625" bestFit="1" customWidth="1"/>
    <col min="1077" max="1077" width="24.21875" bestFit="1" customWidth="1"/>
    <col min="1078" max="1079" width="19.21875" bestFit="1" customWidth="1"/>
    <col min="1080" max="1080" width="22.6640625" bestFit="1" customWidth="1"/>
    <col min="1081" max="1082" width="19.77734375" bestFit="1" customWidth="1"/>
    <col min="1083" max="1083" width="20" bestFit="1" customWidth="1"/>
    <col min="1084" max="1084" width="18.88671875" bestFit="1" customWidth="1"/>
    <col min="1085" max="1085" width="19.21875" bestFit="1" customWidth="1"/>
    <col min="1086" max="1086" width="16.5546875" bestFit="1" customWidth="1"/>
    <col min="1087" max="1087" width="14.109375" bestFit="1" customWidth="1"/>
    <col min="1088" max="1090" width="20.109375" bestFit="1" customWidth="1"/>
    <col min="1091" max="1091" width="17.21875" bestFit="1" customWidth="1"/>
    <col min="1092" max="1092" width="22.77734375" bestFit="1" customWidth="1"/>
    <col min="1093" max="1093" width="20.77734375" bestFit="1" customWidth="1"/>
    <col min="1094" max="1095" width="17.77734375" bestFit="1" customWidth="1"/>
    <col min="1096" max="1097" width="21.44140625" bestFit="1" customWidth="1"/>
    <col min="1098" max="1099" width="22.109375" bestFit="1" customWidth="1"/>
    <col min="1100" max="1100" width="24.44140625" bestFit="1" customWidth="1"/>
    <col min="1101" max="1102" width="19.88671875" bestFit="1" customWidth="1"/>
    <col min="1103" max="1103" width="20" bestFit="1" customWidth="1"/>
    <col min="1104" max="1107" width="19.33203125" bestFit="1" customWidth="1"/>
    <col min="1108" max="1109" width="19.88671875" bestFit="1" customWidth="1"/>
    <col min="1110" max="1110" width="22.109375" bestFit="1" customWidth="1"/>
    <col min="1111" max="1111" width="19.88671875" bestFit="1" customWidth="1"/>
    <col min="1112" max="1112" width="19.6640625" bestFit="1" customWidth="1"/>
    <col min="1113" max="1113" width="20.109375" bestFit="1" customWidth="1"/>
    <col min="1114" max="1114" width="19.44140625" bestFit="1" customWidth="1"/>
    <col min="1115" max="1115" width="20.77734375" bestFit="1" customWidth="1"/>
    <col min="1116" max="1116" width="15.21875" bestFit="1" customWidth="1"/>
    <col min="1117" max="1117" width="20.6640625" bestFit="1" customWidth="1"/>
    <col min="1118" max="1119" width="20.44140625" bestFit="1" customWidth="1"/>
    <col min="1120" max="1120" width="20.21875" bestFit="1" customWidth="1"/>
    <col min="1121" max="1121" width="19.77734375" bestFit="1" customWidth="1"/>
    <col min="1122" max="1122" width="18.21875" bestFit="1" customWidth="1"/>
    <col min="1123" max="1123" width="16.109375" bestFit="1" customWidth="1"/>
    <col min="1124" max="1124" width="24.44140625" bestFit="1" customWidth="1"/>
    <col min="1125" max="1125" width="20.21875" bestFit="1" customWidth="1"/>
    <col min="1126" max="1126" width="28.6640625" bestFit="1" customWidth="1"/>
    <col min="1127" max="1128" width="14.6640625" bestFit="1" customWidth="1"/>
    <col min="1129" max="1130" width="18.88671875" bestFit="1" customWidth="1"/>
    <col min="1131" max="1131" width="21.109375" bestFit="1" customWidth="1"/>
    <col min="1132" max="1132" width="23.6640625" bestFit="1" customWidth="1"/>
    <col min="1133" max="1133" width="18.88671875" bestFit="1" customWidth="1"/>
    <col min="1134" max="1134" width="19.21875" bestFit="1" customWidth="1"/>
    <col min="1135" max="1135" width="18.6640625" bestFit="1" customWidth="1"/>
    <col min="1136" max="1136" width="20.109375" bestFit="1" customWidth="1"/>
    <col min="1137" max="1137" width="22.109375" bestFit="1" customWidth="1"/>
    <col min="1138" max="1140" width="20.33203125" bestFit="1" customWidth="1"/>
    <col min="1141" max="1141" width="20.109375" bestFit="1" customWidth="1"/>
    <col min="1142" max="1142" width="20.77734375" bestFit="1" customWidth="1"/>
    <col min="1143" max="1143" width="28.6640625" bestFit="1" customWidth="1"/>
    <col min="1144" max="1144" width="24.21875" bestFit="1" customWidth="1"/>
    <col min="1145" max="1147" width="20" bestFit="1" customWidth="1"/>
    <col min="1148" max="1149" width="22.109375" bestFit="1" customWidth="1"/>
    <col min="1150" max="1150" width="12.21875" bestFit="1" customWidth="1"/>
    <col min="1151" max="1151" width="24.44140625" bestFit="1" customWidth="1"/>
    <col min="1152" max="1153" width="17.6640625" bestFit="1" customWidth="1"/>
    <col min="1154" max="1154" width="18.21875" bestFit="1" customWidth="1"/>
    <col min="1155" max="1155" width="23.21875" bestFit="1" customWidth="1"/>
    <col min="1156" max="1157" width="19.21875" bestFit="1" customWidth="1"/>
    <col min="1158" max="1158" width="28.6640625" bestFit="1" customWidth="1"/>
    <col min="1159" max="1159" width="18.77734375" bestFit="1" customWidth="1"/>
    <col min="1160" max="1160" width="16.33203125" bestFit="1" customWidth="1"/>
    <col min="1161" max="1161" width="14.5546875" bestFit="1" customWidth="1"/>
    <col min="1162" max="1162" width="19.77734375" bestFit="1" customWidth="1"/>
    <col min="1163" max="1165" width="21.33203125" bestFit="1" customWidth="1"/>
    <col min="1166" max="1168" width="20.21875" bestFit="1" customWidth="1"/>
    <col min="1169" max="1170" width="16.33203125" bestFit="1" customWidth="1"/>
    <col min="1171" max="1171" width="20.109375" bestFit="1" customWidth="1"/>
    <col min="1172" max="1172" width="24.44140625" bestFit="1" customWidth="1"/>
    <col min="1173" max="1175" width="20.21875" bestFit="1" customWidth="1"/>
    <col min="1176" max="1176" width="24.44140625" bestFit="1" customWidth="1"/>
    <col min="1177" max="1177" width="22.33203125" bestFit="1" customWidth="1"/>
    <col min="1178" max="1179" width="19.109375" bestFit="1" customWidth="1"/>
    <col min="1180" max="1180" width="20.21875" bestFit="1" customWidth="1"/>
    <col min="1181" max="1181" width="21.5546875" bestFit="1" customWidth="1"/>
    <col min="1182" max="1183" width="20.5546875" bestFit="1" customWidth="1"/>
    <col min="1184" max="1184" width="24.44140625" bestFit="1" customWidth="1"/>
    <col min="1185" max="1185" width="19.77734375" bestFit="1" customWidth="1"/>
    <col min="1186" max="1187" width="20.5546875" bestFit="1" customWidth="1"/>
    <col min="1188" max="1189" width="21.109375" bestFit="1" customWidth="1"/>
    <col min="1190" max="1194" width="20.33203125" bestFit="1" customWidth="1"/>
    <col min="1195" max="1196" width="19.77734375" bestFit="1" customWidth="1"/>
    <col min="1197" max="1199" width="19.44140625" bestFit="1" customWidth="1"/>
    <col min="1200" max="1200" width="21.5546875" bestFit="1" customWidth="1"/>
    <col min="1201" max="1201" width="18.5546875" bestFit="1" customWidth="1"/>
    <col min="1202" max="1202" width="20.21875" bestFit="1" customWidth="1"/>
    <col min="1203" max="1203" width="18.88671875" bestFit="1" customWidth="1"/>
    <col min="1204" max="1206" width="20.77734375" bestFit="1" customWidth="1"/>
    <col min="1207" max="1207" width="19.44140625" bestFit="1" customWidth="1"/>
    <col min="1208" max="1209" width="21.6640625" bestFit="1" customWidth="1"/>
    <col min="1210" max="1210" width="28.21875" bestFit="1" customWidth="1"/>
    <col min="1211" max="1211" width="18.88671875" bestFit="1" customWidth="1"/>
    <col min="1212" max="1212" width="24.44140625" bestFit="1" customWidth="1"/>
    <col min="1213" max="1214" width="18.88671875" bestFit="1" customWidth="1"/>
    <col min="1215" max="1216" width="19.44140625" bestFit="1" customWidth="1"/>
    <col min="1217" max="1218" width="20.109375" bestFit="1" customWidth="1"/>
    <col min="1219" max="1219" width="21.21875" bestFit="1" customWidth="1"/>
    <col min="1220" max="1220" width="21.5546875" bestFit="1" customWidth="1"/>
    <col min="1221" max="1222" width="20" bestFit="1" customWidth="1"/>
    <col min="1223" max="1223" width="18.109375" bestFit="1" customWidth="1"/>
    <col min="1224" max="1224" width="18.21875" bestFit="1" customWidth="1"/>
    <col min="1225" max="1225" width="28.6640625" bestFit="1" customWidth="1"/>
    <col min="1226" max="1228" width="19.77734375" bestFit="1" customWidth="1"/>
    <col min="1229" max="1232" width="19.6640625" bestFit="1" customWidth="1"/>
    <col min="1233" max="1236" width="20.6640625" bestFit="1" customWidth="1"/>
    <col min="1237" max="1238" width="22.21875" bestFit="1" customWidth="1"/>
    <col min="1239" max="1239" width="20.6640625" bestFit="1" customWidth="1"/>
    <col min="1240" max="1240" width="22.21875" bestFit="1" customWidth="1"/>
    <col min="1241" max="1241" width="22.109375" bestFit="1" customWidth="1"/>
    <col min="1242" max="1242" width="25.77734375" bestFit="1" customWidth="1"/>
    <col min="1243" max="1244" width="19.77734375" bestFit="1" customWidth="1"/>
    <col min="1245" max="1245" width="20.21875" bestFit="1" customWidth="1"/>
    <col min="1246" max="1246" width="14" bestFit="1" customWidth="1"/>
    <col min="1247" max="1249" width="22.21875" bestFit="1" customWidth="1"/>
    <col min="1250" max="1250" width="20.109375" bestFit="1" customWidth="1"/>
    <col min="1251" max="1251" width="19.6640625" bestFit="1" customWidth="1"/>
    <col min="1252" max="1258" width="20.5546875" bestFit="1" customWidth="1"/>
    <col min="1259" max="1259" width="19.88671875" bestFit="1" customWidth="1"/>
    <col min="1260" max="1260" width="18.88671875" bestFit="1" customWidth="1"/>
    <col min="1261" max="1261" width="22.109375" bestFit="1" customWidth="1"/>
    <col min="1262" max="1262" width="17.77734375" bestFit="1" customWidth="1"/>
    <col min="1263" max="1263" width="20.21875" bestFit="1" customWidth="1"/>
    <col min="1264" max="1264" width="28.6640625" bestFit="1" customWidth="1"/>
    <col min="1265" max="1265" width="18.6640625" bestFit="1" customWidth="1"/>
    <col min="1266" max="1266" width="24.44140625" bestFit="1" customWidth="1"/>
    <col min="1267" max="1270" width="18.5546875" bestFit="1" customWidth="1"/>
    <col min="1271" max="1272" width="22.109375" bestFit="1" customWidth="1"/>
    <col min="1273" max="1274" width="17.77734375" bestFit="1" customWidth="1"/>
    <col min="1275" max="1275" width="20.109375" bestFit="1" customWidth="1"/>
    <col min="1276" max="1276" width="20" bestFit="1" customWidth="1"/>
    <col min="1277" max="1277" width="19.44140625" bestFit="1" customWidth="1"/>
    <col min="1278" max="1278" width="19.21875" bestFit="1" customWidth="1"/>
    <col min="1279" max="1280" width="14" bestFit="1" customWidth="1"/>
    <col min="1281" max="1282" width="24.44140625" bestFit="1" customWidth="1"/>
    <col min="1283" max="1283" width="19.109375" bestFit="1" customWidth="1"/>
    <col min="1284" max="1285" width="27" bestFit="1" customWidth="1"/>
    <col min="1286" max="1286" width="27.109375" bestFit="1" customWidth="1"/>
    <col min="1287" max="1288" width="20.5546875" bestFit="1" customWidth="1"/>
    <col min="1289" max="1289" width="18.21875" bestFit="1" customWidth="1"/>
    <col min="1290" max="1293" width="20.21875" bestFit="1" customWidth="1"/>
    <col min="1294" max="1294" width="15.88671875" bestFit="1" customWidth="1"/>
    <col min="1295" max="1295" width="20.77734375" bestFit="1" customWidth="1"/>
    <col min="1296" max="1297" width="20" bestFit="1" customWidth="1"/>
    <col min="1298" max="1298" width="17.21875" bestFit="1" customWidth="1"/>
    <col min="1299" max="1299" width="15.77734375" bestFit="1" customWidth="1"/>
    <col min="1300" max="1302" width="19.77734375" bestFit="1" customWidth="1"/>
    <col min="1303" max="1304" width="18.77734375" bestFit="1" customWidth="1"/>
    <col min="1305" max="1305" width="20.77734375" bestFit="1" customWidth="1"/>
    <col min="1306" max="1306" width="26.77734375" bestFit="1" customWidth="1"/>
    <col min="1307" max="1307" width="19.88671875" bestFit="1" customWidth="1"/>
    <col min="1308" max="1308" width="21.21875" bestFit="1" customWidth="1"/>
    <col min="1309" max="1310" width="24.21875" bestFit="1" customWidth="1"/>
    <col min="1311" max="1311" width="15.77734375" bestFit="1" customWidth="1"/>
    <col min="1312" max="1312" width="19.109375" bestFit="1" customWidth="1"/>
    <col min="1313" max="1314" width="20.21875" bestFit="1" customWidth="1"/>
    <col min="1315" max="1316" width="19.44140625" bestFit="1" customWidth="1"/>
    <col min="1317" max="1317" width="19.77734375" bestFit="1" customWidth="1"/>
    <col min="1318" max="1319" width="19" bestFit="1" customWidth="1"/>
    <col min="1320" max="1321" width="17.77734375" bestFit="1" customWidth="1"/>
    <col min="1322" max="1322" width="20.77734375" bestFit="1" customWidth="1"/>
    <col min="1323" max="1323" width="19.21875" bestFit="1" customWidth="1"/>
    <col min="1324" max="1325" width="19.77734375" bestFit="1" customWidth="1"/>
    <col min="1326" max="1326" width="28.6640625" bestFit="1" customWidth="1"/>
    <col min="1327" max="1327" width="16.21875" bestFit="1" customWidth="1"/>
    <col min="1328" max="1328" width="22.21875" bestFit="1" customWidth="1"/>
    <col min="1329" max="1331" width="18" bestFit="1" customWidth="1"/>
    <col min="1332" max="1333" width="24.21875" bestFit="1" customWidth="1"/>
    <col min="1334" max="1337" width="20.5546875" bestFit="1" customWidth="1"/>
    <col min="1338" max="1338" width="22.33203125" bestFit="1" customWidth="1"/>
    <col min="1339" max="1339" width="19.21875" bestFit="1" customWidth="1"/>
    <col min="1340" max="1340" width="20.5546875" bestFit="1" customWidth="1"/>
    <col min="1341" max="1341" width="19.21875" bestFit="1" customWidth="1"/>
    <col min="1342" max="1342" width="23" bestFit="1" customWidth="1"/>
    <col min="1343" max="1343" width="20.5546875" bestFit="1" customWidth="1"/>
    <col min="1344" max="1344" width="20.33203125" bestFit="1" customWidth="1"/>
    <col min="1345" max="1346" width="19.21875" bestFit="1" customWidth="1"/>
    <col min="1347" max="1347" width="23" bestFit="1" customWidth="1"/>
    <col min="1348" max="1349" width="20.77734375" bestFit="1" customWidth="1"/>
    <col min="1350" max="1350" width="19.77734375" bestFit="1" customWidth="1"/>
    <col min="1351" max="1352" width="19" bestFit="1" customWidth="1"/>
    <col min="1353" max="1353" width="26.77734375" bestFit="1" customWidth="1"/>
    <col min="1354" max="1354" width="20.88671875" bestFit="1" customWidth="1"/>
    <col min="1355" max="1356" width="20.21875" bestFit="1" customWidth="1"/>
    <col min="1357" max="1359" width="20.44140625" bestFit="1" customWidth="1"/>
    <col min="1360" max="1360" width="20.109375" bestFit="1" customWidth="1"/>
    <col min="1361" max="1361" width="22.109375" bestFit="1" customWidth="1"/>
    <col min="1362" max="1363" width="20.88671875" bestFit="1" customWidth="1"/>
    <col min="1364" max="1364" width="18.88671875" bestFit="1" customWidth="1"/>
    <col min="1365" max="1365" width="17.109375" bestFit="1" customWidth="1"/>
    <col min="1366" max="1367" width="14" bestFit="1" customWidth="1"/>
    <col min="1368" max="1369" width="21.21875" bestFit="1" customWidth="1"/>
    <col min="1370" max="1370" width="13.33203125" bestFit="1" customWidth="1"/>
    <col min="1371" max="1371" width="27" bestFit="1" customWidth="1"/>
    <col min="1372" max="1372" width="22.109375" bestFit="1" customWidth="1"/>
    <col min="1373" max="1373" width="20.109375" bestFit="1" customWidth="1"/>
    <col min="1374" max="1374" width="19.77734375" bestFit="1" customWidth="1"/>
    <col min="1375" max="1375" width="18.5546875" bestFit="1" customWidth="1"/>
    <col min="1376" max="1376" width="23.33203125" bestFit="1" customWidth="1"/>
    <col min="1377" max="1377" width="18.5546875" bestFit="1" customWidth="1"/>
    <col min="1378" max="1378" width="18" bestFit="1" customWidth="1"/>
    <col min="1379" max="1379" width="22.109375" bestFit="1" customWidth="1"/>
    <col min="1380" max="1383" width="19" bestFit="1" customWidth="1"/>
    <col min="1384" max="1385" width="21.21875" bestFit="1" customWidth="1"/>
    <col min="1386" max="1386" width="19.21875" bestFit="1" customWidth="1"/>
    <col min="1387" max="1387" width="18.21875" bestFit="1" customWidth="1"/>
    <col min="1388" max="1388" width="19" bestFit="1" customWidth="1"/>
    <col min="1389" max="1389" width="21.109375" bestFit="1" customWidth="1"/>
    <col min="1390" max="1390" width="20.5546875" bestFit="1" customWidth="1"/>
    <col min="1391" max="1391" width="19.21875" bestFit="1" customWidth="1"/>
    <col min="1392" max="1392" width="19.88671875" bestFit="1" customWidth="1"/>
    <col min="1393" max="1395" width="24.44140625" bestFit="1" customWidth="1"/>
    <col min="1396" max="1396" width="19.77734375" bestFit="1" customWidth="1"/>
    <col min="1397" max="1397" width="14.6640625" bestFit="1" customWidth="1"/>
    <col min="1398" max="1398" width="19.21875" bestFit="1" customWidth="1"/>
    <col min="1399" max="1399" width="24.109375" bestFit="1" customWidth="1"/>
    <col min="1400" max="1400" width="19.21875" bestFit="1" customWidth="1"/>
    <col min="1401" max="1401" width="11.77734375" bestFit="1" customWidth="1"/>
    <col min="1402" max="1402" width="19.44140625" bestFit="1" customWidth="1"/>
    <col min="1403" max="1403" width="11.77734375" bestFit="1" customWidth="1"/>
    <col min="1404" max="1404" width="20.5546875" bestFit="1" customWidth="1"/>
    <col min="1405" max="1406" width="24.44140625" bestFit="1" customWidth="1"/>
    <col min="1407" max="1407" width="19.77734375" bestFit="1" customWidth="1"/>
    <col min="1408" max="1408" width="19.6640625" bestFit="1" customWidth="1"/>
    <col min="1409" max="1409" width="28.6640625" bestFit="1" customWidth="1"/>
    <col min="1410" max="1410" width="20.77734375" bestFit="1" customWidth="1"/>
    <col min="1411" max="1411" width="20.21875" bestFit="1" customWidth="1"/>
    <col min="1412" max="1413" width="19.77734375" bestFit="1" customWidth="1"/>
    <col min="1414" max="1414" width="20.77734375" bestFit="1" customWidth="1"/>
    <col min="1415" max="1416" width="15" bestFit="1" customWidth="1"/>
    <col min="1417" max="1417" width="20.109375" bestFit="1" customWidth="1"/>
    <col min="1418" max="1419" width="24.44140625" bestFit="1" customWidth="1"/>
    <col min="1420" max="1421" width="20.109375" bestFit="1" customWidth="1"/>
    <col min="1422" max="1423" width="14" bestFit="1" customWidth="1"/>
    <col min="1424" max="1425" width="20.77734375" bestFit="1" customWidth="1"/>
    <col min="1426" max="1427" width="20.44140625" bestFit="1" customWidth="1"/>
    <col min="1428" max="1429" width="21.21875" bestFit="1" customWidth="1"/>
    <col min="1430" max="1430" width="21.6640625" bestFit="1" customWidth="1"/>
    <col min="1431" max="1431" width="19.77734375" bestFit="1" customWidth="1"/>
    <col min="1432" max="1433" width="18.88671875" bestFit="1" customWidth="1"/>
    <col min="1434" max="1434" width="19.77734375" bestFit="1" customWidth="1"/>
    <col min="1435" max="1436" width="18.88671875" bestFit="1" customWidth="1"/>
    <col min="1437" max="1437" width="19.21875" bestFit="1" customWidth="1"/>
    <col min="1438" max="1438" width="20.44140625" bestFit="1" customWidth="1"/>
    <col min="1439" max="1439" width="21.44140625" bestFit="1" customWidth="1"/>
    <col min="1440" max="1440" width="19.44140625" bestFit="1" customWidth="1"/>
    <col min="1441" max="1443" width="18.5546875" bestFit="1" customWidth="1"/>
    <col min="1444" max="1444" width="18.88671875" bestFit="1" customWidth="1"/>
    <col min="1445" max="1445" width="20.33203125" bestFit="1" customWidth="1"/>
    <col min="1446" max="1446" width="24.44140625" bestFit="1" customWidth="1"/>
    <col min="1447" max="1449" width="18.88671875" bestFit="1" customWidth="1"/>
    <col min="1450" max="1451" width="20.88671875" bestFit="1" customWidth="1"/>
    <col min="1452" max="1452" width="19.21875" bestFit="1" customWidth="1"/>
    <col min="1453" max="1454" width="16.77734375" bestFit="1" customWidth="1"/>
    <col min="1455" max="1456" width="19.77734375" bestFit="1" customWidth="1"/>
    <col min="1457" max="1457" width="20.21875" bestFit="1" customWidth="1"/>
    <col min="1458" max="1458" width="19.6640625" bestFit="1" customWidth="1"/>
    <col min="1459" max="1459" width="20.88671875" bestFit="1" customWidth="1"/>
    <col min="1460" max="1460" width="18.33203125" bestFit="1" customWidth="1"/>
    <col min="1461" max="1461" width="20.109375" bestFit="1" customWidth="1"/>
    <col min="1462" max="1462" width="14.6640625" bestFit="1" customWidth="1"/>
    <col min="1463" max="1463" width="19.77734375" bestFit="1" customWidth="1"/>
    <col min="1464" max="1464" width="19.6640625" bestFit="1" customWidth="1"/>
    <col min="1465" max="1468" width="17.21875" bestFit="1" customWidth="1"/>
    <col min="1469" max="1469" width="19.6640625" bestFit="1" customWidth="1"/>
    <col min="1470" max="1470" width="17.109375" bestFit="1" customWidth="1"/>
    <col min="1471" max="1471" width="17.5546875" bestFit="1" customWidth="1"/>
    <col min="1472" max="1472" width="20.44140625" bestFit="1" customWidth="1"/>
    <col min="1473" max="1473" width="18.88671875" bestFit="1" customWidth="1"/>
    <col min="1474" max="1476" width="16.21875" bestFit="1" customWidth="1"/>
    <col min="1477" max="1477" width="17.77734375" bestFit="1" customWidth="1"/>
    <col min="1478" max="1478" width="17" bestFit="1" customWidth="1"/>
    <col min="1479" max="1479" width="21.88671875" bestFit="1" customWidth="1"/>
    <col min="1480" max="1480" width="16.21875" bestFit="1" customWidth="1"/>
    <col min="1481" max="1481" width="19.5546875" bestFit="1" customWidth="1"/>
    <col min="1482" max="1482" width="21.6640625" bestFit="1" customWidth="1"/>
    <col min="1483" max="1483" width="22.77734375" bestFit="1" customWidth="1"/>
    <col min="1484" max="1484" width="22.88671875" bestFit="1" customWidth="1"/>
    <col min="1485" max="1485" width="17.21875" bestFit="1" customWidth="1"/>
    <col min="1486" max="1486" width="22.109375" bestFit="1" customWidth="1"/>
    <col min="1487" max="1487" width="17.21875" bestFit="1" customWidth="1"/>
    <col min="1488" max="1488" width="24.44140625" bestFit="1" customWidth="1"/>
    <col min="1489" max="1489" width="21.109375" bestFit="1" customWidth="1"/>
    <col min="1490" max="1492" width="17.21875" bestFit="1" customWidth="1"/>
    <col min="1493" max="1493" width="19.44140625" bestFit="1" customWidth="1"/>
    <col min="1494" max="1494" width="27" bestFit="1" customWidth="1"/>
    <col min="1495" max="1495" width="20.109375" bestFit="1" customWidth="1"/>
    <col min="1496" max="1496" width="15" bestFit="1" customWidth="1"/>
    <col min="1497" max="1497" width="14.21875" bestFit="1" customWidth="1"/>
    <col min="1498" max="1499" width="13.6640625" bestFit="1" customWidth="1"/>
    <col min="1500" max="1500" width="17.44140625" bestFit="1" customWidth="1"/>
    <col min="1501" max="1501" width="14" bestFit="1" customWidth="1"/>
    <col min="1502" max="1502" width="12.33203125" bestFit="1" customWidth="1"/>
    <col min="1503" max="1503" width="18.44140625" bestFit="1" customWidth="1"/>
    <col min="1504" max="1504" width="19.5546875" bestFit="1" customWidth="1"/>
    <col min="1505" max="1505" width="17.44140625" bestFit="1" customWidth="1"/>
    <col min="1506" max="1506" width="28.6640625" bestFit="1" customWidth="1"/>
    <col min="1507" max="1507" width="18.6640625" bestFit="1" customWidth="1"/>
    <col min="1508" max="1509" width="21.109375" bestFit="1" customWidth="1"/>
    <col min="1510" max="1511" width="19.6640625" bestFit="1" customWidth="1"/>
    <col min="1512" max="1513" width="20" bestFit="1" customWidth="1"/>
    <col min="1514" max="1514" width="18.33203125" bestFit="1" customWidth="1"/>
    <col min="1515" max="1515" width="20.44140625" bestFit="1" customWidth="1"/>
    <col min="1516" max="1516" width="12.33203125" bestFit="1" customWidth="1"/>
    <col min="1517" max="1518" width="20.77734375" bestFit="1" customWidth="1"/>
    <col min="1519" max="1519" width="19.109375" bestFit="1" customWidth="1"/>
    <col min="1520" max="1522" width="21.88671875" bestFit="1" customWidth="1"/>
    <col min="1523" max="1523" width="16.77734375" bestFit="1" customWidth="1"/>
    <col min="1524" max="1524" width="21.21875" bestFit="1" customWidth="1"/>
    <col min="1525" max="1527" width="20" bestFit="1" customWidth="1"/>
    <col min="1528" max="1528" width="16.109375" bestFit="1" customWidth="1"/>
    <col min="1529" max="1530" width="20.109375" bestFit="1" customWidth="1"/>
    <col min="1531" max="1531" width="23.33203125" bestFit="1" customWidth="1"/>
    <col min="1532" max="1532" width="21.77734375" bestFit="1" customWidth="1"/>
    <col min="1533" max="1533" width="20.77734375" bestFit="1" customWidth="1"/>
    <col min="1534" max="1534" width="22.109375" bestFit="1" customWidth="1"/>
    <col min="1535" max="1535" width="20.77734375" bestFit="1" customWidth="1"/>
    <col min="1536" max="1536" width="16.21875" bestFit="1" customWidth="1"/>
    <col min="1537" max="1537" width="20.33203125" bestFit="1" customWidth="1"/>
    <col min="1538" max="1538" width="19.44140625" bestFit="1" customWidth="1"/>
    <col min="1539" max="1539" width="19.21875" bestFit="1" customWidth="1"/>
    <col min="1540" max="1540" width="19.88671875" bestFit="1" customWidth="1"/>
    <col min="1541" max="1541" width="23.109375" bestFit="1" customWidth="1"/>
    <col min="1542" max="1542" width="23" bestFit="1" customWidth="1"/>
    <col min="1543" max="1543" width="21.44140625" bestFit="1" customWidth="1"/>
    <col min="1544" max="1544" width="20.33203125" bestFit="1" customWidth="1"/>
    <col min="1545" max="1547" width="20.5546875" bestFit="1" customWidth="1"/>
    <col min="1548" max="1548" width="24.44140625" bestFit="1" customWidth="1"/>
    <col min="1549" max="1551" width="19.6640625" bestFit="1" customWidth="1"/>
    <col min="1552" max="1552" width="14.6640625" bestFit="1" customWidth="1"/>
    <col min="1553" max="1554" width="20.109375" bestFit="1" customWidth="1"/>
    <col min="1555" max="1555" width="21.44140625" bestFit="1" customWidth="1"/>
    <col min="1556" max="1556" width="21.6640625" bestFit="1" customWidth="1"/>
    <col min="1557" max="1557" width="20.77734375" bestFit="1" customWidth="1"/>
    <col min="1558" max="1558" width="24.77734375" bestFit="1" customWidth="1"/>
    <col min="1559" max="1559" width="19.77734375" bestFit="1" customWidth="1"/>
  </cols>
  <sheetData>
    <row r="1" spans="1:1559" x14ac:dyDescent="0.25">
      <c r="A1" s="1" t="s">
        <v>2119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1559" x14ac:dyDescent="0.25">
      <c r="A2" t="str">
        <f>LEFT(B2,4)</f>
        <v xml:space="preserve">RST </v>
      </c>
      <c r="B2" t="s">
        <v>4</v>
      </c>
      <c r="C2" t="s">
        <v>5</v>
      </c>
      <c r="D2" t="s">
        <v>6</v>
      </c>
      <c r="E2" s="2">
        <v>358146</v>
      </c>
    </row>
    <row r="3" spans="1:1559" x14ac:dyDescent="0.25">
      <c r="A3" t="str">
        <f t="shared" ref="A3:A66" si="0">LEFT(B3,4)</f>
        <v xml:space="preserve">RST </v>
      </c>
      <c r="B3" t="s">
        <v>4</v>
      </c>
      <c r="C3" t="s">
        <v>5</v>
      </c>
      <c r="D3" t="s">
        <v>7</v>
      </c>
      <c r="E3" s="2">
        <v>358146</v>
      </c>
      <c r="H3" t="s">
        <v>2120</v>
      </c>
      <c r="I3" t="s">
        <v>2193</v>
      </c>
      <c r="J3" t="s">
        <v>2193</v>
      </c>
      <c r="K3" t="s">
        <v>2195</v>
      </c>
      <c r="L3" t="s">
        <v>2194</v>
      </c>
      <c r="M3" t="s">
        <v>2193</v>
      </c>
      <c r="N3" t="s">
        <v>2193</v>
      </c>
      <c r="O3" t="s">
        <v>2193</v>
      </c>
      <c r="P3" t="s">
        <v>2193</v>
      </c>
      <c r="Q3" t="s">
        <v>2193</v>
      </c>
      <c r="R3" t="s">
        <v>2405</v>
      </c>
      <c r="S3" t="s">
        <v>2121</v>
      </c>
      <c r="T3" t="s">
        <v>2121</v>
      </c>
      <c r="U3" t="s">
        <v>2382</v>
      </c>
      <c r="V3" t="s">
        <v>2382</v>
      </c>
      <c r="W3" t="s">
        <v>2382</v>
      </c>
      <c r="X3" t="s">
        <v>2193</v>
      </c>
      <c r="Y3" t="s">
        <v>2193</v>
      </c>
      <c r="Z3" t="s">
        <v>2194</v>
      </c>
      <c r="AA3" t="s">
        <v>2194</v>
      </c>
      <c r="AB3" t="s">
        <v>2122</v>
      </c>
      <c r="AC3" t="s">
        <v>2122</v>
      </c>
      <c r="AD3" t="s">
        <v>2122</v>
      </c>
      <c r="AE3" t="s">
        <v>2122</v>
      </c>
      <c r="AF3" t="s">
        <v>2122</v>
      </c>
      <c r="AG3" t="s">
        <v>2193</v>
      </c>
      <c r="AH3" t="s">
        <v>2394</v>
      </c>
      <c r="AI3" t="s">
        <v>2194</v>
      </c>
      <c r="AJ3" t="s">
        <v>2194</v>
      </c>
      <c r="AK3" t="s">
        <v>2194</v>
      </c>
      <c r="AL3" t="s">
        <v>2194</v>
      </c>
      <c r="AM3" t="s">
        <v>2194</v>
      </c>
      <c r="AN3" t="s">
        <v>2194</v>
      </c>
      <c r="AO3" t="s">
        <v>2194</v>
      </c>
      <c r="AP3" t="s">
        <v>2194</v>
      </c>
      <c r="AQ3" t="s">
        <v>2405</v>
      </c>
      <c r="AR3" t="s">
        <v>2405</v>
      </c>
      <c r="AS3" t="s">
        <v>2405</v>
      </c>
      <c r="AT3" t="s">
        <v>2405</v>
      </c>
      <c r="AU3" t="s">
        <v>2394</v>
      </c>
      <c r="AV3" t="s">
        <v>2194</v>
      </c>
      <c r="AW3" t="s">
        <v>2194</v>
      </c>
      <c r="AX3" t="s">
        <v>2194</v>
      </c>
      <c r="AY3" t="s">
        <v>2194</v>
      </c>
      <c r="AZ3" t="s">
        <v>2194</v>
      </c>
      <c r="BA3" t="s">
        <v>2194</v>
      </c>
      <c r="BB3" t="s">
        <v>2194</v>
      </c>
      <c r="BC3" t="s">
        <v>2194</v>
      </c>
      <c r="BD3" t="s">
        <v>2194</v>
      </c>
      <c r="BE3" t="s">
        <v>2194</v>
      </c>
      <c r="BF3" t="s">
        <v>2194</v>
      </c>
      <c r="BG3" t="s">
        <v>2194</v>
      </c>
      <c r="BH3" t="s">
        <v>2194</v>
      </c>
      <c r="BI3" t="s">
        <v>2194</v>
      </c>
      <c r="BJ3" t="s">
        <v>2193</v>
      </c>
      <c r="BK3" t="s">
        <v>2382</v>
      </c>
      <c r="BL3" t="s">
        <v>2193</v>
      </c>
      <c r="BM3" t="s">
        <v>2193</v>
      </c>
      <c r="BN3" t="s">
        <v>2193</v>
      </c>
      <c r="BO3" t="s">
        <v>2193</v>
      </c>
      <c r="BP3" t="s">
        <v>2193</v>
      </c>
      <c r="BQ3" t="s">
        <v>2193</v>
      </c>
      <c r="BR3" t="s">
        <v>2194</v>
      </c>
      <c r="BS3" t="s">
        <v>2474</v>
      </c>
      <c r="BT3" t="s">
        <v>2474</v>
      </c>
      <c r="BU3" t="s">
        <v>2474</v>
      </c>
      <c r="BV3" t="s">
        <v>2194</v>
      </c>
      <c r="BW3" t="s">
        <v>2194</v>
      </c>
      <c r="BX3" t="s">
        <v>2194</v>
      </c>
      <c r="BY3" t="s">
        <v>2194</v>
      </c>
      <c r="BZ3" t="s">
        <v>2194</v>
      </c>
      <c r="CA3" t="s">
        <v>2194</v>
      </c>
      <c r="CB3" t="s">
        <v>2194</v>
      </c>
      <c r="CC3" t="s">
        <v>2193</v>
      </c>
      <c r="CD3" t="s">
        <v>2193</v>
      </c>
      <c r="CE3" t="s">
        <v>2193</v>
      </c>
      <c r="CF3" t="s">
        <v>2193</v>
      </c>
      <c r="CG3" t="s">
        <v>2193</v>
      </c>
      <c r="CH3" t="s">
        <v>2123</v>
      </c>
      <c r="CI3" t="s">
        <v>2123</v>
      </c>
      <c r="CJ3" t="s">
        <v>2123</v>
      </c>
      <c r="CK3" t="s">
        <v>2123</v>
      </c>
      <c r="CL3" t="s">
        <v>2123</v>
      </c>
      <c r="CM3" t="s">
        <v>2123</v>
      </c>
      <c r="CN3" t="s">
        <v>2123</v>
      </c>
      <c r="CO3" t="s">
        <v>2193</v>
      </c>
      <c r="CP3" t="s">
        <v>2193</v>
      </c>
      <c r="CQ3" t="s">
        <v>2193</v>
      </c>
      <c r="CR3" t="s">
        <v>2194</v>
      </c>
      <c r="CS3" t="s">
        <v>2194</v>
      </c>
      <c r="CT3" t="s">
        <v>2194</v>
      </c>
      <c r="CU3" t="s">
        <v>2194</v>
      </c>
      <c r="CV3" t="s">
        <v>2194</v>
      </c>
      <c r="CW3" t="s">
        <v>2123</v>
      </c>
      <c r="CX3" t="s">
        <v>2123</v>
      </c>
      <c r="CY3" t="s">
        <v>2123</v>
      </c>
      <c r="CZ3" t="s">
        <v>2123</v>
      </c>
      <c r="DA3" t="s">
        <v>2123</v>
      </c>
      <c r="DB3" t="s">
        <v>2123</v>
      </c>
      <c r="DC3" t="s">
        <v>2123</v>
      </c>
      <c r="DD3" t="s">
        <v>2194</v>
      </c>
      <c r="DE3" t="s">
        <v>2124</v>
      </c>
      <c r="DF3" t="s">
        <v>2193</v>
      </c>
      <c r="DG3" t="s">
        <v>2194</v>
      </c>
      <c r="DH3" t="s">
        <v>2194</v>
      </c>
      <c r="DI3" t="s">
        <v>2194</v>
      </c>
      <c r="DJ3" t="s">
        <v>2382</v>
      </c>
      <c r="DK3" t="s">
        <v>2382</v>
      </c>
      <c r="DL3" t="s">
        <v>2382</v>
      </c>
      <c r="DM3" t="s">
        <v>2194</v>
      </c>
      <c r="DN3" t="s">
        <v>2194</v>
      </c>
      <c r="DO3" t="s">
        <v>2194</v>
      </c>
      <c r="DP3" t="s">
        <v>2194</v>
      </c>
      <c r="DQ3" t="s">
        <v>2194</v>
      </c>
      <c r="DR3" t="s">
        <v>2125</v>
      </c>
      <c r="DS3" t="s">
        <v>2194</v>
      </c>
      <c r="DT3" t="s">
        <v>2194</v>
      </c>
      <c r="DU3" t="s">
        <v>2193</v>
      </c>
      <c r="DV3" t="s">
        <v>2193</v>
      </c>
      <c r="DW3" t="s">
        <v>2194</v>
      </c>
      <c r="DX3" t="s">
        <v>2194</v>
      </c>
      <c r="DY3" t="s">
        <v>2194</v>
      </c>
      <c r="DZ3" t="s">
        <v>2194</v>
      </c>
      <c r="EA3" t="s">
        <v>2194</v>
      </c>
      <c r="EB3" t="s">
        <v>2123</v>
      </c>
      <c r="EC3" t="s">
        <v>2193</v>
      </c>
      <c r="ED3" t="s">
        <v>2193</v>
      </c>
      <c r="EE3" t="s">
        <v>2193</v>
      </c>
      <c r="EF3" t="s">
        <v>2193</v>
      </c>
      <c r="EG3" t="s">
        <v>2126</v>
      </c>
      <c r="EH3" t="s">
        <v>2127</v>
      </c>
      <c r="EI3" t="s">
        <v>2127</v>
      </c>
      <c r="EJ3" t="s">
        <v>2194</v>
      </c>
      <c r="EK3" t="s">
        <v>2194</v>
      </c>
      <c r="EL3" t="s">
        <v>2193</v>
      </c>
      <c r="EM3" t="s">
        <v>2194</v>
      </c>
      <c r="EN3" t="s">
        <v>2194</v>
      </c>
      <c r="EO3" t="s">
        <v>2194</v>
      </c>
      <c r="EP3" t="s">
        <v>2194</v>
      </c>
      <c r="EQ3" t="s">
        <v>2194</v>
      </c>
      <c r="ER3" t="s">
        <v>2405</v>
      </c>
      <c r="ES3" t="s">
        <v>2405</v>
      </c>
      <c r="ET3" t="s">
        <v>2405</v>
      </c>
      <c r="EU3" t="s">
        <v>2405</v>
      </c>
      <c r="EV3" t="s">
        <v>2128</v>
      </c>
      <c r="EW3" t="s">
        <v>2194</v>
      </c>
      <c r="EX3" t="s">
        <v>2193</v>
      </c>
      <c r="EY3" t="s">
        <v>2193</v>
      </c>
      <c r="EZ3" t="s">
        <v>2194</v>
      </c>
      <c r="FA3" t="s">
        <v>2194</v>
      </c>
      <c r="FB3" t="s">
        <v>2193</v>
      </c>
      <c r="FC3" t="s">
        <v>2405</v>
      </c>
      <c r="FD3" t="s">
        <v>2405</v>
      </c>
      <c r="FE3" t="s">
        <v>2194</v>
      </c>
      <c r="FF3" t="s">
        <v>2194</v>
      </c>
      <c r="FG3" t="s">
        <v>2194</v>
      </c>
      <c r="FH3" t="s">
        <v>2405</v>
      </c>
      <c r="FI3" t="s">
        <v>2405</v>
      </c>
      <c r="FJ3" t="s">
        <v>2123</v>
      </c>
      <c r="FK3" t="s">
        <v>2123</v>
      </c>
      <c r="FL3" t="s">
        <v>2123</v>
      </c>
      <c r="FM3" t="s">
        <v>2124</v>
      </c>
      <c r="FN3" t="s">
        <v>2124</v>
      </c>
      <c r="FO3" t="s">
        <v>2193</v>
      </c>
      <c r="FP3" t="s">
        <v>2129</v>
      </c>
      <c r="FQ3" t="s">
        <v>2129</v>
      </c>
      <c r="FR3" t="s">
        <v>2130</v>
      </c>
      <c r="FS3" t="s">
        <v>2130</v>
      </c>
      <c r="FT3" t="s">
        <v>2194</v>
      </c>
      <c r="FU3" t="s">
        <v>2194</v>
      </c>
      <c r="FV3" t="s">
        <v>2194</v>
      </c>
      <c r="FW3" t="s">
        <v>2194</v>
      </c>
      <c r="FX3" t="s">
        <v>2194</v>
      </c>
      <c r="FY3" t="s">
        <v>2194</v>
      </c>
      <c r="FZ3" t="s">
        <v>2193</v>
      </c>
      <c r="GA3" t="s">
        <v>2131</v>
      </c>
      <c r="GB3" t="s">
        <v>2131</v>
      </c>
      <c r="GC3" t="s">
        <v>2131</v>
      </c>
      <c r="GD3" t="s">
        <v>2194</v>
      </c>
      <c r="GE3" t="s">
        <v>2194</v>
      </c>
      <c r="GF3" t="s">
        <v>2193</v>
      </c>
      <c r="GG3" t="s">
        <v>2193</v>
      </c>
      <c r="GH3" t="s">
        <v>2132</v>
      </c>
      <c r="GI3" t="s">
        <v>2132</v>
      </c>
      <c r="GJ3" t="s">
        <v>2193</v>
      </c>
      <c r="GK3" t="s">
        <v>2194</v>
      </c>
      <c r="GL3" t="s">
        <v>2194</v>
      </c>
      <c r="GM3" t="s">
        <v>2194</v>
      </c>
      <c r="GN3" t="s">
        <v>2194</v>
      </c>
      <c r="GO3" t="s">
        <v>2133</v>
      </c>
      <c r="GP3" t="s">
        <v>2193</v>
      </c>
      <c r="GQ3" t="s">
        <v>2194</v>
      </c>
      <c r="GR3" t="s">
        <v>2394</v>
      </c>
      <c r="GS3" t="s">
        <v>2193</v>
      </c>
      <c r="GT3" t="s">
        <v>2193</v>
      </c>
      <c r="GU3" t="s">
        <v>2194</v>
      </c>
      <c r="GV3" t="s">
        <v>2194</v>
      </c>
      <c r="GW3" t="s">
        <v>2193</v>
      </c>
      <c r="GX3" t="s">
        <v>2193</v>
      </c>
      <c r="GY3" t="s">
        <v>2130</v>
      </c>
      <c r="GZ3" t="s">
        <v>2193</v>
      </c>
      <c r="HA3" t="s">
        <v>2193</v>
      </c>
      <c r="HB3" t="s">
        <v>2193</v>
      </c>
      <c r="HC3" t="s">
        <v>2193</v>
      </c>
      <c r="HD3" t="s">
        <v>2134</v>
      </c>
      <c r="HE3" t="s">
        <v>2134</v>
      </c>
      <c r="HF3" t="s">
        <v>2194</v>
      </c>
      <c r="HG3" t="s">
        <v>2193</v>
      </c>
      <c r="HH3" t="s">
        <v>2405</v>
      </c>
      <c r="HI3" t="s">
        <v>2405</v>
      </c>
      <c r="HJ3" t="s">
        <v>2405</v>
      </c>
      <c r="HK3" t="s">
        <v>2405</v>
      </c>
      <c r="HL3" t="s">
        <v>2405</v>
      </c>
      <c r="HM3" t="s">
        <v>2193</v>
      </c>
      <c r="HN3" t="s">
        <v>2193</v>
      </c>
      <c r="HO3" t="s">
        <v>2193</v>
      </c>
      <c r="HP3" t="s">
        <v>2193</v>
      </c>
      <c r="HQ3" t="s">
        <v>2193</v>
      </c>
      <c r="HR3" t="s">
        <v>2394</v>
      </c>
      <c r="HS3" t="s">
        <v>2193</v>
      </c>
      <c r="HT3" t="s">
        <v>2193</v>
      </c>
      <c r="HU3" t="s">
        <v>2193</v>
      </c>
      <c r="HV3" t="s">
        <v>2193</v>
      </c>
      <c r="HW3" t="s">
        <v>2194</v>
      </c>
      <c r="HX3" t="s">
        <v>2194</v>
      </c>
      <c r="HY3" t="s">
        <v>2194</v>
      </c>
      <c r="HZ3" t="s">
        <v>2193</v>
      </c>
      <c r="IA3" t="s">
        <v>2193</v>
      </c>
      <c r="IB3" t="s">
        <v>2193</v>
      </c>
      <c r="IC3" t="s">
        <v>2193</v>
      </c>
      <c r="ID3" t="s">
        <v>2193</v>
      </c>
      <c r="IE3" t="s">
        <v>2193</v>
      </c>
      <c r="IF3" t="s">
        <v>2405</v>
      </c>
      <c r="IG3" t="s">
        <v>2405</v>
      </c>
      <c r="IH3" t="s">
        <v>2194</v>
      </c>
      <c r="II3" t="s">
        <v>2194</v>
      </c>
      <c r="IJ3" t="s">
        <v>2194</v>
      </c>
      <c r="IK3" t="s">
        <v>2194</v>
      </c>
      <c r="IL3" t="s">
        <v>2193</v>
      </c>
      <c r="IM3" t="s">
        <v>2193</v>
      </c>
      <c r="IN3" t="s">
        <v>2193</v>
      </c>
      <c r="IO3" t="s">
        <v>2194</v>
      </c>
      <c r="IP3" t="s">
        <v>2194</v>
      </c>
      <c r="IQ3" t="s">
        <v>2194</v>
      </c>
      <c r="IR3" t="s">
        <v>2135</v>
      </c>
      <c r="IS3" t="s">
        <v>2126</v>
      </c>
      <c r="IT3" t="s">
        <v>2194</v>
      </c>
      <c r="IU3" t="s">
        <v>2194</v>
      </c>
      <c r="IV3" t="s">
        <v>2193</v>
      </c>
      <c r="IW3" t="s">
        <v>2193</v>
      </c>
      <c r="IX3" t="s">
        <v>2123</v>
      </c>
      <c r="IY3" t="s">
        <v>2193</v>
      </c>
      <c r="IZ3" t="s">
        <v>2394</v>
      </c>
      <c r="JA3" t="s">
        <v>2193</v>
      </c>
      <c r="JB3" t="s">
        <v>2193</v>
      </c>
      <c r="JC3" t="s">
        <v>2193</v>
      </c>
      <c r="JD3" t="s">
        <v>2123</v>
      </c>
      <c r="JE3" t="s">
        <v>2123</v>
      </c>
      <c r="JF3" t="s">
        <v>2193</v>
      </c>
      <c r="JG3" t="s">
        <v>2193</v>
      </c>
      <c r="JH3" t="s">
        <v>2193</v>
      </c>
      <c r="JI3" t="s">
        <v>2193</v>
      </c>
      <c r="JJ3" t="s">
        <v>2193</v>
      </c>
      <c r="JK3" t="s">
        <v>2193</v>
      </c>
      <c r="JL3" t="s">
        <v>2193</v>
      </c>
      <c r="JM3" t="s">
        <v>2193</v>
      </c>
      <c r="JN3" t="s">
        <v>2193</v>
      </c>
      <c r="JO3" t="s">
        <v>2193</v>
      </c>
      <c r="JP3" t="s">
        <v>2136</v>
      </c>
      <c r="JQ3" t="s">
        <v>2193</v>
      </c>
      <c r="JR3" t="s">
        <v>2137</v>
      </c>
      <c r="JS3" t="s">
        <v>2137</v>
      </c>
      <c r="JT3" t="s">
        <v>2194</v>
      </c>
      <c r="JU3" t="s">
        <v>2405</v>
      </c>
      <c r="JV3" t="s">
        <v>2194</v>
      </c>
      <c r="JW3" t="s">
        <v>2382</v>
      </c>
      <c r="JX3" t="s">
        <v>2382</v>
      </c>
      <c r="JY3" t="s">
        <v>2382</v>
      </c>
      <c r="JZ3" t="s">
        <v>2134</v>
      </c>
      <c r="KA3" t="s">
        <v>2134</v>
      </c>
      <c r="KB3" t="s">
        <v>2134</v>
      </c>
      <c r="KC3" t="s">
        <v>2194</v>
      </c>
      <c r="KD3" t="s">
        <v>2194</v>
      </c>
      <c r="KE3" t="s">
        <v>2193</v>
      </c>
      <c r="KF3" t="s">
        <v>2138</v>
      </c>
      <c r="KG3" t="s">
        <v>2193</v>
      </c>
      <c r="KH3" t="s">
        <v>2193</v>
      </c>
      <c r="KI3" t="s">
        <v>2193</v>
      </c>
      <c r="KJ3" t="s">
        <v>2193</v>
      </c>
      <c r="KK3" t="s">
        <v>2194</v>
      </c>
      <c r="KL3" t="s">
        <v>2194</v>
      </c>
      <c r="KM3" t="s">
        <v>2194</v>
      </c>
      <c r="KN3" t="s">
        <v>2194</v>
      </c>
      <c r="KO3" t="s">
        <v>2193</v>
      </c>
      <c r="KP3" t="s">
        <v>2121</v>
      </c>
      <c r="KQ3" t="s">
        <v>2121</v>
      </c>
      <c r="KR3" t="s">
        <v>2121</v>
      </c>
      <c r="KS3" t="s">
        <v>2193</v>
      </c>
      <c r="KT3" t="s">
        <v>2193</v>
      </c>
      <c r="KU3" t="s">
        <v>2405</v>
      </c>
      <c r="KV3" t="s">
        <v>2405</v>
      </c>
      <c r="KW3" t="s">
        <v>2405</v>
      </c>
      <c r="KX3" t="s">
        <v>2405</v>
      </c>
      <c r="KY3" t="s">
        <v>2194</v>
      </c>
      <c r="KZ3" t="s">
        <v>2194</v>
      </c>
      <c r="LA3" t="s">
        <v>2194</v>
      </c>
      <c r="LB3" t="s">
        <v>2194</v>
      </c>
      <c r="LC3" t="s">
        <v>2194</v>
      </c>
      <c r="LD3" t="s">
        <v>2193</v>
      </c>
      <c r="LE3" t="s">
        <v>2193</v>
      </c>
      <c r="LF3" t="s">
        <v>2193</v>
      </c>
      <c r="LG3" t="s">
        <v>2194</v>
      </c>
      <c r="LH3" t="s">
        <v>2139</v>
      </c>
      <c r="LI3" t="s">
        <v>2139</v>
      </c>
      <c r="LJ3" t="s">
        <v>2139</v>
      </c>
      <c r="LK3" t="s">
        <v>2139</v>
      </c>
      <c r="LL3" t="s">
        <v>2139</v>
      </c>
      <c r="LM3" t="s">
        <v>2139</v>
      </c>
      <c r="LN3" t="s">
        <v>2139</v>
      </c>
      <c r="LO3" t="s">
        <v>2139</v>
      </c>
      <c r="LP3" t="s">
        <v>2139</v>
      </c>
      <c r="LQ3" t="s">
        <v>2193</v>
      </c>
      <c r="LR3" t="s">
        <v>2193</v>
      </c>
      <c r="LS3" t="s">
        <v>2193</v>
      </c>
      <c r="LT3" t="s">
        <v>2194</v>
      </c>
      <c r="LU3" t="s">
        <v>2193</v>
      </c>
      <c r="LV3" t="s">
        <v>2193</v>
      </c>
      <c r="LW3" t="s">
        <v>2193</v>
      </c>
      <c r="LX3" t="s">
        <v>2193</v>
      </c>
      <c r="LY3" t="s">
        <v>2193</v>
      </c>
      <c r="LZ3" t="s">
        <v>2193</v>
      </c>
      <c r="MA3" t="s">
        <v>2193</v>
      </c>
      <c r="MB3" t="s">
        <v>2193</v>
      </c>
      <c r="MC3" t="s">
        <v>2193</v>
      </c>
      <c r="MD3" t="s">
        <v>2193</v>
      </c>
      <c r="ME3" t="s">
        <v>2140</v>
      </c>
      <c r="MF3" t="s">
        <v>2140</v>
      </c>
      <c r="MG3" t="s">
        <v>2193</v>
      </c>
      <c r="MH3" t="s">
        <v>2194</v>
      </c>
      <c r="MI3" t="s">
        <v>2193</v>
      </c>
      <c r="MJ3" t="s">
        <v>2193</v>
      </c>
      <c r="MK3" t="s">
        <v>2193</v>
      </c>
      <c r="ML3" t="s">
        <v>2193</v>
      </c>
      <c r="MM3" t="s">
        <v>2139</v>
      </c>
      <c r="MN3" t="s">
        <v>2139</v>
      </c>
      <c r="MO3" t="s">
        <v>2139</v>
      </c>
      <c r="MP3" t="s">
        <v>2193</v>
      </c>
      <c r="MQ3" t="s">
        <v>2193</v>
      </c>
      <c r="MR3" t="s">
        <v>2193</v>
      </c>
      <c r="MS3" t="s">
        <v>2193</v>
      </c>
      <c r="MT3" t="s">
        <v>2194</v>
      </c>
      <c r="MU3" t="s">
        <v>2194</v>
      </c>
      <c r="MV3" t="s">
        <v>2194</v>
      </c>
      <c r="MW3" t="s">
        <v>2193</v>
      </c>
      <c r="MX3" t="s">
        <v>2123</v>
      </c>
      <c r="MY3" t="s">
        <v>2123</v>
      </c>
      <c r="MZ3" t="s">
        <v>2193</v>
      </c>
      <c r="NA3" t="s">
        <v>2193</v>
      </c>
      <c r="NB3" t="s">
        <v>2193</v>
      </c>
      <c r="NC3" t="s">
        <v>2126</v>
      </c>
      <c r="ND3" t="s">
        <v>2405</v>
      </c>
      <c r="NE3" t="s">
        <v>2405</v>
      </c>
      <c r="NF3" t="s">
        <v>2194</v>
      </c>
      <c r="NG3" t="s">
        <v>2141</v>
      </c>
      <c r="NH3" t="s">
        <v>2193</v>
      </c>
      <c r="NI3" t="s">
        <v>2193</v>
      </c>
      <c r="NJ3" t="s">
        <v>2142</v>
      </c>
      <c r="NK3" t="s">
        <v>2142</v>
      </c>
      <c r="NL3" t="s">
        <v>2474</v>
      </c>
      <c r="NM3" t="s">
        <v>2474</v>
      </c>
      <c r="NN3" t="s">
        <v>2193</v>
      </c>
      <c r="NO3" t="s">
        <v>2193</v>
      </c>
      <c r="NP3" t="s">
        <v>2139</v>
      </c>
      <c r="NQ3" t="s">
        <v>2139</v>
      </c>
      <c r="NR3" t="s">
        <v>2193</v>
      </c>
      <c r="NS3" t="s">
        <v>2193</v>
      </c>
      <c r="NT3" t="s">
        <v>2193</v>
      </c>
      <c r="NU3" t="s">
        <v>2193</v>
      </c>
      <c r="NV3" t="s">
        <v>2193</v>
      </c>
      <c r="NW3" t="s">
        <v>2193</v>
      </c>
      <c r="NX3" t="s">
        <v>2193</v>
      </c>
      <c r="NY3" t="s">
        <v>2142</v>
      </c>
      <c r="NZ3" t="s">
        <v>2142</v>
      </c>
      <c r="OA3" t="s">
        <v>2193</v>
      </c>
      <c r="OB3" t="s">
        <v>2194</v>
      </c>
      <c r="OC3" t="s">
        <v>2194</v>
      </c>
      <c r="OD3" t="s">
        <v>2194</v>
      </c>
      <c r="OE3" t="s">
        <v>2193</v>
      </c>
      <c r="OF3" t="s">
        <v>2193</v>
      </c>
      <c r="OG3" t="s">
        <v>2193</v>
      </c>
      <c r="OH3" t="s">
        <v>2193</v>
      </c>
      <c r="OI3" t="s">
        <v>2474</v>
      </c>
      <c r="OJ3" t="s">
        <v>2474</v>
      </c>
      <c r="OK3" t="s">
        <v>2194</v>
      </c>
      <c r="OL3" t="s">
        <v>2405</v>
      </c>
      <c r="OM3" t="s">
        <v>2405</v>
      </c>
      <c r="ON3" t="s">
        <v>2193</v>
      </c>
      <c r="OO3" t="s">
        <v>2193</v>
      </c>
      <c r="OP3" t="s">
        <v>2193</v>
      </c>
      <c r="OQ3" t="s">
        <v>2193</v>
      </c>
      <c r="OR3" t="s">
        <v>2194</v>
      </c>
      <c r="OS3" t="s">
        <v>2194</v>
      </c>
      <c r="OT3" t="s">
        <v>2194</v>
      </c>
      <c r="OU3" t="s">
        <v>2193</v>
      </c>
      <c r="OV3" t="s">
        <v>2193</v>
      </c>
      <c r="OW3" t="s">
        <v>2194</v>
      </c>
      <c r="OX3" t="s">
        <v>2193</v>
      </c>
      <c r="OY3" t="s">
        <v>2193</v>
      </c>
      <c r="OZ3" t="s">
        <v>2143</v>
      </c>
      <c r="PA3" t="s">
        <v>2143</v>
      </c>
      <c r="PB3" t="s">
        <v>2194</v>
      </c>
      <c r="PC3" t="s">
        <v>2194</v>
      </c>
      <c r="PD3" t="s">
        <v>2194</v>
      </c>
      <c r="PE3" t="s">
        <v>2193</v>
      </c>
      <c r="PF3" t="s">
        <v>2193</v>
      </c>
      <c r="PG3" t="s">
        <v>2194</v>
      </c>
      <c r="PH3" t="s">
        <v>2194</v>
      </c>
      <c r="PI3" t="s">
        <v>2194</v>
      </c>
      <c r="PJ3" t="s">
        <v>2405</v>
      </c>
      <c r="PK3" t="s">
        <v>2405</v>
      </c>
      <c r="PL3" t="s">
        <v>2405</v>
      </c>
      <c r="PM3" t="s">
        <v>2194</v>
      </c>
      <c r="PN3" t="s">
        <v>2194</v>
      </c>
      <c r="PO3" t="s">
        <v>2193</v>
      </c>
      <c r="PP3" t="s">
        <v>2193</v>
      </c>
      <c r="PQ3" t="s">
        <v>2193</v>
      </c>
      <c r="PR3" t="s">
        <v>2193</v>
      </c>
      <c r="PS3" t="s">
        <v>2194</v>
      </c>
      <c r="PT3" t="s">
        <v>2194</v>
      </c>
      <c r="PU3" t="s">
        <v>2405</v>
      </c>
      <c r="PV3" t="s">
        <v>2139</v>
      </c>
      <c r="PW3" t="s">
        <v>2139</v>
      </c>
      <c r="PX3" t="s">
        <v>2139</v>
      </c>
      <c r="PY3" t="s">
        <v>2139</v>
      </c>
      <c r="PZ3" t="s">
        <v>2193</v>
      </c>
      <c r="QA3" t="s">
        <v>2193</v>
      </c>
      <c r="QB3" t="s">
        <v>2193</v>
      </c>
      <c r="QC3" t="s">
        <v>2193</v>
      </c>
      <c r="QD3" t="s">
        <v>2126</v>
      </c>
      <c r="QE3" t="s">
        <v>2126</v>
      </c>
      <c r="QF3" t="s">
        <v>2139</v>
      </c>
      <c r="QG3" t="s">
        <v>2139</v>
      </c>
      <c r="QH3" t="s">
        <v>2193</v>
      </c>
      <c r="QI3" t="s">
        <v>2194</v>
      </c>
      <c r="QJ3" t="s">
        <v>2194</v>
      </c>
      <c r="QK3" t="s">
        <v>2193</v>
      </c>
      <c r="QL3" t="s">
        <v>2194</v>
      </c>
      <c r="QM3" t="s">
        <v>2194</v>
      </c>
      <c r="QN3" t="s">
        <v>2127</v>
      </c>
      <c r="QO3" t="s">
        <v>2126</v>
      </c>
      <c r="QP3" t="s">
        <v>2394</v>
      </c>
      <c r="QQ3" t="s">
        <v>2405</v>
      </c>
      <c r="QR3" t="s">
        <v>2405</v>
      </c>
      <c r="QS3" t="s">
        <v>2405</v>
      </c>
      <c r="QT3" t="s">
        <v>2405</v>
      </c>
      <c r="QU3" t="s">
        <v>2405</v>
      </c>
      <c r="QV3" t="s">
        <v>2405</v>
      </c>
      <c r="QW3" t="s">
        <v>2405</v>
      </c>
      <c r="QX3" t="s">
        <v>2193</v>
      </c>
      <c r="QY3" t="s">
        <v>2193</v>
      </c>
      <c r="QZ3" t="s">
        <v>2193</v>
      </c>
      <c r="RA3" t="s">
        <v>2144</v>
      </c>
      <c r="RB3" t="s">
        <v>2193</v>
      </c>
      <c r="RC3" t="s">
        <v>2193</v>
      </c>
      <c r="RD3" t="s">
        <v>2193</v>
      </c>
      <c r="RE3" t="s">
        <v>2145</v>
      </c>
      <c r="RF3" t="s">
        <v>2145</v>
      </c>
      <c r="RG3" t="s">
        <v>2133</v>
      </c>
      <c r="RH3" t="s">
        <v>2405</v>
      </c>
      <c r="RI3" t="s">
        <v>2193</v>
      </c>
      <c r="RJ3" t="s">
        <v>2193</v>
      </c>
      <c r="RK3" t="s">
        <v>2193</v>
      </c>
      <c r="RL3" t="s">
        <v>2130</v>
      </c>
      <c r="RM3" t="s">
        <v>2193</v>
      </c>
      <c r="RN3" t="s">
        <v>2193</v>
      </c>
      <c r="RO3" t="s">
        <v>2193</v>
      </c>
      <c r="RP3" t="s">
        <v>2146</v>
      </c>
      <c r="RQ3" t="s">
        <v>2193</v>
      </c>
      <c r="RR3" t="s">
        <v>2193</v>
      </c>
      <c r="RS3" t="s">
        <v>2193</v>
      </c>
      <c r="RT3" t="s">
        <v>2193</v>
      </c>
      <c r="RU3" t="s">
        <v>2147</v>
      </c>
      <c r="RV3" t="s">
        <v>2147</v>
      </c>
      <c r="RW3" t="s">
        <v>2147</v>
      </c>
      <c r="RX3" t="s">
        <v>2148</v>
      </c>
      <c r="RY3" t="s">
        <v>2405</v>
      </c>
      <c r="RZ3" t="s">
        <v>2405</v>
      </c>
      <c r="SA3" t="s">
        <v>2405</v>
      </c>
      <c r="SB3" t="s">
        <v>2193</v>
      </c>
      <c r="SC3" t="s">
        <v>2193</v>
      </c>
      <c r="SD3" t="s">
        <v>2193</v>
      </c>
      <c r="SE3" t="s">
        <v>2149</v>
      </c>
      <c r="SF3" t="s">
        <v>2193</v>
      </c>
      <c r="SG3" t="s">
        <v>2193</v>
      </c>
      <c r="SH3" t="s">
        <v>2193</v>
      </c>
      <c r="SI3" t="s">
        <v>2194</v>
      </c>
      <c r="SJ3" t="s">
        <v>2139</v>
      </c>
      <c r="SK3" t="s">
        <v>2139</v>
      </c>
      <c r="SL3" t="s">
        <v>2139</v>
      </c>
      <c r="SM3" t="s">
        <v>2139</v>
      </c>
      <c r="SN3" t="s">
        <v>2139</v>
      </c>
      <c r="SO3" t="s">
        <v>2194</v>
      </c>
      <c r="SP3" t="s">
        <v>2126</v>
      </c>
      <c r="SQ3" t="s">
        <v>2193</v>
      </c>
      <c r="SR3" t="s">
        <v>2193</v>
      </c>
      <c r="SS3" t="s">
        <v>2193</v>
      </c>
      <c r="ST3" t="s">
        <v>2194</v>
      </c>
      <c r="SU3" t="s">
        <v>2194</v>
      </c>
      <c r="SV3" t="s">
        <v>2193</v>
      </c>
      <c r="SW3" t="s">
        <v>2193</v>
      </c>
      <c r="SX3" t="s">
        <v>2193</v>
      </c>
      <c r="SY3" t="s">
        <v>2193</v>
      </c>
      <c r="SZ3" t="s">
        <v>2193</v>
      </c>
      <c r="TA3" t="s">
        <v>2193</v>
      </c>
      <c r="TB3" t="s">
        <v>2193</v>
      </c>
      <c r="TC3" t="s">
        <v>2193</v>
      </c>
      <c r="TD3" t="s">
        <v>2193</v>
      </c>
      <c r="TE3" t="s">
        <v>2127</v>
      </c>
      <c r="TF3" t="s">
        <v>2193</v>
      </c>
      <c r="TG3" t="s">
        <v>2193</v>
      </c>
      <c r="TH3" t="s">
        <v>2193</v>
      </c>
      <c r="TI3" t="s">
        <v>2193</v>
      </c>
      <c r="TJ3" t="s">
        <v>2193</v>
      </c>
      <c r="TK3" t="s">
        <v>2193</v>
      </c>
      <c r="TL3" t="s">
        <v>2193</v>
      </c>
      <c r="TM3" t="s">
        <v>2193</v>
      </c>
      <c r="TN3" t="s">
        <v>2193</v>
      </c>
      <c r="TO3" t="s">
        <v>2193</v>
      </c>
      <c r="TP3" t="s">
        <v>2194</v>
      </c>
      <c r="TQ3" t="s">
        <v>2193</v>
      </c>
      <c r="TR3" t="s">
        <v>2193</v>
      </c>
      <c r="TS3" t="s">
        <v>2193</v>
      </c>
      <c r="TT3" t="s">
        <v>2193</v>
      </c>
      <c r="TU3" t="s">
        <v>2123</v>
      </c>
      <c r="TV3" t="s">
        <v>2123</v>
      </c>
      <c r="TW3" t="s">
        <v>2127</v>
      </c>
      <c r="TX3" t="s">
        <v>2193</v>
      </c>
      <c r="TY3" t="s">
        <v>2193</v>
      </c>
      <c r="TZ3" t="s">
        <v>2193</v>
      </c>
      <c r="UA3" t="s">
        <v>2193</v>
      </c>
      <c r="UB3" t="s">
        <v>2193</v>
      </c>
      <c r="UC3" t="s">
        <v>2193</v>
      </c>
      <c r="UD3" t="s">
        <v>2193</v>
      </c>
      <c r="UE3" t="s">
        <v>2193</v>
      </c>
      <c r="UF3" t="s">
        <v>2194</v>
      </c>
      <c r="UG3" t="s">
        <v>2193</v>
      </c>
      <c r="UH3" t="s">
        <v>2193</v>
      </c>
      <c r="UI3" t="s">
        <v>2193</v>
      </c>
      <c r="UJ3" t="s">
        <v>2405</v>
      </c>
      <c r="UK3" t="s">
        <v>2193</v>
      </c>
      <c r="UL3" t="s">
        <v>2150</v>
      </c>
      <c r="UM3" t="s">
        <v>2150</v>
      </c>
      <c r="UN3" t="s">
        <v>2194</v>
      </c>
      <c r="UO3" t="s">
        <v>2474</v>
      </c>
      <c r="UP3" t="s">
        <v>2474</v>
      </c>
      <c r="UQ3" t="s">
        <v>2474</v>
      </c>
      <c r="UR3" t="s">
        <v>2141</v>
      </c>
      <c r="US3" t="s">
        <v>2123</v>
      </c>
      <c r="UT3" t="s">
        <v>2123</v>
      </c>
      <c r="UU3" t="s">
        <v>2193</v>
      </c>
      <c r="UV3" t="s">
        <v>2194</v>
      </c>
      <c r="UW3" t="s">
        <v>2151</v>
      </c>
      <c r="UX3" t="s">
        <v>2151</v>
      </c>
      <c r="UY3" t="s">
        <v>2151</v>
      </c>
      <c r="UZ3" t="s">
        <v>2194</v>
      </c>
      <c r="VA3" t="s">
        <v>2123</v>
      </c>
      <c r="VB3" t="s">
        <v>2123</v>
      </c>
      <c r="VC3" t="s">
        <v>2123</v>
      </c>
      <c r="VD3" t="s">
        <v>2123</v>
      </c>
      <c r="VE3" t="s">
        <v>2123</v>
      </c>
      <c r="VF3" t="s">
        <v>2123</v>
      </c>
      <c r="VG3" t="s">
        <v>2123</v>
      </c>
      <c r="VH3" t="s">
        <v>2123</v>
      </c>
      <c r="VI3" t="s">
        <v>2193</v>
      </c>
      <c r="VJ3" t="s">
        <v>2193</v>
      </c>
      <c r="VK3" t="s">
        <v>2193</v>
      </c>
      <c r="VL3" t="s">
        <v>2193</v>
      </c>
      <c r="VM3" t="s">
        <v>2193</v>
      </c>
      <c r="VN3" t="s">
        <v>2382</v>
      </c>
      <c r="VO3" t="s">
        <v>2124</v>
      </c>
      <c r="VP3" t="s">
        <v>2124</v>
      </c>
      <c r="VQ3" t="s">
        <v>2405</v>
      </c>
      <c r="VR3" t="s">
        <v>2193</v>
      </c>
      <c r="VS3" t="s">
        <v>2194</v>
      </c>
      <c r="VT3" t="s">
        <v>2194</v>
      </c>
      <c r="VU3" t="s">
        <v>2193</v>
      </c>
      <c r="VV3" t="s">
        <v>2193</v>
      </c>
      <c r="VW3" t="s">
        <v>2193</v>
      </c>
      <c r="VX3" t="s">
        <v>2193</v>
      </c>
      <c r="VY3" t="s">
        <v>2405</v>
      </c>
      <c r="VZ3" t="s">
        <v>2193</v>
      </c>
      <c r="WA3" t="s">
        <v>2193</v>
      </c>
      <c r="WB3" t="s">
        <v>2193</v>
      </c>
      <c r="WC3" t="s">
        <v>2193</v>
      </c>
      <c r="WD3" t="s">
        <v>2152</v>
      </c>
      <c r="WE3" t="s">
        <v>2152</v>
      </c>
      <c r="WF3" t="s">
        <v>2152</v>
      </c>
      <c r="WG3" t="s">
        <v>2152</v>
      </c>
      <c r="WH3" t="s">
        <v>2405</v>
      </c>
      <c r="WI3" t="s">
        <v>2405</v>
      </c>
      <c r="WJ3" t="s">
        <v>2193</v>
      </c>
      <c r="WK3" t="s">
        <v>2194</v>
      </c>
      <c r="WL3" t="s">
        <v>2194</v>
      </c>
      <c r="WM3" t="s">
        <v>2194</v>
      </c>
      <c r="WN3" t="s">
        <v>2193</v>
      </c>
      <c r="WO3" t="s">
        <v>2193</v>
      </c>
      <c r="WP3" t="s">
        <v>2193</v>
      </c>
      <c r="WQ3" t="s">
        <v>2193</v>
      </c>
      <c r="WR3" t="s">
        <v>2193</v>
      </c>
      <c r="WS3" t="s">
        <v>2193</v>
      </c>
      <c r="WT3" t="s">
        <v>2193</v>
      </c>
      <c r="WU3" t="s">
        <v>2193</v>
      </c>
      <c r="WV3" t="s">
        <v>2193</v>
      </c>
      <c r="WW3" t="s">
        <v>2193</v>
      </c>
      <c r="WX3" t="s">
        <v>2153</v>
      </c>
      <c r="WY3" t="s">
        <v>2153</v>
      </c>
      <c r="WZ3" t="s">
        <v>2153</v>
      </c>
      <c r="XA3" t="s">
        <v>2193</v>
      </c>
      <c r="XB3" t="s">
        <v>2139</v>
      </c>
      <c r="XC3" t="s">
        <v>2139</v>
      </c>
      <c r="XD3" t="s">
        <v>2139</v>
      </c>
      <c r="XE3" t="s">
        <v>2194</v>
      </c>
      <c r="XF3" t="s">
        <v>2194</v>
      </c>
      <c r="XG3" t="s">
        <v>2193</v>
      </c>
      <c r="XH3" t="s">
        <v>2405</v>
      </c>
      <c r="XI3" t="s">
        <v>2405</v>
      </c>
      <c r="XJ3" t="s">
        <v>2405</v>
      </c>
      <c r="XK3" t="s">
        <v>2405</v>
      </c>
      <c r="XL3" t="s">
        <v>2194</v>
      </c>
      <c r="XM3" t="s">
        <v>2127</v>
      </c>
      <c r="XN3" t="s">
        <v>2127</v>
      </c>
      <c r="XO3" t="s">
        <v>2127</v>
      </c>
      <c r="XP3" t="s">
        <v>2193</v>
      </c>
      <c r="XQ3" t="s">
        <v>2194</v>
      </c>
      <c r="XR3" t="s">
        <v>2194</v>
      </c>
      <c r="XS3" t="s">
        <v>2194</v>
      </c>
      <c r="XT3" t="s">
        <v>2193</v>
      </c>
      <c r="XU3" t="s">
        <v>2193</v>
      </c>
      <c r="XV3" t="s">
        <v>2193</v>
      </c>
      <c r="XW3" t="s">
        <v>2193</v>
      </c>
      <c r="XX3" t="s">
        <v>2193</v>
      </c>
      <c r="XY3" t="s">
        <v>2193</v>
      </c>
      <c r="XZ3" t="s">
        <v>2193</v>
      </c>
      <c r="YA3" t="s">
        <v>2193</v>
      </c>
      <c r="YB3" t="s">
        <v>2193</v>
      </c>
      <c r="YC3" t="s">
        <v>2193</v>
      </c>
      <c r="YD3" t="s">
        <v>2193</v>
      </c>
      <c r="YE3" t="s">
        <v>2139</v>
      </c>
      <c r="YF3" t="s">
        <v>2139</v>
      </c>
      <c r="YG3" t="s">
        <v>2139</v>
      </c>
      <c r="YH3" t="s">
        <v>2139</v>
      </c>
      <c r="YI3" t="s">
        <v>2139</v>
      </c>
      <c r="YJ3" t="s">
        <v>2139</v>
      </c>
      <c r="YK3" t="s">
        <v>2139</v>
      </c>
      <c r="YL3" t="s">
        <v>2139</v>
      </c>
      <c r="YM3" t="s">
        <v>2139</v>
      </c>
      <c r="YN3" t="s">
        <v>2139</v>
      </c>
      <c r="YO3" t="s">
        <v>2193</v>
      </c>
      <c r="YP3" t="s">
        <v>2139</v>
      </c>
      <c r="YQ3" t="s">
        <v>2139</v>
      </c>
      <c r="YR3" t="s">
        <v>2126</v>
      </c>
      <c r="YS3" t="s">
        <v>2405</v>
      </c>
      <c r="YT3" t="s">
        <v>2193</v>
      </c>
      <c r="YU3" t="s">
        <v>2193</v>
      </c>
      <c r="YV3" t="s">
        <v>2193</v>
      </c>
      <c r="YW3" t="s">
        <v>2405</v>
      </c>
      <c r="YX3" t="s">
        <v>2193</v>
      </c>
      <c r="YY3" t="s">
        <v>2193</v>
      </c>
      <c r="YZ3" t="s">
        <v>2193</v>
      </c>
      <c r="ZA3" t="s">
        <v>2154</v>
      </c>
      <c r="ZB3" t="s">
        <v>2382</v>
      </c>
      <c r="ZC3" t="s">
        <v>2382</v>
      </c>
      <c r="ZD3" t="s">
        <v>2193</v>
      </c>
      <c r="ZE3" t="s">
        <v>2193</v>
      </c>
      <c r="ZF3" t="s">
        <v>2194</v>
      </c>
      <c r="ZG3" t="s">
        <v>2194</v>
      </c>
      <c r="ZH3" t="s">
        <v>2123</v>
      </c>
      <c r="ZI3" t="s">
        <v>2193</v>
      </c>
      <c r="ZJ3" t="s">
        <v>2193</v>
      </c>
      <c r="ZK3" t="s">
        <v>2155</v>
      </c>
      <c r="ZL3" t="s">
        <v>2156</v>
      </c>
      <c r="ZM3" t="s">
        <v>2193</v>
      </c>
      <c r="ZN3" t="s">
        <v>2193</v>
      </c>
      <c r="ZO3" t="s">
        <v>2194</v>
      </c>
      <c r="ZP3" t="s">
        <v>2194</v>
      </c>
      <c r="ZQ3" t="s">
        <v>2157</v>
      </c>
      <c r="ZR3" t="s">
        <v>2193</v>
      </c>
      <c r="ZS3" t="s">
        <v>2193</v>
      </c>
      <c r="ZT3" t="s">
        <v>2193</v>
      </c>
      <c r="ZU3" t="s">
        <v>2194</v>
      </c>
      <c r="ZV3" t="s">
        <v>2194</v>
      </c>
      <c r="ZW3" t="s">
        <v>2194</v>
      </c>
      <c r="ZX3" t="s">
        <v>2193</v>
      </c>
      <c r="ZY3" t="s">
        <v>2193</v>
      </c>
      <c r="ZZ3" t="s">
        <v>2193</v>
      </c>
      <c r="AAA3" t="s">
        <v>2194</v>
      </c>
      <c r="AAB3" t="s">
        <v>2193</v>
      </c>
      <c r="AAC3" t="s">
        <v>2193</v>
      </c>
      <c r="AAD3" t="s">
        <v>2193</v>
      </c>
      <c r="AAE3" t="s">
        <v>2193</v>
      </c>
      <c r="AAF3" t="s">
        <v>2193</v>
      </c>
      <c r="AAG3" t="s">
        <v>2194</v>
      </c>
      <c r="AAH3" t="s">
        <v>2194</v>
      </c>
      <c r="AAI3" t="s">
        <v>2194</v>
      </c>
      <c r="AAJ3" t="s">
        <v>2194</v>
      </c>
      <c r="AAK3" t="s">
        <v>2194</v>
      </c>
      <c r="AAL3" t="s">
        <v>2194</v>
      </c>
      <c r="AAM3" t="s">
        <v>2194</v>
      </c>
      <c r="AAN3" t="s">
        <v>2194</v>
      </c>
      <c r="AAO3" t="s">
        <v>2405</v>
      </c>
      <c r="AAP3" t="s">
        <v>2193</v>
      </c>
      <c r="AAQ3" t="s">
        <v>2193</v>
      </c>
      <c r="AAR3" t="s">
        <v>2193</v>
      </c>
      <c r="AAS3" t="s">
        <v>2394</v>
      </c>
      <c r="AAT3" t="s">
        <v>2193</v>
      </c>
      <c r="AAU3" t="s">
        <v>2194</v>
      </c>
      <c r="AAV3" t="s">
        <v>2194</v>
      </c>
      <c r="AAW3" t="s">
        <v>2194</v>
      </c>
      <c r="AAX3" t="s">
        <v>2194</v>
      </c>
      <c r="AAY3" t="s">
        <v>2194</v>
      </c>
      <c r="AAZ3" t="s">
        <v>2194</v>
      </c>
      <c r="ABA3" t="s">
        <v>2194</v>
      </c>
      <c r="ABB3" t="s">
        <v>2193</v>
      </c>
      <c r="ABC3" t="s">
        <v>2193</v>
      </c>
      <c r="ABD3" t="s">
        <v>2193</v>
      </c>
      <c r="ABE3" t="s">
        <v>2193</v>
      </c>
      <c r="ABF3" t="s">
        <v>2193</v>
      </c>
      <c r="ABG3" t="s">
        <v>2193</v>
      </c>
      <c r="ABH3" t="s">
        <v>2193</v>
      </c>
      <c r="ABI3" t="s">
        <v>2194</v>
      </c>
      <c r="ABJ3" t="s">
        <v>2194</v>
      </c>
      <c r="ABK3" t="s">
        <v>2194</v>
      </c>
      <c r="ABL3" t="s">
        <v>2405</v>
      </c>
      <c r="ABM3" t="s">
        <v>2193</v>
      </c>
      <c r="ABN3" t="s">
        <v>2193</v>
      </c>
      <c r="ABO3" t="s">
        <v>2193</v>
      </c>
      <c r="ABP3" t="s">
        <v>2193</v>
      </c>
      <c r="ABQ3" t="s">
        <v>2193</v>
      </c>
      <c r="ABR3" t="s">
        <v>2193</v>
      </c>
      <c r="ABS3" t="s">
        <v>2193</v>
      </c>
      <c r="ABT3" t="s">
        <v>2193</v>
      </c>
      <c r="ABU3" t="s">
        <v>2193</v>
      </c>
      <c r="ABV3" t="s">
        <v>2193</v>
      </c>
      <c r="ABW3" t="s">
        <v>2193</v>
      </c>
      <c r="ABX3" t="s">
        <v>2193</v>
      </c>
      <c r="ABY3" t="s">
        <v>2193</v>
      </c>
      <c r="ABZ3" t="s">
        <v>2193</v>
      </c>
      <c r="ACA3" t="s">
        <v>2194</v>
      </c>
      <c r="ACB3" t="s">
        <v>2194</v>
      </c>
      <c r="ACC3" t="s">
        <v>2193</v>
      </c>
      <c r="ACD3" t="s">
        <v>2194</v>
      </c>
      <c r="ACE3" t="s">
        <v>2193</v>
      </c>
      <c r="ACF3" t="s">
        <v>2193</v>
      </c>
      <c r="ACG3" t="s">
        <v>2193</v>
      </c>
      <c r="ACH3" t="s">
        <v>2194</v>
      </c>
      <c r="ACI3" t="s">
        <v>2194</v>
      </c>
      <c r="ACJ3" t="s">
        <v>2394</v>
      </c>
      <c r="ACK3" t="s">
        <v>2126</v>
      </c>
      <c r="ACL3" t="s">
        <v>2193</v>
      </c>
      <c r="ACM3" t="s">
        <v>2193</v>
      </c>
      <c r="ACN3" t="s">
        <v>2193</v>
      </c>
      <c r="ACO3" t="s">
        <v>2193</v>
      </c>
      <c r="ACP3" t="s">
        <v>2193</v>
      </c>
      <c r="ACQ3" t="s">
        <v>2193</v>
      </c>
      <c r="ACR3" t="s">
        <v>2193</v>
      </c>
      <c r="ACS3" t="s">
        <v>2193</v>
      </c>
      <c r="ACT3" t="s">
        <v>2193</v>
      </c>
      <c r="ACU3" t="s">
        <v>2193</v>
      </c>
      <c r="ACV3" t="s">
        <v>2194</v>
      </c>
      <c r="ACW3" t="s">
        <v>2194</v>
      </c>
      <c r="ACX3" t="s">
        <v>2194</v>
      </c>
      <c r="ACY3" t="s">
        <v>2194</v>
      </c>
      <c r="ACZ3" t="s">
        <v>2474</v>
      </c>
      <c r="ADA3" t="s">
        <v>2474</v>
      </c>
      <c r="ADB3" t="s">
        <v>2147</v>
      </c>
      <c r="ADC3" t="s">
        <v>2147</v>
      </c>
      <c r="ADD3" t="s">
        <v>2193</v>
      </c>
      <c r="ADE3" t="s">
        <v>2193</v>
      </c>
      <c r="ADF3" t="s">
        <v>2193</v>
      </c>
      <c r="ADG3" t="s">
        <v>2193</v>
      </c>
      <c r="ADH3" t="s">
        <v>2193</v>
      </c>
      <c r="ADI3" t="s">
        <v>2193</v>
      </c>
      <c r="ADJ3" t="s">
        <v>2193</v>
      </c>
      <c r="ADK3" t="s">
        <v>2193</v>
      </c>
      <c r="ADL3" t="s">
        <v>2193</v>
      </c>
      <c r="ADM3" t="s">
        <v>2193</v>
      </c>
      <c r="ADN3" t="s">
        <v>2193</v>
      </c>
      <c r="ADO3" t="s">
        <v>2193</v>
      </c>
      <c r="ADP3" t="s">
        <v>2193</v>
      </c>
      <c r="ADQ3" t="s">
        <v>2193</v>
      </c>
      <c r="ADR3" t="s">
        <v>2193</v>
      </c>
      <c r="ADS3" t="s">
        <v>2193</v>
      </c>
      <c r="ADT3" t="s">
        <v>2193</v>
      </c>
      <c r="ADU3" t="s">
        <v>2193</v>
      </c>
      <c r="ADV3" t="s">
        <v>2193</v>
      </c>
      <c r="ADW3" t="s">
        <v>2193</v>
      </c>
      <c r="ADX3" t="s">
        <v>2394</v>
      </c>
      <c r="ADY3" t="s">
        <v>2382</v>
      </c>
      <c r="ADZ3" t="s">
        <v>2382</v>
      </c>
      <c r="AEA3" t="s">
        <v>2382</v>
      </c>
      <c r="AEB3" t="s">
        <v>2405</v>
      </c>
      <c r="AEC3" t="s">
        <v>2193</v>
      </c>
      <c r="AED3" t="s">
        <v>2138</v>
      </c>
      <c r="AEE3" t="s">
        <v>2158</v>
      </c>
      <c r="AEF3" t="s">
        <v>2405</v>
      </c>
      <c r="AEG3" t="s">
        <v>2405</v>
      </c>
      <c r="AEH3" t="s">
        <v>2193</v>
      </c>
      <c r="AEI3" t="s">
        <v>2193</v>
      </c>
      <c r="AEJ3" t="s">
        <v>2193</v>
      </c>
      <c r="AEK3" t="s">
        <v>2194</v>
      </c>
      <c r="AEL3" t="s">
        <v>2193</v>
      </c>
      <c r="AEM3" t="s">
        <v>2193</v>
      </c>
      <c r="AEN3" t="s">
        <v>2193</v>
      </c>
      <c r="AEO3" t="s">
        <v>2193</v>
      </c>
      <c r="AEP3" t="s">
        <v>2194</v>
      </c>
      <c r="AEQ3" t="s">
        <v>2194</v>
      </c>
      <c r="AER3" t="s">
        <v>2139</v>
      </c>
      <c r="AES3" t="s">
        <v>2139</v>
      </c>
      <c r="AET3" t="s">
        <v>2139</v>
      </c>
      <c r="AEU3" t="s">
        <v>2139</v>
      </c>
      <c r="AEV3" t="s">
        <v>2139</v>
      </c>
      <c r="AEW3" t="s">
        <v>2193</v>
      </c>
      <c r="AEX3" t="s">
        <v>2193</v>
      </c>
      <c r="AEY3" t="s">
        <v>2193</v>
      </c>
      <c r="AEZ3" t="s">
        <v>2193</v>
      </c>
      <c r="AFA3" t="s">
        <v>2193</v>
      </c>
      <c r="AFB3" t="s">
        <v>2159</v>
      </c>
      <c r="AFC3" t="s">
        <v>2159</v>
      </c>
      <c r="AFD3" t="s">
        <v>2159</v>
      </c>
      <c r="AFE3" t="s">
        <v>2159</v>
      </c>
      <c r="AFF3" t="s">
        <v>2159</v>
      </c>
      <c r="AFG3" t="s">
        <v>2159</v>
      </c>
      <c r="AFH3" t="s">
        <v>2193</v>
      </c>
      <c r="AFI3" t="s">
        <v>2194</v>
      </c>
      <c r="AFJ3" t="s">
        <v>2160</v>
      </c>
      <c r="AFK3" t="s">
        <v>2193</v>
      </c>
      <c r="AFL3" t="s">
        <v>2193</v>
      </c>
      <c r="AFM3" t="s">
        <v>2161</v>
      </c>
      <c r="AFN3" t="s">
        <v>2193</v>
      </c>
      <c r="AFO3" t="s">
        <v>2193</v>
      </c>
      <c r="AFP3" t="s">
        <v>2138</v>
      </c>
      <c r="AFQ3" t="s">
        <v>2138</v>
      </c>
      <c r="AFR3" t="s">
        <v>2138</v>
      </c>
      <c r="AFS3" t="s">
        <v>2138</v>
      </c>
      <c r="AFT3" t="s">
        <v>2138</v>
      </c>
      <c r="AFU3" t="s">
        <v>2138</v>
      </c>
      <c r="AFV3" t="s">
        <v>2138</v>
      </c>
      <c r="AFW3" t="s">
        <v>2193</v>
      </c>
      <c r="AFX3" t="s">
        <v>2193</v>
      </c>
      <c r="AFY3" t="s">
        <v>2193</v>
      </c>
      <c r="AFZ3" t="s">
        <v>2162</v>
      </c>
      <c r="AGA3" t="s">
        <v>2133</v>
      </c>
      <c r="AGB3" t="s">
        <v>2193</v>
      </c>
      <c r="AGC3" t="s">
        <v>2193</v>
      </c>
      <c r="AGD3" t="s">
        <v>2193</v>
      </c>
      <c r="AGE3" t="s">
        <v>2193</v>
      </c>
      <c r="AGF3" t="s">
        <v>2193</v>
      </c>
      <c r="AGG3" t="s">
        <v>2193</v>
      </c>
      <c r="AGH3" t="s">
        <v>2151</v>
      </c>
      <c r="AGI3" t="s">
        <v>2163</v>
      </c>
      <c r="AGJ3" t="s">
        <v>2194</v>
      </c>
      <c r="AGK3" t="s">
        <v>2194</v>
      </c>
      <c r="AGL3" t="s">
        <v>2194</v>
      </c>
      <c r="AGM3" t="s">
        <v>2194</v>
      </c>
      <c r="AGN3" t="s">
        <v>2194</v>
      </c>
      <c r="AGO3" t="s">
        <v>2194</v>
      </c>
      <c r="AGP3" t="s">
        <v>2158</v>
      </c>
      <c r="AGQ3" t="s">
        <v>2194</v>
      </c>
      <c r="AGR3" t="s">
        <v>2194</v>
      </c>
      <c r="AGS3" t="s">
        <v>2127</v>
      </c>
      <c r="AGT3" t="s">
        <v>2127</v>
      </c>
      <c r="AGU3" t="s">
        <v>2127</v>
      </c>
      <c r="AGV3" t="s">
        <v>2405</v>
      </c>
      <c r="AGW3" t="s">
        <v>2405</v>
      </c>
      <c r="AGX3" t="s">
        <v>2405</v>
      </c>
      <c r="AGY3" t="s">
        <v>2405</v>
      </c>
      <c r="AGZ3" t="s">
        <v>2164</v>
      </c>
      <c r="AHA3" t="s">
        <v>2164</v>
      </c>
      <c r="AHB3" t="s">
        <v>2123</v>
      </c>
      <c r="AHC3" t="s">
        <v>2138</v>
      </c>
      <c r="AHD3" t="s">
        <v>2138</v>
      </c>
      <c r="AHE3" t="s">
        <v>2405</v>
      </c>
      <c r="AHF3" t="s">
        <v>2405</v>
      </c>
      <c r="AHG3" t="s">
        <v>2147</v>
      </c>
      <c r="AHH3" t="s">
        <v>2194</v>
      </c>
      <c r="AHI3" t="s">
        <v>2194</v>
      </c>
      <c r="AHJ3" t="s">
        <v>2194</v>
      </c>
      <c r="AHK3" t="s">
        <v>2194</v>
      </c>
      <c r="AHL3" t="s">
        <v>2194</v>
      </c>
      <c r="AHM3" t="s">
        <v>2194</v>
      </c>
      <c r="AHN3" t="s">
        <v>2194</v>
      </c>
      <c r="AHO3" t="s">
        <v>2194</v>
      </c>
      <c r="AHP3" t="s">
        <v>2194</v>
      </c>
      <c r="AHQ3" t="s">
        <v>2194</v>
      </c>
      <c r="AHR3" t="s">
        <v>2194</v>
      </c>
      <c r="AHS3" t="s">
        <v>2194</v>
      </c>
      <c r="AHT3" t="s">
        <v>2194</v>
      </c>
      <c r="AHU3" t="s">
        <v>2194</v>
      </c>
      <c r="AHV3" t="s">
        <v>2194</v>
      </c>
      <c r="AHW3" t="s">
        <v>2474</v>
      </c>
      <c r="AHX3" t="s">
        <v>2194</v>
      </c>
      <c r="AHY3" t="s">
        <v>2194</v>
      </c>
      <c r="AHZ3" t="s">
        <v>2129</v>
      </c>
      <c r="AIA3" t="s">
        <v>2129</v>
      </c>
      <c r="AIB3" t="s">
        <v>2193</v>
      </c>
      <c r="AIC3" t="s">
        <v>2193</v>
      </c>
      <c r="AID3" t="s">
        <v>2151</v>
      </c>
      <c r="AIE3" t="s">
        <v>2151</v>
      </c>
      <c r="AIF3" t="s">
        <v>2159</v>
      </c>
      <c r="AIG3" t="s">
        <v>2123</v>
      </c>
      <c r="AIH3" t="s">
        <v>2193</v>
      </c>
      <c r="AII3" t="s">
        <v>2193</v>
      </c>
      <c r="AIJ3" t="s">
        <v>2193</v>
      </c>
      <c r="AIK3" t="s">
        <v>2153</v>
      </c>
      <c r="AIL3" t="s">
        <v>2153</v>
      </c>
      <c r="AIM3" t="s">
        <v>2153</v>
      </c>
      <c r="AIN3" t="s">
        <v>2194</v>
      </c>
      <c r="AIO3" t="s">
        <v>2194</v>
      </c>
      <c r="AIP3" t="s">
        <v>2193</v>
      </c>
      <c r="AIQ3" t="s">
        <v>2405</v>
      </c>
      <c r="AIR3" t="s">
        <v>2405</v>
      </c>
      <c r="AIS3" t="s">
        <v>2194</v>
      </c>
      <c r="AIT3" t="s">
        <v>2193</v>
      </c>
      <c r="AIU3" t="s">
        <v>2193</v>
      </c>
      <c r="AIV3" t="s">
        <v>2193</v>
      </c>
      <c r="AIW3" t="s">
        <v>2405</v>
      </c>
      <c r="AIX3" t="s">
        <v>2405</v>
      </c>
      <c r="AIY3" t="s">
        <v>2405</v>
      </c>
      <c r="AIZ3" t="s">
        <v>2405</v>
      </c>
      <c r="AJA3" t="s">
        <v>2193</v>
      </c>
      <c r="AJB3" t="s">
        <v>2193</v>
      </c>
      <c r="AJC3" t="s">
        <v>2194</v>
      </c>
      <c r="AJD3" t="s">
        <v>2194</v>
      </c>
      <c r="AJE3" t="s">
        <v>2382</v>
      </c>
      <c r="AJF3" t="s">
        <v>2382</v>
      </c>
      <c r="AJG3" t="s">
        <v>2153</v>
      </c>
      <c r="AJH3" t="s">
        <v>2193</v>
      </c>
      <c r="AJI3" t="s">
        <v>2193</v>
      </c>
      <c r="AJJ3" t="s">
        <v>2193</v>
      </c>
      <c r="AJK3" t="s">
        <v>2193</v>
      </c>
      <c r="AJL3" t="s">
        <v>2165</v>
      </c>
      <c r="AJM3" t="s">
        <v>2193</v>
      </c>
      <c r="AJN3" t="s">
        <v>2193</v>
      </c>
      <c r="AJO3" t="s">
        <v>2193</v>
      </c>
      <c r="AJP3" t="s">
        <v>2194</v>
      </c>
      <c r="AJQ3" t="s">
        <v>2194</v>
      </c>
      <c r="AJR3" t="s">
        <v>2194</v>
      </c>
      <c r="AJS3" t="s">
        <v>2194</v>
      </c>
      <c r="AJT3" t="s">
        <v>2193</v>
      </c>
      <c r="AJU3" t="s">
        <v>2193</v>
      </c>
      <c r="AJV3" t="s">
        <v>2141</v>
      </c>
      <c r="AJW3" t="s">
        <v>2151</v>
      </c>
      <c r="AJX3" t="s">
        <v>2151</v>
      </c>
      <c r="AJY3" t="s">
        <v>2151</v>
      </c>
      <c r="AJZ3" t="s">
        <v>2151</v>
      </c>
      <c r="AKA3" t="s">
        <v>2134</v>
      </c>
      <c r="AKB3" t="s">
        <v>2134</v>
      </c>
      <c r="AKC3" t="s">
        <v>2194</v>
      </c>
      <c r="AKD3" t="s">
        <v>2194</v>
      </c>
      <c r="AKE3" t="s">
        <v>2194</v>
      </c>
      <c r="AKF3" t="s">
        <v>2194</v>
      </c>
      <c r="AKG3" t="s">
        <v>2194</v>
      </c>
      <c r="AKH3" t="s">
        <v>2194</v>
      </c>
      <c r="AKI3" t="s">
        <v>2194</v>
      </c>
      <c r="AKJ3" t="s">
        <v>2194</v>
      </c>
      <c r="AKK3" t="s">
        <v>2151</v>
      </c>
      <c r="AKL3" t="s">
        <v>2153</v>
      </c>
      <c r="AKM3" t="s">
        <v>2194</v>
      </c>
      <c r="AKN3" t="s">
        <v>2194</v>
      </c>
      <c r="AKO3" t="s">
        <v>2194</v>
      </c>
      <c r="AKP3" t="s">
        <v>2194</v>
      </c>
      <c r="AKQ3" t="s">
        <v>2194</v>
      </c>
      <c r="AKR3" t="s">
        <v>2194</v>
      </c>
      <c r="AKS3" t="s">
        <v>2382</v>
      </c>
      <c r="AKT3" t="s">
        <v>2147</v>
      </c>
      <c r="AKU3" t="s">
        <v>2194</v>
      </c>
      <c r="AKV3" t="s">
        <v>2194</v>
      </c>
      <c r="AKW3" t="s">
        <v>2138</v>
      </c>
      <c r="AKX3" t="s">
        <v>2138</v>
      </c>
      <c r="AKY3" t="s">
        <v>2194</v>
      </c>
      <c r="AKZ3" t="s">
        <v>2194</v>
      </c>
      <c r="ALA3" t="s">
        <v>2194</v>
      </c>
      <c r="ALB3" t="s">
        <v>2193</v>
      </c>
      <c r="ALC3" t="s">
        <v>2193</v>
      </c>
      <c r="ALD3" t="s">
        <v>2193</v>
      </c>
      <c r="ALE3" t="s">
        <v>2193</v>
      </c>
      <c r="ALF3" t="s">
        <v>2193</v>
      </c>
      <c r="ALG3" t="s">
        <v>2382</v>
      </c>
      <c r="ALH3" t="s">
        <v>2382</v>
      </c>
      <c r="ALI3" t="s">
        <v>2382</v>
      </c>
      <c r="ALJ3" t="s">
        <v>2382</v>
      </c>
      <c r="ALK3" t="s">
        <v>2194</v>
      </c>
      <c r="ALL3" t="s">
        <v>2194</v>
      </c>
      <c r="ALM3" t="s">
        <v>2194</v>
      </c>
      <c r="ALN3" t="s">
        <v>2194</v>
      </c>
      <c r="ALO3" t="s">
        <v>2194</v>
      </c>
      <c r="ALP3" t="s">
        <v>2194</v>
      </c>
      <c r="ALQ3" t="s">
        <v>2166</v>
      </c>
      <c r="ALR3" t="s">
        <v>2405</v>
      </c>
      <c r="ALS3" t="s">
        <v>2193</v>
      </c>
      <c r="ALT3" t="s">
        <v>2193</v>
      </c>
      <c r="ALU3" t="s">
        <v>2193</v>
      </c>
      <c r="ALV3" t="s">
        <v>2193</v>
      </c>
      <c r="ALW3" t="s">
        <v>2193</v>
      </c>
      <c r="ALX3" t="s">
        <v>2193</v>
      </c>
      <c r="ALY3" t="s">
        <v>2193</v>
      </c>
      <c r="ALZ3" t="s">
        <v>2193</v>
      </c>
      <c r="AMA3" t="s">
        <v>2193</v>
      </c>
      <c r="AMB3" t="s">
        <v>2193</v>
      </c>
      <c r="AMC3" t="s">
        <v>2194</v>
      </c>
      <c r="AMD3" t="s">
        <v>2193</v>
      </c>
      <c r="AME3" t="s">
        <v>2193</v>
      </c>
      <c r="AMF3" t="s">
        <v>2127</v>
      </c>
      <c r="AMG3" t="s">
        <v>2138</v>
      </c>
      <c r="AMH3" t="s">
        <v>2138</v>
      </c>
      <c r="AMI3" t="s">
        <v>2405</v>
      </c>
      <c r="AMJ3" t="s">
        <v>2405</v>
      </c>
      <c r="AMK3" t="s">
        <v>2193</v>
      </c>
      <c r="AML3" t="s">
        <v>2194</v>
      </c>
      <c r="AMM3" t="s">
        <v>2194</v>
      </c>
      <c r="AMN3" t="s">
        <v>2194</v>
      </c>
      <c r="AMO3" t="s">
        <v>2193</v>
      </c>
      <c r="AMP3" t="s">
        <v>2193</v>
      </c>
      <c r="AMQ3" t="s">
        <v>2194</v>
      </c>
      <c r="AMR3" t="s">
        <v>2405</v>
      </c>
      <c r="AMS3" t="s">
        <v>2405</v>
      </c>
      <c r="AMT3" t="s">
        <v>2194</v>
      </c>
      <c r="AMU3" t="s">
        <v>2194</v>
      </c>
      <c r="AMV3" t="s">
        <v>2194</v>
      </c>
      <c r="AMW3" t="s">
        <v>2123</v>
      </c>
      <c r="AMX3" t="s">
        <v>2405</v>
      </c>
      <c r="AMY3" t="s">
        <v>2193</v>
      </c>
      <c r="AMZ3" t="s">
        <v>2193</v>
      </c>
      <c r="ANA3" t="s">
        <v>2193</v>
      </c>
      <c r="ANB3" t="s">
        <v>2193</v>
      </c>
      <c r="ANC3" t="s">
        <v>2193</v>
      </c>
      <c r="AND3" t="s">
        <v>2193</v>
      </c>
      <c r="ANE3" t="s">
        <v>2193</v>
      </c>
      <c r="ANF3" t="s">
        <v>2405</v>
      </c>
      <c r="ANG3" t="s">
        <v>2193</v>
      </c>
      <c r="ANH3" t="s">
        <v>2194</v>
      </c>
      <c r="ANI3" t="s">
        <v>2194</v>
      </c>
      <c r="ANJ3" t="s">
        <v>2194</v>
      </c>
      <c r="ANK3" t="s">
        <v>2194</v>
      </c>
      <c r="ANL3" t="s">
        <v>2194</v>
      </c>
      <c r="ANM3" t="s">
        <v>2194</v>
      </c>
      <c r="ANN3" t="s">
        <v>2194</v>
      </c>
      <c r="ANO3" t="s">
        <v>2194</v>
      </c>
      <c r="ANP3" t="s">
        <v>2405</v>
      </c>
      <c r="ANQ3" t="s">
        <v>2405</v>
      </c>
      <c r="ANR3" t="s">
        <v>2405</v>
      </c>
      <c r="ANS3" t="s">
        <v>2123</v>
      </c>
      <c r="ANT3" t="s">
        <v>2194</v>
      </c>
      <c r="ANU3" t="s">
        <v>2194</v>
      </c>
      <c r="ANV3" t="s">
        <v>2405</v>
      </c>
      <c r="ANW3" t="s">
        <v>2405</v>
      </c>
      <c r="ANX3" t="s">
        <v>2193</v>
      </c>
      <c r="ANY3" t="s">
        <v>2193</v>
      </c>
      <c r="ANZ3" t="s">
        <v>2193</v>
      </c>
      <c r="AOA3" t="s">
        <v>2193</v>
      </c>
      <c r="AOB3" t="s">
        <v>2193</v>
      </c>
      <c r="AOC3" t="s">
        <v>2405</v>
      </c>
      <c r="AOD3" t="s">
        <v>2194</v>
      </c>
      <c r="AOE3" t="s">
        <v>2194</v>
      </c>
      <c r="AOF3" t="s">
        <v>2193</v>
      </c>
      <c r="AOG3" t="s">
        <v>2122</v>
      </c>
      <c r="AOH3" t="s">
        <v>2122</v>
      </c>
      <c r="AOI3" t="s">
        <v>2122</v>
      </c>
      <c r="AOJ3" t="s">
        <v>2193</v>
      </c>
      <c r="AOK3" t="s">
        <v>2194</v>
      </c>
      <c r="AOL3" t="s">
        <v>2194</v>
      </c>
      <c r="AOM3" t="s">
        <v>2194</v>
      </c>
      <c r="AON3" t="s">
        <v>2194</v>
      </c>
      <c r="AOO3" t="s">
        <v>2405</v>
      </c>
      <c r="AOP3" t="s">
        <v>2405</v>
      </c>
      <c r="AOQ3" t="s">
        <v>2194</v>
      </c>
      <c r="AOR3" t="s">
        <v>2138</v>
      </c>
      <c r="AOS3" t="s">
        <v>2138</v>
      </c>
      <c r="AOT3" t="s">
        <v>2194</v>
      </c>
      <c r="AOU3" t="s">
        <v>2144</v>
      </c>
      <c r="AOV3" t="s">
        <v>2193</v>
      </c>
      <c r="AOW3" t="s">
        <v>2193</v>
      </c>
      <c r="AOX3" t="s">
        <v>2193</v>
      </c>
      <c r="AOY3" t="s">
        <v>2167</v>
      </c>
      <c r="AOZ3" t="s">
        <v>2166</v>
      </c>
      <c r="APA3" t="s">
        <v>2168</v>
      </c>
      <c r="APB3" t="s">
        <v>2168</v>
      </c>
      <c r="APC3" t="s">
        <v>2168</v>
      </c>
      <c r="APD3" t="s">
        <v>2126</v>
      </c>
      <c r="APE3" t="s">
        <v>2126</v>
      </c>
      <c r="APF3" t="s">
        <v>2153</v>
      </c>
      <c r="APG3" t="s">
        <v>2153</v>
      </c>
      <c r="APH3" t="s">
        <v>2194</v>
      </c>
      <c r="API3" t="s">
        <v>2194</v>
      </c>
      <c r="APJ3" t="s">
        <v>2194</v>
      </c>
      <c r="APK3" t="s">
        <v>2153</v>
      </c>
      <c r="APL3" t="s">
        <v>2193</v>
      </c>
      <c r="APM3" t="s">
        <v>2193</v>
      </c>
      <c r="APN3" t="s">
        <v>2193</v>
      </c>
      <c r="APO3" t="s">
        <v>2193</v>
      </c>
      <c r="APP3" t="s">
        <v>2405</v>
      </c>
      <c r="APQ3" t="s">
        <v>2405</v>
      </c>
      <c r="APR3" t="s">
        <v>2405</v>
      </c>
      <c r="APS3" t="s">
        <v>2405</v>
      </c>
      <c r="APT3" t="s">
        <v>2122</v>
      </c>
      <c r="APU3" t="s">
        <v>2193</v>
      </c>
      <c r="APV3" t="s">
        <v>2194</v>
      </c>
      <c r="APW3" t="s">
        <v>2194</v>
      </c>
      <c r="APX3" t="s">
        <v>2129</v>
      </c>
      <c r="APY3" t="s">
        <v>2193</v>
      </c>
      <c r="APZ3" t="s">
        <v>2193</v>
      </c>
      <c r="AQA3" t="s">
        <v>2193</v>
      </c>
      <c r="AQB3" t="s">
        <v>2193</v>
      </c>
      <c r="AQC3" t="s">
        <v>2139</v>
      </c>
      <c r="AQD3" t="s">
        <v>2139</v>
      </c>
      <c r="AQE3" t="s">
        <v>2139</v>
      </c>
      <c r="AQF3" t="s">
        <v>2127</v>
      </c>
      <c r="AQG3" t="s">
        <v>2193</v>
      </c>
      <c r="AQH3" t="s">
        <v>2193</v>
      </c>
      <c r="AQI3" t="s">
        <v>2144</v>
      </c>
      <c r="AQJ3" t="s">
        <v>2144</v>
      </c>
      <c r="AQK3" t="s">
        <v>2154</v>
      </c>
      <c r="AQL3" t="s">
        <v>2154</v>
      </c>
      <c r="AQM3" t="s">
        <v>2154</v>
      </c>
      <c r="AQN3" t="s">
        <v>2154</v>
      </c>
      <c r="AQO3" t="s">
        <v>2154</v>
      </c>
      <c r="AQP3" t="s">
        <v>2154</v>
      </c>
      <c r="AQQ3" t="s">
        <v>2405</v>
      </c>
      <c r="AQR3" t="s">
        <v>2405</v>
      </c>
      <c r="AQS3" t="s">
        <v>2405</v>
      </c>
      <c r="AQT3" t="s">
        <v>2194</v>
      </c>
      <c r="AQU3" t="s">
        <v>2194</v>
      </c>
      <c r="AQV3" t="s">
        <v>2194</v>
      </c>
      <c r="AQW3" t="s">
        <v>2405</v>
      </c>
      <c r="AQX3" t="s">
        <v>2193</v>
      </c>
      <c r="AQY3" t="s">
        <v>2193</v>
      </c>
      <c r="AQZ3" t="s">
        <v>2405</v>
      </c>
      <c r="ARA3" t="s">
        <v>2405</v>
      </c>
      <c r="ARB3" t="s">
        <v>2405</v>
      </c>
      <c r="ARC3" t="s">
        <v>2405</v>
      </c>
      <c r="ARD3" t="s">
        <v>2144</v>
      </c>
      <c r="ARE3" t="s">
        <v>2144</v>
      </c>
      <c r="ARF3" t="s">
        <v>2144</v>
      </c>
      <c r="ARG3" t="s">
        <v>2194</v>
      </c>
      <c r="ARH3" t="s">
        <v>2193</v>
      </c>
      <c r="ARI3" t="s">
        <v>2193</v>
      </c>
      <c r="ARJ3" t="s">
        <v>2193</v>
      </c>
      <c r="ARK3" t="s">
        <v>2193</v>
      </c>
      <c r="ARL3" t="s">
        <v>2193</v>
      </c>
      <c r="ARM3" t="s">
        <v>2193</v>
      </c>
      <c r="ARN3" t="s">
        <v>2193</v>
      </c>
      <c r="ARO3" t="s">
        <v>2123</v>
      </c>
      <c r="ARP3" t="s">
        <v>2122</v>
      </c>
      <c r="ARQ3" t="s">
        <v>2122</v>
      </c>
      <c r="ARR3" t="s">
        <v>2194</v>
      </c>
      <c r="ARS3" t="s">
        <v>2193</v>
      </c>
      <c r="ART3" t="s">
        <v>2194</v>
      </c>
      <c r="ARU3" t="s">
        <v>2194</v>
      </c>
      <c r="ARV3" t="s">
        <v>2193</v>
      </c>
      <c r="ARW3" t="s">
        <v>2193</v>
      </c>
      <c r="ARX3" t="s">
        <v>2193</v>
      </c>
      <c r="ARY3" t="s">
        <v>2169</v>
      </c>
      <c r="ARZ3" t="s">
        <v>2169</v>
      </c>
      <c r="ASA3" t="s">
        <v>2194</v>
      </c>
      <c r="ASB3" t="s">
        <v>2194</v>
      </c>
      <c r="ASC3" t="s">
        <v>2405</v>
      </c>
      <c r="ASD3" t="s">
        <v>2405</v>
      </c>
      <c r="ASE3" t="s">
        <v>2405</v>
      </c>
      <c r="ASF3" t="s">
        <v>2194</v>
      </c>
      <c r="ASG3" t="s">
        <v>2127</v>
      </c>
      <c r="ASH3" t="s">
        <v>2127</v>
      </c>
      <c r="ASI3" t="s">
        <v>2127</v>
      </c>
      <c r="ASJ3" t="s">
        <v>2193</v>
      </c>
      <c r="ASK3" t="s">
        <v>2194</v>
      </c>
      <c r="ASL3" t="s">
        <v>2194</v>
      </c>
      <c r="ASM3" t="s">
        <v>2194</v>
      </c>
      <c r="ASN3" t="s">
        <v>2194</v>
      </c>
      <c r="ASO3" t="s">
        <v>2194</v>
      </c>
      <c r="ASP3" t="s">
        <v>2151</v>
      </c>
      <c r="ASQ3" t="s">
        <v>2151</v>
      </c>
      <c r="ASR3" t="s">
        <v>2394</v>
      </c>
      <c r="ASS3" t="s">
        <v>2394</v>
      </c>
      <c r="AST3" t="s">
        <v>2193</v>
      </c>
      <c r="ASU3" t="s">
        <v>2193</v>
      </c>
      <c r="ASV3" t="s">
        <v>2193</v>
      </c>
      <c r="ASW3" t="s">
        <v>2193</v>
      </c>
      <c r="ASX3" t="s">
        <v>2193</v>
      </c>
      <c r="ASY3" t="s">
        <v>2194</v>
      </c>
      <c r="ASZ3" t="s">
        <v>2194</v>
      </c>
      <c r="ATA3" t="s">
        <v>2194</v>
      </c>
      <c r="ATB3" t="s">
        <v>2194</v>
      </c>
      <c r="ATC3" t="s">
        <v>2194</v>
      </c>
      <c r="ATD3" t="s">
        <v>2194</v>
      </c>
      <c r="ATE3" t="s">
        <v>2194</v>
      </c>
      <c r="ATF3" t="s">
        <v>2194</v>
      </c>
      <c r="ATG3" t="s">
        <v>2151</v>
      </c>
      <c r="ATH3" t="s">
        <v>2194</v>
      </c>
      <c r="ATI3" t="s">
        <v>2194</v>
      </c>
      <c r="ATJ3" t="s">
        <v>2194</v>
      </c>
      <c r="ATK3" t="s">
        <v>2194</v>
      </c>
      <c r="ATL3" t="s">
        <v>2154</v>
      </c>
      <c r="ATM3" t="s">
        <v>2154</v>
      </c>
      <c r="ATN3" t="s">
        <v>2170</v>
      </c>
      <c r="ATO3" t="s">
        <v>2194</v>
      </c>
      <c r="ATP3" t="s">
        <v>2194</v>
      </c>
      <c r="ATQ3" t="s">
        <v>2194</v>
      </c>
      <c r="ATR3" t="s">
        <v>2194</v>
      </c>
      <c r="ATS3" t="s">
        <v>2171</v>
      </c>
      <c r="ATT3" t="s">
        <v>2171</v>
      </c>
      <c r="ATU3" t="s">
        <v>2171</v>
      </c>
      <c r="ATV3" t="s">
        <v>2171</v>
      </c>
      <c r="ATW3" t="s">
        <v>2194</v>
      </c>
      <c r="ATX3" t="s">
        <v>2194</v>
      </c>
      <c r="ATY3" t="s">
        <v>2142</v>
      </c>
      <c r="ATZ3" t="s">
        <v>2142</v>
      </c>
      <c r="AUA3" t="s">
        <v>2142</v>
      </c>
      <c r="AUB3" t="s">
        <v>2126</v>
      </c>
      <c r="AUC3" t="s">
        <v>2193</v>
      </c>
      <c r="AUD3" t="s">
        <v>2405</v>
      </c>
      <c r="AUE3" t="s">
        <v>2405</v>
      </c>
      <c r="AUF3" t="s">
        <v>2405</v>
      </c>
      <c r="AUG3" t="s">
        <v>2193</v>
      </c>
      <c r="AUH3" t="s">
        <v>2193</v>
      </c>
      <c r="AUI3" t="s">
        <v>2193</v>
      </c>
      <c r="AUJ3" t="s">
        <v>2193</v>
      </c>
      <c r="AUK3" t="s">
        <v>2194</v>
      </c>
      <c r="AUL3" t="s">
        <v>2194</v>
      </c>
      <c r="AUM3" t="s">
        <v>2194</v>
      </c>
      <c r="AUN3" t="s">
        <v>2194</v>
      </c>
      <c r="AUO3" t="s">
        <v>2194</v>
      </c>
      <c r="AUP3" t="s">
        <v>2194</v>
      </c>
      <c r="AUQ3" t="s">
        <v>2194</v>
      </c>
      <c r="AUR3" t="s">
        <v>2194</v>
      </c>
      <c r="AUS3" t="s">
        <v>2194</v>
      </c>
      <c r="AUT3" t="s">
        <v>2172</v>
      </c>
      <c r="AUU3" t="s">
        <v>2193</v>
      </c>
      <c r="AUV3" t="s">
        <v>2193</v>
      </c>
      <c r="AUW3" t="s">
        <v>2194</v>
      </c>
      <c r="AUX3" t="s">
        <v>2126</v>
      </c>
      <c r="AUY3" t="s">
        <v>2382</v>
      </c>
      <c r="AUZ3" t="s">
        <v>2382</v>
      </c>
      <c r="AVA3" t="s">
        <v>2382</v>
      </c>
      <c r="AVB3" t="s">
        <v>2193</v>
      </c>
      <c r="AVC3" t="s">
        <v>2193</v>
      </c>
      <c r="AVD3" t="s">
        <v>2193</v>
      </c>
      <c r="AVE3" t="s">
        <v>2193</v>
      </c>
      <c r="AVF3" t="s">
        <v>2193</v>
      </c>
      <c r="AVG3" t="s">
        <v>2193</v>
      </c>
      <c r="AVH3" t="s">
        <v>2193</v>
      </c>
      <c r="AVI3" t="s">
        <v>2193</v>
      </c>
      <c r="AVJ3" t="s">
        <v>2193</v>
      </c>
      <c r="AVK3" t="s">
        <v>2194</v>
      </c>
      <c r="AVL3" t="s">
        <v>2194</v>
      </c>
      <c r="AVM3" t="s">
        <v>2405</v>
      </c>
      <c r="AVN3" t="s">
        <v>2122</v>
      </c>
      <c r="AVO3" t="s">
        <v>2193</v>
      </c>
      <c r="AVP3" t="s">
        <v>2193</v>
      </c>
      <c r="AVQ3" t="s">
        <v>2139</v>
      </c>
      <c r="AVR3" t="s">
        <v>2139</v>
      </c>
      <c r="AVS3" t="s">
        <v>2121</v>
      </c>
      <c r="AVT3" t="s">
        <v>2121</v>
      </c>
      <c r="AVU3" t="s">
        <v>2121</v>
      </c>
      <c r="AVV3" t="s">
        <v>2121</v>
      </c>
      <c r="AVW3" t="s">
        <v>2405</v>
      </c>
      <c r="AVX3" t="s">
        <v>2405</v>
      </c>
      <c r="AVY3" t="s">
        <v>2194</v>
      </c>
      <c r="AVZ3" t="s">
        <v>2194</v>
      </c>
      <c r="AWA3" t="s">
        <v>2151</v>
      </c>
      <c r="AWB3" t="s">
        <v>2194</v>
      </c>
      <c r="AWC3" t="s">
        <v>2194</v>
      </c>
      <c r="AWD3" t="s">
        <v>2126</v>
      </c>
      <c r="AWE3" t="s">
        <v>2126</v>
      </c>
      <c r="AWF3" t="s">
        <v>2126</v>
      </c>
      <c r="AWG3" t="s">
        <v>2194</v>
      </c>
      <c r="AWH3" t="s">
        <v>2194</v>
      </c>
      <c r="AWI3" t="s">
        <v>2193</v>
      </c>
      <c r="AWJ3" t="s">
        <v>2193</v>
      </c>
      <c r="AWK3" t="s">
        <v>2193</v>
      </c>
      <c r="AWL3" t="s">
        <v>2149</v>
      </c>
      <c r="AWM3" t="s">
        <v>2151</v>
      </c>
      <c r="AWN3" t="s">
        <v>2151</v>
      </c>
      <c r="AWO3" t="s">
        <v>2194</v>
      </c>
      <c r="AWP3" t="s">
        <v>2193</v>
      </c>
      <c r="AWQ3" t="s">
        <v>2193</v>
      </c>
      <c r="AWR3" t="s">
        <v>2193</v>
      </c>
      <c r="AWS3" t="s">
        <v>2193</v>
      </c>
      <c r="AWT3" t="s">
        <v>2173</v>
      </c>
      <c r="AWU3" t="s">
        <v>2194</v>
      </c>
      <c r="AWV3" t="s">
        <v>2174</v>
      </c>
      <c r="AWW3" t="s">
        <v>2174</v>
      </c>
      <c r="AWX3" t="s">
        <v>2193</v>
      </c>
      <c r="AWY3" t="s">
        <v>2175</v>
      </c>
      <c r="AWZ3" t="s">
        <v>2193</v>
      </c>
      <c r="AXA3" t="s">
        <v>2193</v>
      </c>
      <c r="AXB3" t="s">
        <v>2193</v>
      </c>
      <c r="AXC3" t="s">
        <v>2194</v>
      </c>
      <c r="AXD3" t="s">
        <v>2194</v>
      </c>
      <c r="AXE3" t="s">
        <v>2194</v>
      </c>
      <c r="AXF3" t="s">
        <v>2176</v>
      </c>
      <c r="AXG3" t="s">
        <v>2194</v>
      </c>
      <c r="AXH3" t="s">
        <v>2144</v>
      </c>
      <c r="AXI3" t="s">
        <v>2177</v>
      </c>
      <c r="AXJ3" t="s">
        <v>2177</v>
      </c>
      <c r="AXK3" t="s">
        <v>2382</v>
      </c>
      <c r="AXL3" t="s">
        <v>2193</v>
      </c>
      <c r="AXM3" t="s">
        <v>2193</v>
      </c>
      <c r="AXN3" t="s">
        <v>2193</v>
      </c>
      <c r="AXO3" t="s">
        <v>2151</v>
      </c>
      <c r="AXP3" t="s">
        <v>2151</v>
      </c>
      <c r="AXQ3" t="s">
        <v>2194</v>
      </c>
      <c r="AXR3" t="s">
        <v>2193</v>
      </c>
      <c r="AXS3" t="s">
        <v>2193</v>
      </c>
      <c r="AXT3" t="s">
        <v>2194</v>
      </c>
      <c r="AXU3" t="s">
        <v>2194</v>
      </c>
      <c r="AXV3" t="s">
        <v>2193</v>
      </c>
      <c r="AXW3" t="s">
        <v>2194</v>
      </c>
      <c r="AXX3" t="s">
        <v>2193</v>
      </c>
      <c r="AXY3" t="s">
        <v>2193</v>
      </c>
      <c r="AXZ3" t="s">
        <v>2193</v>
      </c>
      <c r="AYA3" t="s">
        <v>2178</v>
      </c>
      <c r="AYB3" t="s">
        <v>2174</v>
      </c>
      <c r="AYC3" t="s">
        <v>2147</v>
      </c>
      <c r="AYD3" t="s">
        <v>2147</v>
      </c>
      <c r="AYE3" t="s">
        <v>2147</v>
      </c>
      <c r="AYF3" t="s">
        <v>2474</v>
      </c>
      <c r="AYG3" t="s">
        <v>2474</v>
      </c>
      <c r="AYH3" t="s">
        <v>2194</v>
      </c>
      <c r="AYI3" t="s">
        <v>2194</v>
      </c>
      <c r="AYJ3" t="s">
        <v>2194</v>
      </c>
      <c r="AYK3" t="s">
        <v>2194</v>
      </c>
      <c r="AYL3" t="s">
        <v>2194</v>
      </c>
      <c r="AYM3" t="s">
        <v>2194</v>
      </c>
      <c r="AYN3" t="s">
        <v>2194</v>
      </c>
      <c r="AYO3" t="s">
        <v>2194</v>
      </c>
      <c r="AYP3" t="s">
        <v>2194</v>
      </c>
      <c r="AYQ3" t="s">
        <v>2194</v>
      </c>
      <c r="AYR3" t="s">
        <v>2194</v>
      </c>
      <c r="AYS3" t="s">
        <v>2193</v>
      </c>
      <c r="AYT3" t="s">
        <v>2193</v>
      </c>
      <c r="AYU3" t="s">
        <v>2405</v>
      </c>
      <c r="AYV3" t="s">
        <v>2193</v>
      </c>
      <c r="AYW3" t="s">
        <v>2193</v>
      </c>
      <c r="AYX3" t="s">
        <v>2193</v>
      </c>
      <c r="AYY3" t="s">
        <v>2193</v>
      </c>
      <c r="AYZ3" t="s">
        <v>2193</v>
      </c>
      <c r="AZA3" t="s">
        <v>2166</v>
      </c>
      <c r="AZB3" t="s">
        <v>2193</v>
      </c>
      <c r="AZC3" t="s">
        <v>2193</v>
      </c>
      <c r="AZD3" t="s">
        <v>2193</v>
      </c>
      <c r="AZE3" t="s">
        <v>2193</v>
      </c>
      <c r="AZF3" t="s">
        <v>2193</v>
      </c>
      <c r="AZG3" t="s">
        <v>2193</v>
      </c>
      <c r="AZH3" t="s">
        <v>2153</v>
      </c>
      <c r="AZI3" t="s">
        <v>2153</v>
      </c>
      <c r="AZJ3" t="s">
        <v>2193</v>
      </c>
      <c r="AZK3" t="s">
        <v>2193</v>
      </c>
      <c r="AZL3" t="s">
        <v>2147</v>
      </c>
      <c r="AZM3" t="s">
        <v>2147</v>
      </c>
      <c r="AZN3" t="s">
        <v>2126</v>
      </c>
      <c r="AZO3" t="s">
        <v>2126</v>
      </c>
      <c r="AZP3" t="s">
        <v>2140</v>
      </c>
      <c r="AZQ3" t="s">
        <v>2140</v>
      </c>
      <c r="AZR3" t="s">
        <v>2142</v>
      </c>
      <c r="AZS3" t="s">
        <v>2142</v>
      </c>
      <c r="AZT3" t="s">
        <v>2142</v>
      </c>
      <c r="AZU3" t="s">
        <v>2405</v>
      </c>
      <c r="AZV3" t="s">
        <v>2194</v>
      </c>
      <c r="AZW3" t="s">
        <v>2194</v>
      </c>
      <c r="AZX3" t="s">
        <v>2194</v>
      </c>
      <c r="AZY3" t="s">
        <v>2194</v>
      </c>
      <c r="AZZ3" t="s">
        <v>2405</v>
      </c>
      <c r="BAA3" t="s">
        <v>2405</v>
      </c>
      <c r="BAB3" t="s">
        <v>2194</v>
      </c>
      <c r="BAC3" t="s">
        <v>2194</v>
      </c>
      <c r="BAD3" t="s">
        <v>2194</v>
      </c>
      <c r="BAE3" t="s">
        <v>2194</v>
      </c>
      <c r="BAF3" t="s">
        <v>2474</v>
      </c>
      <c r="BAG3" t="s">
        <v>2474</v>
      </c>
      <c r="BAH3" t="s">
        <v>2193</v>
      </c>
      <c r="BAI3" t="s">
        <v>2194</v>
      </c>
      <c r="BAJ3" t="s">
        <v>2194</v>
      </c>
      <c r="BAK3" t="s">
        <v>2194</v>
      </c>
      <c r="BAL3" t="s">
        <v>2194</v>
      </c>
      <c r="BAM3" t="s">
        <v>2123</v>
      </c>
      <c r="BAN3" t="s">
        <v>2194</v>
      </c>
      <c r="BAO3" t="s">
        <v>2159</v>
      </c>
      <c r="BAP3" t="s">
        <v>2159</v>
      </c>
      <c r="BAQ3" t="s">
        <v>2159</v>
      </c>
      <c r="BAR3" t="s">
        <v>2193</v>
      </c>
      <c r="BAS3" t="s">
        <v>2147</v>
      </c>
      <c r="BAT3" t="s">
        <v>2179</v>
      </c>
      <c r="BAU3" t="s">
        <v>2179</v>
      </c>
      <c r="BAV3" t="s">
        <v>2179</v>
      </c>
      <c r="BAW3" t="s">
        <v>2180</v>
      </c>
      <c r="BAX3" t="s">
        <v>2180</v>
      </c>
      <c r="BAY3" t="s">
        <v>2180</v>
      </c>
      <c r="BAZ3" t="s">
        <v>2123</v>
      </c>
      <c r="BBA3" t="s">
        <v>2123</v>
      </c>
      <c r="BBB3" t="s">
        <v>2123</v>
      </c>
      <c r="BBC3" t="s">
        <v>2123</v>
      </c>
      <c r="BBD3" t="s">
        <v>2193</v>
      </c>
      <c r="BBE3" t="s">
        <v>2193</v>
      </c>
      <c r="BBF3" t="s">
        <v>2138</v>
      </c>
      <c r="BBG3" t="s">
        <v>2181</v>
      </c>
      <c r="BBH3" t="s">
        <v>2405</v>
      </c>
      <c r="BBI3" t="s">
        <v>2405</v>
      </c>
      <c r="BBJ3" t="s">
        <v>2194</v>
      </c>
      <c r="BBK3" t="s">
        <v>2139</v>
      </c>
      <c r="BBL3" t="s">
        <v>2139</v>
      </c>
      <c r="BBM3" t="s">
        <v>2139</v>
      </c>
      <c r="BBN3" t="s">
        <v>2139</v>
      </c>
      <c r="BBO3" t="s">
        <v>2139</v>
      </c>
      <c r="BBP3" t="s">
        <v>2139</v>
      </c>
      <c r="BBQ3" t="s">
        <v>2139</v>
      </c>
      <c r="BBR3" t="s">
        <v>2134</v>
      </c>
      <c r="BBS3" t="s">
        <v>2134</v>
      </c>
      <c r="BBT3" t="s">
        <v>2194</v>
      </c>
      <c r="BBU3" t="s">
        <v>2194</v>
      </c>
      <c r="BBV3" t="s">
        <v>2193</v>
      </c>
      <c r="BBW3" t="s">
        <v>2193</v>
      </c>
      <c r="BBX3" t="s">
        <v>2194</v>
      </c>
      <c r="BBY3" t="s">
        <v>2194</v>
      </c>
      <c r="BBZ3" t="s">
        <v>2194</v>
      </c>
      <c r="BCA3" t="s">
        <v>2193</v>
      </c>
      <c r="BCB3" t="s">
        <v>2194</v>
      </c>
      <c r="BCC3" t="s">
        <v>2194</v>
      </c>
      <c r="BCD3" t="s">
        <v>2194</v>
      </c>
      <c r="BCE3" t="s">
        <v>2194</v>
      </c>
      <c r="BCF3" t="s">
        <v>2194</v>
      </c>
      <c r="BCG3" t="s">
        <v>2193</v>
      </c>
      <c r="BCH3" t="s">
        <v>2193</v>
      </c>
      <c r="BCI3" t="s">
        <v>2194</v>
      </c>
      <c r="BCJ3" t="s">
        <v>2194</v>
      </c>
      <c r="BCK3" t="s">
        <v>2194</v>
      </c>
      <c r="BCL3" t="s">
        <v>2194</v>
      </c>
      <c r="BCM3" t="s">
        <v>2194</v>
      </c>
      <c r="BCN3" t="s">
        <v>2194</v>
      </c>
      <c r="BCO3" t="s">
        <v>2194</v>
      </c>
      <c r="BCP3" t="s">
        <v>2194</v>
      </c>
      <c r="BCQ3" t="s">
        <v>2194</v>
      </c>
      <c r="BCR3" t="s">
        <v>2194</v>
      </c>
      <c r="BCS3" t="s">
        <v>2194</v>
      </c>
      <c r="BCT3" t="s">
        <v>2193</v>
      </c>
      <c r="BCU3" t="s">
        <v>2193</v>
      </c>
      <c r="BCV3" t="s">
        <v>2194</v>
      </c>
      <c r="BCW3" t="s">
        <v>2194</v>
      </c>
      <c r="BCX3" t="s">
        <v>2194</v>
      </c>
      <c r="BCY3" t="s">
        <v>2193</v>
      </c>
      <c r="BCZ3" t="s">
        <v>2193</v>
      </c>
      <c r="BDA3" t="s">
        <v>2193</v>
      </c>
      <c r="BDB3" t="s">
        <v>2193</v>
      </c>
      <c r="BDC3" t="s">
        <v>2193</v>
      </c>
      <c r="BDD3" t="s">
        <v>2194</v>
      </c>
      <c r="BDE3" t="s">
        <v>2194</v>
      </c>
      <c r="BDF3" t="s">
        <v>2182</v>
      </c>
      <c r="BDG3" t="s">
        <v>2193</v>
      </c>
      <c r="BDH3" t="s">
        <v>2193</v>
      </c>
      <c r="BDI3" t="s">
        <v>2194</v>
      </c>
      <c r="BDJ3" t="s">
        <v>2194</v>
      </c>
      <c r="BDK3" t="s">
        <v>2194</v>
      </c>
      <c r="BDL3" t="s">
        <v>2194</v>
      </c>
      <c r="BDM3" t="s">
        <v>2193</v>
      </c>
      <c r="BDN3" t="s">
        <v>2183</v>
      </c>
      <c r="BDO3" t="s">
        <v>2474</v>
      </c>
      <c r="BDP3" t="s">
        <v>2194</v>
      </c>
      <c r="BDQ3" t="s">
        <v>2194</v>
      </c>
      <c r="BDR3" t="s">
        <v>2194</v>
      </c>
      <c r="BDS3" t="s">
        <v>2194</v>
      </c>
      <c r="BDT3" t="s">
        <v>2194</v>
      </c>
      <c r="BDU3" t="s">
        <v>2194</v>
      </c>
      <c r="BDV3" t="s">
        <v>2194</v>
      </c>
      <c r="BDW3" t="s">
        <v>2194</v>
      </c>
      <c r="BDX3" t="s">
        <v>2193</v>
      </c>
      <c r="BDY3" t="s">
        <v>2193</v>
      </c>
      <c r="BDZ3" t="s">
        <v>2184</v>
      </c>
      <c r="BEA3" t="s">
        <v>2184</v>
      </c>
      <c r="BEB3" t="s">
        <v>2184</v>
      </c>
      <c r="BEC3" t="s">
        <v>2405</v>
      </c>
      <c r="BED3" t="s">
        <v>2405</v>
      </c>
      <c r="BEE3" t="s">
        <v>2405</v>
      </c>
      <c r="BEF3" t="s">
        <v>2194</v>
      </c>
      <c r="BEG3" t="s">
        <v>2194</v>
      </c>
      <c r="BEH3" t="s">
        <v>2194</v>
      </c>
      <c r="BEI3" t="s">
        <v>2194</v>
      </c>
      <c r="BEJ3" t="s">
        <v>2194</v>
      </c>
      <c r="BEK3" t="s">
        <v>2194</v>
      </c>
      <c r="BEL3" t="s">
        <v>2139</v>
      </c>
      <c r="BEM3" t="s">
        <v>2139</v>
      </c>
      <c r="BEN3" t="s">
        <v>2139</v>
      </c>
      <c r="BEO3" t="s">
        <v>2139</v>
      </c>
      <c r="BEP3" t="s">
        <v>2139</v>
      </c>
      <c r="BEQ3" t="s">
        <v>2139</v>
      </c>
      <c r="BER3" t="s">
        <v>2139</v>
      </c>
      <c r="BES3" t="s">
        <v>2134</v>
      </c>
      <c r="BET3" t="s">
        <v>2382</v>
      </c>
      <c r="BEU3" t="s">
        <v>2194</v>
      </c>
      <c r="BEV3" t="s">
        <v>2193</v>
      </c>
      <c r="BEW3" t="s">
        <v>2193</v>
      </c>
      <c r="BEX3" t="s">
        <v>2193</v>
      </c>
      <c r="BEY3" t="s">
        <v>2474</v>
      </c>
      <c r="BEZ3" t="s">
        <v>2194</v>
      </c>
      <c r="BFA3" t="s">
        <v>2194</v>
      </c>
      <c r="BFB3" t="s">
        <v>2193</v>
      </c>
      <c r="BFC3" t="s">
        <v>2193</v>
      </c>
      <c r="BFD3" t="s">
        <v>2129</v>
      </c>
      <c r="BFE3" t="s">
        <v>2129</v>
      </c>
      <c r="BFF3" t="s">
        <v>2129</v>
      </c>
      <c r="BFG3" t="s">
        <v>2129</v>
      </c>
      <c r="BFH3" t="s">
        <v>2185</v>
      </c>
      <c r="BFI3" t="s">
        <v>2193</v>
      </c>
      <c r="BFJ3" t="s">
        <v>2193</v>
      </c>
      <c r="BFK3" t="s">
        <v>2194</v>
      </c>
      <c r="BFL3" t="s">
        <v>2186</v>
      </c>
      <c r="BFM3" t="s">
        <v>2186</v>
      </c>
      <c r="BFN3" t="s">
        <v>2186</v>
      </c>
      <c r="BFO3" t="s">
        <v>2123</v>
      </c>
      <c r="BFP3" t="s">
        <v>2142</v>
      </c>
      <c r="BFQ3" t="s">
        <v>2124</v>
      </c>
      <c r="BFR3" t="s">
        <v>2124</v>
      </c>
      <c r="BFS3" t="s">
        <v>2124</v>
      </c>
      <c r="BFT3" t="s">
        <v>2124</v>
      </c>
      <c r="BFU3" t="s">
        <v>2405</v>
      </c>
      <c r="BFV3" t="s">
        <v>2194</v>
      </c>
      <c r="BFW3" t="s">
        <v>2382</v>
      </c>
      <c r="BFX3" t="s">
        <v>2382</v>
      </c>
      <c r="BFY3" t="s">
        <v>2405</v>
      </c>
      <c r="BFZ3" t="s">
        <v>2405</v>
      </c>
      <c r="BGA3" t="s">
        <v>2405</v>
      </c>
      <c r="BGB3" t="s">
        <v>2139</v>
      </c>
      <c r="BGC3" t="s">
        <v>2194</v>
      </c>
      <c r="BGD3" t="s">
        <v>2193</v>
      </c>
      <c r="BGE3" t="s">
        <v>2193</v>
      </c>
      <c r="BGF3" t="s">
        <v>2194</v>
      </c>
      <c r="BGG3" t="s">
        <v>2194</v>
      </c>
      <c r="BGH3" t="s">
        <v>2405</v>
      </c>
      <c r="BGI3" t="s">
        <v>2405</v>
      </c>
      <c r="BGJ3" t="s">
        <v>2187</v>
      </c>
      <c r="BGK3" t="s">
        <v>2194</v>
      </c>
      <c r="BGL3" t="s">
        <v>2194</v>
      </c>
      <c r="BGM3" t="s">
        <v>2194</v>
      </c>
      <c r="BGN3" t="s">
        <v>2194</v>
      </c>
      <c r="BGO3" t="s">
        <v>2193</v>
      </c>
      <c r="BGP3" t="s">
        <v>2193</v>
      </c>
      <c r="BGQ3" t="s">
        <v>2193</v>
      </c>
      <c r="BGR3" t="s">
        <v>2405</v>
      </c>
      <c r="BGS3" t="s">
        <v>2405</v>
      </c>
      <c r="BGT3" t="s">
        <v>2405</v>
      </c>
      <c r="BGU3" t="s">
        <v>2194</v>
      </c>
      <c r="BGV3" t="s">
        <v>2194</v>
      </c>
      <c r="BGW3" t="s">
        <v>2123</v>
      </c>
      <c r="BGX3" t="s">
        <v>2188</v>
      </c>
      <c r="BGY3" t="s">
        <v>2193</v>
      </c>
    </row>
    <row r="4" spans="1:1559" ht="26.4" x14ac:dyDescent="0.25">
      <c r="A4" t="str">
        <f t="shared" si="0"/>
        <v>Capa</v>
      </c>
      <c r="B4" t="s">
        <v>2196</v>
      </c>
      <c r="C4" t="s">
        <v>8</v>
      </c>
      <c r="D4" t="s">
        <v>9</v>
      </c>
      <c r="E4" s="2">
        <v>268614</v>
      </c>
      <c r="H4" t="s">
        <v>2191</v>
      </c>
      <c r="I4" t="s">
        <v>4</v>
      </c>
      <c r="J4" t="s">
        <v>4</v>
      </c>
      <c r="K4" t="s">
        <v>2196</v>
      </c>
      <c r="L4" t="s">
        <v>2196</v>
      </c>
      <c r="M4" t="s">
        <v>12</v>
      </c>
      <c r="N4" t="s">
        <v>12</v>
      </c>
      <c r="O4" t="s">
        <v>16</v>
      </c>
      <c r="P4" t="s">
        <v>16</v>
      </c>
      <c r="Q4" t="s">
        <v>19</v>
      </c>
      <c r="R4" t="s">
        <v>2406</v>
      </c>
      <c r="S4" t="s">
        <v>22</v>
      </c>
      <c r="T4" t="s">
        <v>22</v>
      </c>
      <c r="U4" t="s">
        <v>2383</v>
      </c>
      <c r="V4" t="s">
        <v>2383</v>
      </c>
      <c r="W4" t="s">
        <v>2383</v>
      </c>
      <c r="X4" t="s">
        <v>31</v>
      </c>
      <c r="Y4" t="s">
        <v>31</v>
      </c>
      <c r="Z4" t="s">
        <v>2197</v>
      </c>
      <c r="AA4" t="s">
        <v>2197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43</v>
      </c>
      <c r="AH4" t="s">
        <v>2395</v>
      </c>
      <c r="AI4" t="s">
        <v>2198</v>
      </c>
      <c r="AJ4" t="s">
        <v>2198</v>
      </c>
      <c r="AK4" t="s">
        <v>2198</v>
      </c>
      <c r="AL4" t="s">
        <v>2198</v>
      </c>
      <c r="AM4" t="s">
        <v>2198</v>
      </c>
      <c r="AN4" t="s">
        <v>2199</v>
      </c>
      <c r="AO4" t="s">
        <v>2199</v>
      </c>
      <c r="AP4" t="s">
        <v>2199</v>
      </c>
      <c r="AQ4" t="s">
        <v>2407</v>
      </c>
      <c r="AR4" t="s">
        <v>2407</v>
      </c>
      <c r="AS4" t="s">
        <v>2407</v>
      </c>
      <c r="AT4" t="s">
        <v>2407</v>
      </c>
      <c r="AU4" t="s">
        <v>2396</v>
      </c>
      <c r="AV4" t="s">
        <v>2200</v>
      </c>
      <c r="AW4" t="s">
        <v>2200</v>
      </c>
      <c r="AX4" t="s">
        <v>2201</v>
      </c>
      <c r="AY4" t="s">
        <v>2201</v>
      </c>
      <c r="AZ4" t="s">
        <v>2201</v>
      </c>
      <c r="BA4" t="s">
        <v>2202</v>
      </c>
      <c r="BB4" t="s">
        <v>2202</v>
      </c>
      <c r="BC4" t="s">
        <v>2203</v>
      </c>
      <c r="BD4" t="s">
        <v>2203</v>
      </c>
      <c r="BE4" t="s">
        <v>2203</v>
      </c>
      <c r="BF4" t="s">
        <v>2203</v>
      </c>
      <c r="BG4" t="s">
        <v>2203</v>
      </c>
      <c r="BH4" t="s">
        <v>2203</v>
      </c>
      <c r="BI4" t="s">
        <v>2203</v>
      </c>
      <c r="BJ4" t="s">
        <v>80</v>
      </c>
      <c r="BK4" s="4" t="s">
        <v>2473</v>
      </c>
      <c r="BL4" t="s">
        <v>83</v>
      </c>
      <c r="BM4" t="s">
        <v>83</v>
      </c>
      <c r="BN4" t="s">
        <v>83</v>
      </c>
      <c r="BO4" t="s">
        <v>83</v>
      </c>
      <c r="BP4" t="s">
        <v>83</v>
      </c>
      <c r="BQ4" t="s">
        <v>83</v>
      </c>
      <c r="BR4" t="s">
        <v>2204</v>
      </c>
      <c r="BS4" t="s">
        <v>2475</v>
      </c>
      <c r="BT4" t="s">
        <v>2475</v>
      </c>
      <c r="BU4" t="s">
        <v>2475</v>
      </c>
      <c r="BV4" t="s">
        <v>2205</v>
      </c>
      <c r="BW4" t="s">
        <v>2205</v>
      </c>
      <c r="BX4" t="s">
        <v>2205</v>
      </c>
      <c r="BY4" t="s">
        <v>2205</v>
      </c>
      <c r="BZ4" t="s">
        <v>2205</v>
      </c>
      <c r="CA4" t="s">
        <v>2205</v>
      </c>
      <c r="CB4" t="s">
        <v>2205</v>
      </c>
      <c r="CC4" t="s">
        <v>102</v>
      </c>
      <c r="CD4" t="s">
        <v>102</v>
      </c>
      <c r="CE4" t="s">
        <v>102</v>
      </c>
      <c r="CF4" t="s">
        <v>102</v>
      </c>
      <c r="CG4" t="s">
        <v>107</v>
      </c>
      <c r="CH4" t="s">
        <v>109</v>
      </c>
      <c r="CI4" t="s">
        <v>109</v>
      </c>
      <c r="CJ4" t="s">
        <v>109</v>
      </c>
      <c r="CK4" t="s">
        <v>109</v>
      </c>
      <c r="CL4" t="s">
        <v>109</v>
      </c>
      <c r="CM4" t="s">
        <v>109</v>
      </c>
      <c r="CN4" t="s">
        <v>109</v>
      </c>
      <c r="CO4" t="s">
        <v>118</v>
      </c>
      <c r="CP4" t="s">
        <v>120</v>
      </c>
      <c r="CQ4" t="s">
        <v>120</v>
      </c>
      <c r="CR4" t="s">
        <v>2206</v>
      </c>
      <c r="CS4" t="s">
        <v>2206</v>
      </c>
      <c r="CT4" t="s">
        <v>2207</v>
      </c>
      <c r="CU4" t="s">
        <v>2207</v>
      </c>
      <c r="CV4" t="s">
        <v>2207</v>
      </c>
      <c r="CW4" t="s">
        <v>129</v>
      </c>
      <c r="CX4" t="s">
        <v>129</v>
      </c>
      <c r="CY4" t="s">
        <v>129</v>
      </c>
      <c r="CZ4" t="s">
        <v>129</v>
      </c>
      <c r="DA4" t="s">
        <v>129</v>
      </c>
      <c r="DB4" t="s">
        <v>129</v>
      </c>
      <c r="DC4" t="s">
        <v>129</v>
      </c>
      <c r="DD4" t="s">
        <v>2208</v>
      </c>
      <c r="DE4" t="s">
        <v>141</v>
      </c>
      <c r="DF4" t="s">
        <v>144</v>
      </c>
      <c r="DG4" t="s">
        <v>2209</v>
      </c>
      <c r="DH4" t="s">
        <v>2209</v>
      </c>
      <c r="DI4" t="s">
        <v>2209</v>
      </c>
      <c r="DJ4" t="s">
        <v>2384</v>
      </c>
      <c r="DK4" t="s">
        <v>2384</v>
      </c>
      <c r="DL4" t="s">
        <v>2384</v>
      </c>
      <c r="DM4" t="s">
        <v>2210</v>
      </c>
      <c r="DN4" t="s">
        <v>2210</v>
      </c>
      <c r="DO4" t="s">
        <v>2210</v>
      </c>
      <c r="DP4" t="s">
        <v>2211</v>
      </c>
      <c r="DQ4" t="s">
        <v>2211</v>
      </c>
      <c r="DR4" t="s">
        <v>159</v>
      </c>
      <c r="DS4" t="s">
        <v>2212</v>
      </c>
      <c r="DT4" t="s">
        <v>2212</v>
      </c>
      <c r="DU4" t="s">
        <v>163</v>
      </c>
      <c r="DV4" t="s">
        <v>163</v>
      </c>
      <c r="DW4" t="s">
        <v>2213</v>
      </c>
      <c r="DX4" t="s">
        <v>2213</v>
      </c>
      <c r="DY4" t="s">
        <v>2213</v>
      </c>
      <c r="DZ4" t="s">
        <v>2213</v>
      </c>
      <c r="EA4" t="s">
        <v>2213</v>
      </c>
      <c r="EB4" t="s">
        <v>171</v>
      </c>
      <c r="EC4" t="s">
        <v>173</v>
      </c>
      <c r="ED4" t="s">
        <v>175</v>
      </c>
      <c r="EE4" t="s">
        <v>175</v>
      </c>
      <c r="EF4" t="s">
        <v>179</v>
      </c>
      <c r="EG4" t="s">
        <v>181</v>
      </c>
      <c r="EH4" t="s">
        <v>183</v>
      </c>
      <c r="EI4" t="s">
        <v>183</v>
      </c>
      <c r="EJ4" t="s">
        <v>2214</v>
      </c>
      <c r="EK4" t="s">
        <v>2214</v>
      </c>
      <c r="EL4" t="s">
        <v>190</v>
      </c>
      <c r="EM4" t="s">
        <v>2215</v>
      </c>
      <c r="EN4" t="s">
        <v>2215</v>
      </c>
      <c r="EO4" t="s">
        <v>2216</v>
      </c>
      <c r="EP4" t="s">
        <v>2216</v>
      </c>
      <c r="EQ4" t="s">
        <v>2216</v>
      </c>
      <c r="ER4" t="s">
        <v>2408</v>
      </c>
      <c r="ES4" t="s">
        <v>2408</v>
      </c>
      <c r="ET4" t="s">
        <v>2408</v>
      </c>
      <c r="EU4" t="s">
        <v>2408</v>
      </c>
      <c r="EV4" t="s">
        <v>201</v>
      </c>
      <c r="EW4" t="s">
        <v>2217</v>
      </c>
      <c r="EX4" t="s">
        <v>206</v>
      </c>
      <c r="EY4" t="s">
        <v>209</v>
      </c>
      <c r="EZ4" t="s">
        <v>2218</v>
      </c>
      <c r="FA4" t="s">
        <v>2218</v>
      </c>
      <c r="FB4" t="s">
        <v>213</v>
      </c>
      <c r="FC4" t="s">
        <v>2409</v>
      </c>
      <c r="FD4" t="s">
        <v>2409</v>
      </c>
      <c r="FE4" t="s">
        <v>2219</v>
      </c>
      <c r="FF4" t="s">
        <v>2219</v>
      </c>
      <c r="FG4" t="s">
        <v>2219</v>
      </c>
      <c r="FH4" t="s">
        <v>2410</v>
      </c>
      <c r="FI4" t="s">
        <v>2410</v>
      </c>
      <c r="FJ4" t="s">
        <v>221</v>
      </c>
      <c r="FK4" t="s">
        <v>221</v>
      </c>
      <c r="FL4" t="s">
        <v>221</v>
      </c>
      <c r="FM4" t="s">
        <v>225</v>
      </c>
      <c r="FN4" t="s">
        <v>225</v>
      </c>
      <c r="FO4" t="s">
        <v>229</v>
      </c>
      <c r="FP4" t="s">
        <v>231</v>
      </c>
      <c r="FQ4" t="s">
        <v>231</v>
      </c>
      <c r="FR4" t="s">
        <v>234</v>
      </c>
      <c r="FS4" t="s">
        <v>234</v>
      </c>
      <c r="FT4" t="s">
        <v>2220</v>
      </c>
      <c r="FU4" t="s">
        <v>2220</v>
      </c>
      <c r="FV4" t="s">
        <v>2220</v>
      </c>
      <c r="FW4" t="s">
        <v>2221</v>
      </c>
      <c r="FX4" t="s">
        <v>2221</v>
      </c>
      <c r="FY4" t="s">
        <v>2221</v>
      </c>
      <c r="FZ4" t="s">
        <v>244</v>
      </c>
      <c r="GA4" t="s">
        <v>246</v>
      </c>
      <c r="GB4" t="s">
        <v>246</v>
      </c>
      <c r="GC4" t="s">
        <v>246</v>
      </c>
      <c r="GD4" t="s">
        <v>2222</v>
      </c>
      <c r="GE4" t="s">
        <v>2222</v>
      </c>
      <c r="GF4" t="s">
        <v>252</v>
      </c>
      <c r="GG4" t="s">
        <v>254</v>
      </c>
      <c r="GH4" t="s">
        <v>256</v>
      </c>
      <c r="GI4" t="s">
        <v>256</v>
      </c>
      <c r="GJ4" t="s">
        <v>259</v>
      </c>
      <c r="GK4" t="s">
        <v>2223</v>
      </c>
      <c r="GL4" t="s">
        <v>2223</v>
      </c>
      <c r="GM4" t="s">
        <v>2223</v>
      </c>
      <c r="GN4" t="s">
        <v>2223</v>
      </c>
      <c r="GO4" t="s">
        <v>265</v>
      </c>
      <c r="GP4" t="s">
        <v>267</v>
      </c>
      <c r="GQ4" t="s">
        <v>2224</v>
      </c>
      <c r="GR4" t="s">
        <v>2397</v>
      </c>
      <c r="GS4" t="s">
        <v>271</v>
      </c>
      <c r="GT4" t="s">
        <v>273</v>
      </c>
      <c r="GU4" t="s">
        <v>2225</v>
      </c>
      <c r="GV4" t="s">
        <v>2225</v>
      </c>
      <c r="GW4" t="s">
        <v>277</v>
      </c>
      <c r="GX4" t="s">
        <v>277</v>
      </c>
      <c r="GY4" t="s">
        <v>280</v>
      </c>
      <c r="GZ4" t="s">
        <v>282</v>
      </c>
      <c r="HA4" t="s">
        <v>282</v>
      </c>
      <c r="HB4" t="s">
        <v>282</v>
      </c>
      <c r="HC4" t="s">
        <v>282</v>
      </c>
      <c r="HD4" t="s">
        <v>287</v>
      </c>
      <c r="HE4" t="s">
        <v>287</v>
      </c>
      <c r="HF4" t="s">
        <v>2226</v>
      </c>
      <c r="HG4" t="s">
        <v>292</v>
      </c>
      <c r="HH4" t="s">
        <v>2411</v>
      </c>
      <c r="HI4" t="s">
        <v>2411</v>
      </c>
      <c r="HJ4" t="s">
        <v>2411</v>
      </c>
      <c r="HK4" t="s">
        <v>2411</v>
      </c>
      <c r="HL4" t="s">
        <v>2411</v>
      </c>
      <c r="HM4" t="s">
        <v>299</v>
      </c>
      <c r="HN4" t="s">
        <v>299</v>
      </c>
      <c r="HO4" t="s">
        <v>302</v>
      </c>
      <c r="HP4" t="s">
        <v>302</v>
      </c>
      <c r="HQ4" t="s">
        <v>305</v>
      </c>
      <c r="HR4" t="s">
        <v>2398</v>
      </c>
      <c r="HS4" t="s">
        <v>308</v>
      </c>
      <c r="HT4" t="s">
        <v>308</v>
      </c>
      <c r="HU4" t="s">
        <v>308</v>
      </c>
      <c r="HV4" t="s">
        <v>312</v>
      </c>
      <c r="HW4" t="s">
        <v>2227</v>
      </c>
      <c r="HX4" t="s">
        <v>2227</v>
      </c>
      <c r="HY4" t="s">
        <v>2227</v>
      </c>
      <c r="HZ4" t="s">
        <v>317</v>
      </c>
      <c r="IA4" t="s">
        <v>317</v>
      </c>
      <c r="IB4" t="s">
        <v>317</v>
      </c>
      <c r="IC4" t="s">
        <v>317</v>
      </c>
      <c r="ID4" t="s">
        <v>323</v>
      </c>
      <c r="IE4" t="s">
        <v>325</v>
      </c>
      <c r="IF4" t="s">
        <v>2412</v>
      </c>
      <c r="IG4" t="s">
        <v>2412</v>
      </c>
      <c r="IH4" t="s">
        <v>2228</v>
      </c>
      <c r="II4" t="s">
        <v>2228</v>
      </c>
      <c r="IJ4" t="s">
        <v>2228</v>
      </c>
      <c r="IK4" t="s">
        <v>2229</v>
      </c>
      <c r="IL4" t="s">
        <v>334</v>
      </c>
      <c r="IM4" t="s">
        <v>334</v>
      </c>
      <c r="IN4" t="s">
        <v>334</v>
      </c>
      <c r="IO4" t="s">
        <v>2230</v>
      </c>
      <c r="IP4" t="s">
        <v>2230</v>
      </c>
      <c r="IQ4" t="s">
        <v>2230</v>
      </c>
      <c r="IR4" t="s">
        <v>342</v>
      </c>
      <c r="IS4" t="s">
        <v>345</v>
      </c>
      <c r="IT4" t="s">
        <v>2231</v>
      </c>
      <c r="IU4" t="s">
        <v>2232</v>
      </c>
      <c r="IV4" t="s">
        <v>349</v>
      </c>
      <c r="IW4" t="s">
        <v>349</v>
      </c>
      <c r="IX4" t="s">
        <v>352</v>
      </c>
      <c r="IY4" t="s">
        <v>354</v>
      </c>
      <c r="IZ4" t="s">
        <v>2399</v>
      </c>
      <c r="JA4" t="s">
        <v>358</v>
      </c>
      <c r="JB4" t="s">
        <v>358</v>
      </c>
      <c r="JC4" t="s">
        <v>361</v>
      </c>
      <c r="JD4" t="s">
        <v>363</v>
      </c>
      <c r="JE4" t="s">
        <v>363</v>
      </c>
      <c r="JF4" t="s">
        <v>366</v>
      </c>
      <c r="JG4" t="s">
        <v>366</v>
      </c>
      <c r="JH4" t="s">
        <v>366</v>
      </c>
      <c r="JI4" t="s">
        <v>366</v>
      </c>
      <c r="JJ4" t="s">
        <v>371</v>
      </c>
      <c r="JK4" t="s">
        <v>371</v>
      </c>
      <c r="JL4" t="s">
        <v>371</v>
      </c>
      <c r="JM4" t="s">
        <v>371</v>
      </c>
      <c r="JN4" t="s">
        <v>371</v>
      </c>
      <c r="JO4" t="s">
        <v>371</v>
      </c>
      <c r="JP4" t="s">
        <v>378</v>
      </c>
      <c r="JQ4" t="s">
        <v>381</v>
      </c>
      <c r="JR4" t="s">
        <v>383</v>
      </c>
      <c r="JS4" t="s">
        <v>383</v>
      </c>
      <c r="JT4" t="s">
        <v>2233</v>
      </c>
      <c r="JU4" t="s">
        <v>2413</v>
      </c>
      <c r="JV4" t="s">
        <v>2234</v>
      </c>
      <c r="JW4" t="s">
        <v>2385</v>
      </c>
      <c r="JX4" t="s">
        <v>2385</v>
      </c>
      <c r="JY4" t="s">
        <v>2385</v>
      </c>
      <c r="JZ4" t="s">
        <v>393</v>
      </c>
      <c r="KA4" t="s">
        <v>393</v>
      </c>
      <c r="KB4" t="s">
        <v>393</v>
      </c>
      <c r="KC4" t="s">
        <v>2235</v>
      </c>
      <c r="KD4" t="s">
        <v>2235</v>
      </c>
      <c r="KE4" t="s">
        <v>399</v>
      </c>
      <c r="KF4" t="s">
        <v>401</v>
      </c>
      <c r="KG4" t="s">
        <v>403</v>
      </c>
      <c r="KH4" t="s">
        <v>403</v>
      </c>
      <c r="KI4" t="s">
        <v>403</v>
      </c>
      <c r="KJ4" t="s">
        <v>403</v>
      </c>
      <c r="KK4" t="s">
        <v>2236</v>
      </c>
      <c r="KL4" t="s">
        <v>2236</v>
      </c>
      <c r="KM4" t="s">
        <v>2236</v>
      </c>
      <c r="KN4" t="s">
        <v>2236</v>
      </c>
      <c r="KO4" t="s">
        <v>412</v>
      </c>
      <c r="KP4" t="s">
        <v>414</v>
      </c>
      <c r="KQ4" t="s">
        <v>414</v>
      </c>
      <c r="KR4" t="s">
        <v>414</v>
      </c>
      <c r="KS4" t="s">
        <v>418</v>
      </c>
      <c r="KT4" t="s">
        <v>418</v>
      </c>
      <c r="KU4" t="s">
        <v>2414</v>
      </c>
      <c r="KV4" t="s">
        <v>2415</v>
      </c>
      <c r="KW4" t="s">
        <v>2415</v>
      </c>
      <c r="KX4" t="s">
        <v>2415</v>
      </c>
      <c r="KY4" t="s">
        <v>2237</v>
      </c>
      <c r="KZ4" t="s">
        <v>2237</v>
      </c>
      <c r="LA4" t="s">
        <v>2237</v>
      </c>
      <c r="LB4" t="s">
        <v>2237</v>
      </c>
      <c r="LC4" t="s">
        <v>2237</v>
      </c>
      <c r="LD4" t="s">
        <v>429</v>
      </c>
      <c r="LE4" t="s">
        <v>429</v>
      </c>
      <c r="LF4" t="s">
        <v>429</v>
      </c>
      <c r="LG4" t="s">
        <v>2238</v>
      </c>
      <c r="LH4" t="s">
        <v>434</v>
      </c>
      <c r="LI4" t="s">
        <v>434</v>
      </c>
      <c r="LJ4" t="s">
        <v>437</v>
      </c>
      <c r="LK4" t="s">
        <v>437</v>
      </c>
      <c r="LL4" t="s">
        <v>437</v>
      </c>
      <c r="LM4" t="s">
        <v>437</v>
      </c>
      <c r="LN4" t="s">
        <v>442</v>
      </c>
      <c r="LO4" t="s">
        <v>442</v>
      </c>
      <c r="LP4" t="s">
        <v>442</v>
      </c>
      <c r="LQ4" t="s">
        <v>446</v>
      </c>
      <c r="LR4" t="s">
        <v>448</v>
      </c>
      <c r="LS4" t="s">
        <v>448</v>
      </c>
      <c r="LT4" t="s">
        <v>2239</v>
      </c>
      <c r="LU4" t="s">
        <v>452</v>
      </c>
      <c r="LV4" t="s">
        <v>454</v>
      </c>
      <c r="LW4" t="s">
        <v>456</v>
      </c>
      <c r="LX4" t="s">
        <v>456</v>
      </c>
      <c r="LY4" t="s">
        <v>459</v>
      </c>
      <c r="LZ4" t="s">
        <v>459</v>
      </c>
      <c r="MA4" t="s">
        <v>462</v>
      </c>
      <c r="MB4" t="s">
        <v>464</v>
      </c>
      <c r="MC4" t="s">
        <v>464</v>
      </c>
      <c r="MD4" t="s">
        <v>464</v>
      </c>
      <c r="ME4" t="s">
        <v>469</v>
      </c>
      <c r="MF4" t="s">
        <v>469</v>
      </c>
      <c r="MG4" t="s">
        <v>472</v>
      </c>
      <c r="MH4" t="s">
        <v>2240</v>
      </c>
      <c r="MI4" t="s">
        <v>476</v>
      </c>
      <c r="MJ4" t="s">
        <v>476</v>
      </c>
      <c r="MK4" t="s">
        <v>476</v>
      </c>
      <c r="ML4" t="s">
        <v>476</v>
      </c>
      <c r="MM4" t="s">
        <v>481</v>
      </c>
      <c r="MN4" t="s">
        <v>481</v>
      </c>
      <c r="MO4" t="s">
        <v>481</v>
      </c>
      <c r="MP4" t="s">
        <v>485</v>
      </c>
      <c r="MQ4" t="s">
        <v>485</v>
      </c>
      <c r="MR4" t="s">
        <v>488</v>
      </c>
      <c r="MS4" t="s">
        <v>490</v>
      </c>
      <c r="MT4" t="s">
        <v>2241</v>
      </c>
      <c r="MU4" t="s">
        <v>2241</v>
      </c>
      <c r="MV4" t="s">
        <v>2241</v>
      </c>
      <c r="MW4" t="s">
        <v>495</v>
      </c>
      <c r="MX4" t="s">
        <v>497</v>
      </c>
      <c r="MY4" t="s">
        <v>497</v>
      </c>
      <c r="MZ4" t="s">
        <v>501</v>
      </c>
      <c r="NA4" t="s">
        <v>501</v>
      </c>
      <c r="NB4" t="s">
        <v>504</v>
      </c>
      <c r="NC4" t="s">
        <v>506</v>
      </c>
      <c r="ND4" t="s">
        <v>2416</v>
      </c>
      <c r="NE4" t="s">
        <v>2416</v>
      </c>
      <c r="NF4" t="s">
        <v>2242</v>
      </c>
      <c r="NG4" t="s">
        <v>513</v>
      </c>
      <c r="NH4" t="s">
        <v>515</v>
      </c>
      <c r="NI4" t="s">
        <v>515</v>
      </c>
      <c r="NJ4" t="s">
        <v>518</v>
      </c>
      <c r="NK4" t="s">
        <v>518</v>
      </c>
      <c r="NL4" t="s">
        <v>2476</v>
      </c>
      <c r="NM4" t="s">
        <v>2476</v>
      </c>
      <c r="NN4" t="s">
        <v>524</v>
      </c>
      <c r="NO4" t="s">
        <v>524</v>
      </c>
      <c r="NP4" t="s">
        <v>527</v>
      </c>
      <c r="NQ4" t="s">
        <v>527</v>
      </c>
      <c r="NR4" t="s">
        <v>530</v>
      </c>
      <c r="NS4" t="s">
        <v>530</v>
      </c>
      <c r="NT4" t="s">
        <v>533</v>
      </c>
      <c r="NU4" t="s">
        <v>535</v>
      </c>
      <c r="NV4" t="s">
        <v>535</v>
      </c>
      <c r="NW4" t="s">
        <v>538</v>
      </c>
      <c r="NX4" t="s">
        <v>538</v>
      </c>
      <c r="NY4" t="s">
        <v>540</v>
      </c>
      <c r="NZ4" t="s">
        <v>540</v>
      </c>
      <c r="OA4" t="s">
        <v>544</v>
      </c>
      <c r="OB4" t="s">
        <v>2243</v>
      </c>
      <c r="OC4" t="s">
        <v>2243</v>
      </c>
      <c r="OD4" t="s">
        <v>2243</v>
      </c>
      <c r="OE4" t="s">
        <v>549</v>
      </c>
      <c r="OF4" t="s">
        <v>549</v>
      </c>
      <c r="OG4" t="s">
        <v>549</v>
      </c>
      <c r="OH4" t="s">
        <v>554</v>
      </c>
      <c r="OI4" t="s">
        <v>2477</v>
      </c>
      <c r="OJ4" t="s">
        <v>2477</v>
      </c>
      <c r="OK4" t="s">
        <v>2244</v>
      </c>
      <c r="OL4" t="s">
        <v>2417</v>
      </c>
      <c r="OM4" t="s">
        <v>2417</v>
      </c>
      <c r="ON4" t="s">
        <v>562</v>
      </c>
      <c r="OO4" t="s">
        <v>562</v>
      </c>
      <c r="OP4" t="s">
        <v>562</v>
      </c>
      <c r="OQ4" t="s">
        <v>562</v>
      </c>
      <c r="OR4" t="s">
        <v>2245</v>
      </c>
      <c r="OS4" t="s">
        <v>2245</v>
      </c>
      <c r="OT4" t="s">
        <v>2245</v>
      </c>
      <c r="OU4" t="s">
        <v>570</v>
      </c>
      <c r="OV4" t="s">
        <v>570</v>
      </c>
      <c r="OW4" t="s">
        <v>2246</v>
      </c>
      <c r="OX4" t="s">
        <v>574</v>
      </c>
      <c r="OY4" t="s">
        <v>574</v>
      </c>
      <c r="OZ4" t="s">
        <v>577</v>
      </c>
      <c r="PA4" t="s">
        <v>577</v>
      </c>
      <c r="PB4" t="s">
        <v>2247</v>
      </c>
      <c r="PC4" t="s">
        <v>2247</v>
      </c>
      <c r="PD4" t="s">
        <v>2247</v>
      </c>
      <c r="PE4" t="s">
        <v>583</v>
      </c>
      <c r="PF4" t="s">
        <v>584</v>
      </c>
      <c r="PG4" t="s">
        <v>2248</v>
      </c>
      <c r="PH4" t="s">
        <v>2248</v>
      </c>
      <c r="PI4" t="s">
        <v>2248</v>
      </c>
      <c r="PJ4" t="s">
        <v>2418</v>
      </c>
      <c r="PK4" t="s">
        <v>2418</v>
      </c>
      <c r="PL4" t="s">
        <v>2418</v>
      </c>
      <c r="PM4" t="s">
        <v>2249</v>
      </c>
      <c r="PN4" t="s">
        <v>2250</v>
      </c>
      <c r="PO4" t="s">
        <v>594</v>
      </c>
      <c r="PP4" t="s">
        <v>596</v>
      </c>
      <c r="PQ4" t="s">
        <v>596</v>
      </c>
      <c r="PR4" t="s">
        <v>596</v>
      </c>
      <c r="PS4" t="s">
        <v>2251</v>
      </c>
      <c r="PT4" t="s">
        <v>2251</v>
      </c>
      <c r="PU4" t="s">
        <v>2419</v>
      </c>
      <c r="PV4" t="s">
        <v>603</v>
      </c>
      <c r="PW4" t="s">
        <v>603</v>
      </c>
      <c r="PX4" t="s">
        <v>603</v>
      </c>
      <c r="PY4" t="s">
        <v>603</v>
      </c>
      <c r="PZ4" t="s">
        <v>607</v>
      </c>
      <c r="QA4" t="s">
        <v>607</v>
      </c>
      <c r="QB4" t="s">
        <v>607</v>
      </c>
      <c r="QC4" t="s">
        <v>607</v>
      </c>
      <c r="QD4" t="s">
        <v>612</v>
      </c>
      <c r="QE4" t="s">
        <v>612</v>
      </c>
      <c r="QF4" t="s">
        <v>615</v>
      </c>
      <c r="QG4" t="s">
        <v>615</v>
      </c>
      <c r="QH4" t="s">
        <v>618</v>
      </c>
      <c r="QI4" t="s">
        <v>2252</v>
      </c>
      <c r="QJ4" t="s">
        <v>2252</v>
      </c>
      <c r="QK4" t="s">
        <v>622</v>
      </c>
      <c r="QL4" t="s">
        <v>2253</v>
      </c>
      <c r="QM4" t="s">
        <v>2253</v>
      </c>
      <c r="QN4" t="s">
        <v>626</v>
      </c>
      <c r="QO4" t="s">
        <v>628</v>
      </c>
      <c r="QP4" t="s">
        <v>2400</v>
      </c>
      <c r="QQ4" t="s">
        <v>2420</v>
      </c>
      <c r="QR4" t="s">
        <v>2420</v>
      </c>
      <c r="QS4" t="s">
        <v>2420</v>
      </c>
      <c r="QT4" t="s">
        <v>2420</v>
      </c>
      <c r="QU4" t="s">
        <v>2420</v>
      </c>
      <c r="QV4" t="s">
        <v>2420</v>
      </c>
      <c r="QW4" t="s">
        <v>2420</v>
      </c>
      <c r="QX4" t="s">
        <v>638</v>
      </c>
      <c r="QY4" t="s">
        <v>640</v>
      </c>
      <c r="QZ4" t="s">
        <v>642</v>
      </c>
      <c r="RA4" t="s">
        <v>644</v>
      </c>
      <c r="RB4" t="s">
        <v>646</v>
      </c>
      <c r="RC4" t="s">
        <v>646</v>
      </c>
      <c r="RD4" t="s">
        <v>646</v>
      </c>
      <c r="RE4" t="s">
        <v>650</v>
      </c>
      <c r="RF4" t="s">
        <v>650</v>
      </c>
      <c r="RG4" t="s">
        <v>654</v>
      </c>
      <c r="RH4" t="s">
        <v>2421</v>
      </c>
      <c r="RI4" t="s">
        <v>657</v>
      </c>
      <c r="RJ4" t="s">
        <v>659</v>
      </c>
      <c r="RK4" t="s">
        <v>659</v>
      </c>
      <c r="RL4" t="s">
        <v>662</v>
      </c>
      <c r="RM4" t="s">
        <v>664</v>
      </c>
      <c r="RN4" t="s">
        <v>664</v>
      </c>
      <c r="RO4" t="s">
        <v>667</v>
      </c>
      <c r="RP4" t="s">
        <v>669</v>
      </c>
      <c r="RQ4" t="s">
        <v>671</v>
      </c>
      <c r="RR4" t="s">
        <v>671</v>
      </c>
      <c r="RS4" t="s">
        <v>671</v>
      </c>
      <c r="RT4" t="s">
        <v>675</v>
      </c>
      <c r="RU4" t="s">
        <v>677</v>
      </c>
      <c r="RV4" t="s">
        <v>677</v>
      </c>
      <c r="RW4" t="s">
        <v>677</v>
      </c>
      <c r="RX4" t="s">
        <v>682</v>
      </c>
      <c r="RY4" t="s">
        <v>2422</v>
      </c>
      <c r="RZ4" t="s">
        <v>2422</v>
      </c>
      <c r="SA4" t="s">
        <v>2422</v>
      </c>
      <c r="SB4" t="s">
        <v>687</v>
      </c>
      <c r="SC4" t="s">
        <v>689</v>
      </c>
      <c r="SD4" t="s">
        <v>689</v>
      </c>
      <c r="SE4" t="s">
        <v>692</v>
      </c>
      <c r="SF4" t="s">
        <v>695</v>
      </c>
      <c r="SG4" t="s">
        <v>697</v>
      </c>
      <c r="SH4" t="s">
        <v>697</v>
      </c>
      <c r="SI4" t="s">
        <v>2254</v>
      </c>
      <c r="SJ4" t="s">
        <v>701</v>
      </c>
      <c r="SK4" t="s">
        <v>701</v>
      </c>
      <c r="SL4" t="s">
        <v>701</v>
      </c>
      <c r="SM4" t="s">
        <v>701</v>
      </c>
      <c r="SN4" t="s">
        <v>701</v>
      </c>
      <c r="SO4" t="s">
        <v>2255</v>
      </c>
      <c r="SP4" t="s">
        <v>708</v>
      </c>
      <c r="SQ4" t="s">
        <v>710</v>
      </c>
      <c r="SR4" t="s">
        <v>710</v>
      </c>
      <c r="SS4" t="s">
        <v>713</v>
      </c>
      <c r="ST4" t="s">
        <v>2256</v>
      </c>
      <c r="SU4" t="s">
        <v>2256</v>
      </c>
      <c r="SV4" t="s">
        <v>717</v>
      </c>
      <c r="SW4" t="s">
        <v>719</v>
      </c>
      <c r="SX4" t="s">
        <v>721</v>
      </c>
      <c r="SY4" t="s">
        <v>723</v>
      </c>
      <c r="SZ4" t="s">
        <v>725</v>
      </c>
      <c r="TA4" t="s">
        <v>727</v>
      </c>
      <c r="TB4" t="s">
        <v>727</v>
      </c>
      <c r="TC4" t="s">
        <v>730</v>
      </c>
      <c r="TD4" t="s">
        <v>732</v>
      </c>
      <c r="TE4" t="s">
        <v>734</v>
      </c>
      <c r="TF4" t="s">
        <v>736</v>
      </c>
      <c r="TG4" t="s">
        <v>736</v>
      </c>
      <c r="TH4" t="s">
        <v>739</v>
      </c>
      <c r="TI4" t="s">
        <v>741</v>
      </c>
      <c r="TJ4" t="s">
        <v>741</v>
      </c>
      <c r="TK4" t="s">
        <v>744</v>
      </c>
      <c r="TL4" t="s">
        <v>744</v>
      </c>
      <c r="TM4" t="s">
        <v>744</v>
      </c>
      <c r="TN4" t="s">
        <v>748</v>
      </c>
      <c r="TO4" t="s">
        <v>750</v>
      </c>
      <c r="TP4" t="s">
        <v>2257</v>
      </c>
      <c r="TQ4" t="s">
        <v>753</v>
      </c>
      <c r="TR4" t="s">
        <v>755</v>
      </c>
      <c r="TS4" t="s">
        <v>757</v>
      </c>
      <c r="TT4" t="s">
        <v>759</v>
      </c>
      <c r="TU4" t="s">
        <v>761</v>
      </c>
      <c r="TV4" t="s">
        <v>764</v>
      </c>
      <c r="TW4" t="s">
        <v>766</v>
      </c>
      <c r="TX4" t="s">
        <v>768</v>
      </c>
      <c r="TY4" t="s">
        <v>768</v>
      </c>
      <c r="TZ4" t="s">
        <v>768</v>
      </c>
      <c r="UA4" t="s">
        <v>772</v>
      </c>
      <c r="UB4" t="s">
        <v>772</v>
      </c>
      <c r="UC4" t="s">
        <v>775</v>
      </c>
      <c r="UD4" t="s">
        <v>777</v>
      </c>
      <c r="UE4" t="s">
        <v>777</v>
      </c>
      <c r="UF4" t="s">
        <v>2258</v>
      </c>
      <c r="UG4" t="s">
        <v>781</v>
      </c>
      <c r="UH4" t="s">
        <v>783</v>
      </c>
      <c r="UI4" t="s">
        <v>783</v>
      </c>
      <c r="UJ4" t="s">
        <v>2423</v>
      </c>
      <c r="UK4" t="s">
        <v>787</v>
      </c>
      <c r="UL4" t="s">
        <v>789</v>
      </c>
      <c r="UM4" t="s">
        <v>789</v>
      </c>
      <c r="UN4" t="s">
        <v>2259</v>
      </c>
      <c r="UO4" t="s">
        <v>2478</v>
      </c>
      <c r="UP4" t="s">
        <v>2478</v>
      </c>
      <c r="UQ4" t="s">
        <v>2478</v>
      </c>
      <c r="UR4" t="s">
        <v>795</v>
      </c>
      <c r="US4" t="s">
        <v>797</v>
      </c>
      <c r="UT4" t="s">
        <v>797</v>
      </c>
      <c r="UU4" t="s">
        <v>800</v>
      </c>
      <c r="UV4" t="s">
        <v>2260</v>
      </c>
      <c r="UW4" t="s">
        <v>803</v>
      </c>
      <c r="UX4" t="s">
        <v>803</v>
      </c>
      <c r="UY4" t="s">
        <v>803</v>
      </c>
      <c r="UZ4" t="s">
        <v>2261</v>
      </c>
      <c r="VA4" t="s">
        <v>808</v>
      </c>
      <c r="VB4" t="s">
        <v>808</v>
      </c>
      <c r="VC4" t="s">
        <v>808</v>
      </c>
      <c r="VD4" t="s">
        <v>808</v>
      </c>
      <c r="VE4" t="s">
        <v>808</v>
      </c>
      <c r="VF4" t="s">
        <v>808</v>
      </c>
      <c r="VG4" t="s">
        <v>808</v>
      </c>
      <c r="VH4" t="s">
        <v>808</v>
      </c>
      <c r="VI4" t="s">
        <v>818</v>
      </c>
      <c r="VJ4" t="s">
        <v>818</v>
      </c>
      <c r="VK4" t="s">
        <v>818</v>
      </c>
      <c r="VL4" t="s">
        <v>822</v>
      </c>
      <c r="VM4" t="s">
        <v>822</v>
      </c>
      <c r="VN4" t="s">
        <v>2386</v>
      </c>
      <c r="VO4" t="s">
        <v>827</v>
      </c>
      <c r="VP4" t="s">
        <v>827</v>
      </c>
      <c r="VQ4" t="s">
        <v>2424</v>
      </c>
      <c r="VR4" t="s">
        <v>831</v>
      </c>
      <c r="VS4" t="s">
        <v>2262</v>
      </c>
      <c r="VT4" t="s">
        <v>2262</v>
      </c>
      <c r="VU4" t="s">
        <v>834</v>
      </c>
      <c r="VV4" t="s">
        <v>836</v>
      </c>
      <c r="VW4" t="s">
        <v>836</v>
      </c>
      <c r="VX4" t="s">
        <v>836</v>
      </c>
      <c r="VY4" t="s">
        <v>2425</v>
      </c>
      <c r="VZ4" t="s">
        <v>841</v>
      </c>
      <c r="WA4" t="s">
        <v>841</v>
      </c>
      <c r="WB4" t="s">
        <v>844</v>
      </c>
      <c r="WC4" t="s">
        <v>844</v>
      </c>
      <c r="WD4" t="s">
        <v>846</v>
      </c>
      <c r="WE4" t="s">
        <v>846</v>
      </c>
      <c r="WF4" t="s">
        <v>846</v>
      </c>
      <c r="WG4" t="s">
        <v>846</v>
      </c>
      <c r="WH4" t="s">
        <v>2426</v>
      </c>
      <c r="WI4" t="s">
        <v>2426</v>
      </c>
      <c r="WJ4" t="s">
        <v>851</v>
      </c>
      <c r="WK4" t="s">
        <v>2263</v>
      </c>
      <c r="WL4" t="s">
        <v>2263</v>
      </c>
      <c r="WM4" t="s">
        <v>2263</v>
      </c>
      <c r="WN4" t="s">
        <v>856</v>
      </c>
      <c r="WO4" t="s">
        <v>856</v>
      </c>
      <c r="WP4" t="s">
        <v>859</v>
      </c>
      <c r="WQ4" t="s">
        <v>861</v>
      </c>
      <c r="WR4" t="s">
        <v>861</v>
      </c>
      <c r="WS4" t="s">
        <v>864</v>
      </c>
      <c r="WT4" t="s">
        <v>864</v>
      </c>
      <c r="WU4" t="s">
        <v>867</v>
      </c>
      <c r="WV4" t="s">
        <v>869</v>
      </c>
      <c r="WW4" t="s">
        <v>871</v>
      </c>
      <c r="WX4" t="s">
        <v>873</v>
      </c>
      <c r="WY4" t="s">
        <v>873</v>
      </c>
      <c r="WZ4" t="s">
        <v>873</v>
      </c>
      <c r="XA4" t="s">
        <v>877</v>
      </c>
      <c r="XB4" t="s">
        <v>879</v>
      </c>
      <c r="XC4" t="s">
        <v>879</v>
      </c>
      <c r="XD4" t="s">
        <v>879</v>
      </c>
      <c r="XE4" t="s">
        <v>2264</v>
      </c>
      <c r="XF4" t="s">
        <v>2264</v>
      </c>
      <c r="XG4" t="s">
        <v>885</v>
      </c>
      <c r="XH4" t="s">
        <v>2427</v>
      </c>
      <c r="XI4" t="s">
        <v>2427</v>
      </c>
      <c r="XJ4" t="s">
        <v>2427</v>
      </c>
      <c r="XK4" t="s">
        <v>2427</v>
      </c>
      <c r="XL4" t="s">
        <v>2265</v>
      </c>
      <c r="XM4" t="s">
        <v>892</v>
      </c>
      <c r="XN4" t="s">
        <v>892</v>
      </c>
      <c r="XO4" t="s">
        <v>892</v>
      </c>
      <c r="XP4" t="s">
        <v>896</v>
      </c>
      <c r="XQ4" t="s">
        <v>2266</v>
      </c>
      <c r="XR4" t="s">
        <v>2266</v>
      </c>
      <c r="XS4" t="s">
        <v>2266</v>
      </c>
      <c r="XT4" t="s">
        <v>901</v>
      </c>
      <c r="XU4" t="s">
        <v>901</v>
      </c>
      <c r="XV4" t="s">
        <v>904</v>
      </c>
      <c r="XW4" t="s">
        <v>904</v>
      </c>
      <c r="XX4" t="s">
        <v>907</v>
      </c>
      <c r="XY4" t="s">
        <v>907</v>
      </c>
      <c r="XZ4" t="s">
        <v>910</v>
      </c>
      <c r="YA4" t="s">
        <v>910</v>
      </c>
      <c r="YB4" t="s">
        <v>913</v>
      </c>
      <c r="YC4" t="s">
        <v>913</v>
      </c>
      <c r="YD4" t="s">
        <v>913</v>
      </c>
      <c r="YE4" t="s">
        <v>917</v>
      </c>
      <c r="YF4" t="s">
        <v>917</v>
      </c>
      <c r="YG4" t="s">
        <v>917</v>
      </c>
      <c r="YH4" t="s">
        <v>917</v>
      </c>
      <c r="YI4" t="s">
        <v>917</v>
      </c>
      <c r="YJ4" t="s">
        <v>923</v>
      </c>
      <c r="YK4" t="s">
        <v>923</v>
      </c>
      <c r="YL4" t="s">
        <v>923</v>
      </c>
      <c r="YM4" t="s">
        <v>923</v>
      </c>
      <c r="YN4" t="s">
        <v>923</v>
      </c>
      <c r="YO4" t="s">
        <v>928</v>
      </c>
      <c r="YP4" t="s">
        <v>930</v>
      </c>
      <c r="YQ4" t="s">
        <v>930</v>
      </c>
      <c r="YR4" t="s">
        <v>933</v>
      </c>
      <c r="YS4" t="s">
        <v>2428</v>
      </c>
      <c r="YT4" t="s">
        <v>936</v>
      </c>
      <c r="YU4" t="s">
        <v>936</v>
      </c>
      <c r="YV4" t="s">
        <v>936</v>
      </c>
      <c r="YW4" t="s">
        <v>2429</v>
      </c>
      <c r="YX4" t="s">
        <v>941</v>
      </c>
      <c r="YY4" t="s">
        <v>941</v>
      </c>
      <c r="YZ4" t="s">
        <v>941</v>
      </c>
      <c r="ZA4" t="s">
        <v>945</v>
      </c>
      <c r="ZB4" t="s">
        <v>2470</v>
      </c>
      <c r="ZC4" t="s">
        <v>2470</v>
      </c>
      <c r="ZD4" t="s">
        <v>949</v>
      </c>
      <c r="ZE4" t="s">
        <v>949</v>
      </c>
      <c r="ZF4" t="s">
        <v>2267</v>
      </c>
      <c r="ZG4" t="s">
        <v>2267</v>
      </c>
      <c r="ZH4" t="s">
        <v>954</v>
      </c>
      <c r="ZI4" t="s">
        <v>956</v>
      </c>
      <c r="ZJ4" t="s">
        <v>956</v>
      </c>
      <c r="ZK4" t="s">
        <v>958</v>
      </c>
      <c r="ZL4" t="s">
        <v>960</v>
      </c>
      <c r="ZM4" t="s">
        <v>962</v>
      </c>
      <c r="ZN4" t="s">
        <v>962</v>
      </c>
      <c r="ZO4" t="s">
        <v>2268</v>
      </c>
      <c r="ZP4" t="s">
        <v>2268</v>
      </c>
      <c r="ZQ4" t="s">
        <v>965</v>
      </c>
      <c r="ZR4" t="s">
        <v>968</v>
      </c>
      <c r="ZS4" t="s">
        <v>968</v>
      </c>
      <c r="ZT4" t="s">
        <v>971</v>
      </c>
      <c r="ZU4" t="s">
        <v>2269</v>
      </c>
      <c r="ZV4" t="s">
        <v>2269</v>
      </c>
      <c r="ZW4" t="s">
        <v>2269</v>
      </c>
      <c r="ZX4" t="s">
        <v>976</v>
      </c>
      <c r="ZY4" t="s">
        <v>976</v>
      </c>
      <c r="ZZ4" t="s">
        <v>976</v>
      </c>
      <c r="AAA4" t="s">
        <v>2270</v>
      </c>
      <c r="AAB4" t="s">
        <v>981</v>
      </c>
      <c r="AAC4" t="s">
        <v>983</v>
      </c>
      <c r="AAD4" t="s">
        <v>983</v>
      </c>
      <c r="AAE4" t="s">
        <v>986</v>
      </c>
      <c r="AAF4" t="s">
        <v>986</v>
      </c>
      <c r="AAG4" t="s">
        <v>2271</v>
      </c>
      <c r="AAH4" t="s">
        <v>2271</v>
      </c>
      <c r="AAI4" t="s">
        <v>2271</v>
      </c>
      <c r="AAJ4" t="s">
        <v>2271</v>
      </c>
      <c r="AAK4" t="s">
        <v>2272</v>
      </c>
      <c r="AAL4" t="s">
        <v>2272</v>
      </c>
      <c r="AAM4" t="s">
        <v>2272</v>
      </c>
      <c r="AAN4" t="s">
        <v>2273</v>
      </c>
      <c r="AAO4" t="s">
        <v>2430</v>
      </c>
      <c r="AAP4" t="s">
        <v>998</v>
      </c>
      <c r="AAQ4" t="s">
        <v>998</v>
      </c>
      <c r="AAR4" t="s">
        <v>998</v>
      </c>
      <c r="AAS4" t="s">
        <v>2401</v>
      </c>
      <c r="AAT4" t="s">
        <v>1003</v>
      </c>
      <c r="AAU4" t="s">
        <v>2274</v>
      </c>
      <c r="AAV4" t="s">
        <v>2275</v>
      </c>
      <c r="AAW4" t="s">
        <v>2275</v>
      </c>
      <c r="AAX4" t="s">
        <v>2275</v>
      </c>
      <c r="AAY4" t="s">
        <v>2276</v>
      </c>
      <c r="AAZ4" t="s">
        <v>2276</v>
      </c>
      <c r="ABA4" t="s">
        <v>2276</v>
      </c>
      <c r="ABB4" t="s">
        <v>1012</v>
      </c>
      <c r="ABC4" t="s">
        <v>1014</v>
      </c>
      <c r="ABD4" t="s">
        <v>1016</v>
      </c>
      <c r="ABE4" t="s">
        <v>1016</v>
      </c>
      <c r="ABF4" t="s">
        <v>1019</v>
      </c>
      <c r="ABG4" t="s">
        <v>1019</v>
      </c>
      <c r="ABH4" t="s">
        <v>1019</v>
      </c>
      <c r="ABI4" t="s">
        <v>2277</v>
      </c>
      <c r="ABJ4" t="s">
        <v>2277</v>
      </c>
      <c r="ABK4" t="s">
        <v>2278</v>
      </c>
      <c r="ABL4" t="s">
        <v>2431</v>
      </c>
      <c r="ABM4" t="s">
        <v>1027</v>
      </c>
      <c r="ABN4" t="s">
        <v>1027</v>
      </c>
      <c r="ABO4" t="s">
        <v>1030</v>
      </c>
      <c r="ABP4" t="s">
        <v>1030</v>
      </c>
      <c r="ABQ4" t="s">
        <v>1033</v>
      </c>
      <c r="ABR4" t="s">
        <v>1033</v>
      </c>
      <c r="ABS4" t="s">
        <v>1036</v>
      </c>
      <c r="ABT4" t="s">
        <v>1036</v>
      </c>
      <c r="ABU4" t="s">
        <v>1039</v>
      </c>
      <c r="ABV4" t="s">
        <v>1039</v>
      </c>
      <c r="ABW4" t="s">
        <v>1042</v>
      </c>
      <c r="ABX4" t="s">
        <v>1042</v>
      </c>
      <c r="ABY4" t="s">
        <v>1045</v>
      </c>
      <c r="ABZ4" t="s">
        <v>1045</v>
      </c>
      <c r="ACA4" t="s">
        <v>2279</v>
      </c>
      <c r="ACB4" t="s">
        <v>2279</v>
      </c>
      <c r="ACC4" t="s">
        <v>1050</v>
      </c>
      <c r="ACD4" t="s">
        <v>2280</v>
      </c>
      <c r="ACE4" t="s">
        <v>1053</v>
      </c>
      <c r="ACF4" t="s">
        <v>1053</v>
      </c>
      <c r="ACG4" t="s">
        <v>1056</v>
      </c>
      <c r="ACH4" t="s">
        <v>2281</v>
      </c>
      <c r="ACI4" t="s">
        <v>2281</v>
      </c>
      <c r="ACJ4" t="s">
        <v>2402</v>
      </c>
      <c r="ACK4" t="s">
        <v>1061</v>
      </c>
      <c r="ACL4" t="s">
        <v>1063</v>
      </c>
      <c r="ACM4" t="s">
        <v>1065</v>
      </c>
      <c r="ACN4" t="s">
        <v>1065</v>
      </c>
      <c r="ACO4" t="s">
        <v>1065</v>
      </c>
      <c r="ACP4" t="s">
        <v>1069</v>
      </c>
      <c r="ACQ4" t="s">
        <v>1069</v>
      </c>
      <c r="ACR4" t="s">
        <v>1069</v>
      </c>
      <c r="ACS4" t="s">
        <v>1073</v>
      </c>
      <c r="ACT4" t="s">
        <v>1075</v>
      </c>
      <c r="ACU4" t="s">
        <v>1077</v>
      </c>
      <c r="ACV4" t="s">
        <v>2282</v>
      </c>
      <c r="ACW4" t="s">
        <v>2282</v>
      </c>
      <c r="ACX4" t="s">
        <v>2282</v>
      </c>
      <c r="ACY4" t="s">
        <v>2282</v>
      </c>
      <c r="ACZ4" t="s">
        <v>2479</v>
      </c>
      <c r="ADA4" t="s">
        <v>2479</v>
      </c>
      <c r="ADB4" t="s">
        <v>1085</v>
      </c>
      <c r="ADC4" t="s">
        <v>1085</v>
      </c>
      <c r="ADD4" t="s">
        <v>1088</v>
      </c>
      <c r="ADE4" t="s">
        <v>1088</v>
      </c>
      <c r="ADF4" t="s">
        <v>1088</v>
      </c>
      <c r="ADG4" t="s">
        <v>1092</v>
      </c>
      <c r="ADH4" t="s">
        <v>1092</v>
      </c>
      <c r="ADI4" t="s">
        <v>1092</v>
      </c>
      <c r="ADJ4" t="s">
        <v>1092</v>
      </c>
      <c r="ADK4" t="s">
        <v>1097</v>
      </c>
      <c r="ADL4" t="s">
        <v>1099</v>
      </c>
      <c r="ADM4" t="s">
        <v>1099</v>
      </c>
      <c r="ADN4" t="s">
        <v>1099</v>
      </c>
      <c r="ADO4" t="s">
        <v>1099</v>
      </c>
      <c r="ADP4" t="s">
        <v>1099</v>
      </c>
      <c r="ADQ4" t="s">
        <v>1105</v>
      </c>
      <c r="ADR4" t="s">
        <v>1105</v>
      </c>
      <c r="ADS4" t="s">
        <v>1108</v>
      </c>
      <c r="ADT4" t="s">
        <v>1108</v>
      </c>
      <c r="ADU4" t="s">
        <v>1108</v>
      </c>
      <c r="ADV4" t="s">
        <v>1110</v>
      </c>
      <c r="ADW4" t="s">
        <v>1110</v>
      </c>
      <c r="ADX4" t="s">
        <v>2403</v>
      </c>
      <c r="ADY4" t="s">
        <v>2387</v>
      </c>
      <c r="ADZ4" t="s">
        <v>2387</v>
      </c>
      <c r="AEA4" t="s">
        <v>2387</v>
      </c>
      <c r="AEB4" t="s">
        <v>2432</v>
      </c>
      <c r="AEC4" t="s">
        <v>1118</v>
      </c>
      <c r="AED4" t="s">
        <v>1120</v>
      </c>
      <c r="AEE4" t="s">
        <v>1122</v>
      </c>
      <c r="AEF4" t="s">
        <v>2433</v>
      </c>
      <c r="AEG4" t="s">
        <v>2433</v>
      </c>
      <c r="AEH4" t="s">
        <v>1126</v>
      </c>
      <c r="AEI4" t="s">
        <v>1126</v>
      </c>
      <c r="AEJ4" t="s">
        <v>1129</v>
      </c>
      <c r="AEK4" t="s">
        <v>2283</v>
      </c>
      <c r="AEL4" t="s">
        <v>1131</v>
      </c>
      <c r="AEM4" t="s">
        <v>1131</v>
      </c>
      <c r="AEN4" t="s">
        <v>1131</v>
      </c>
      <c r="AEO4" t="s">
        <v>1131</v>
      </c>
      <c r="AEP4" t="s">
        <v>2284</v>
      </c>
      <c r="AEQ4" t="s">
        <v>2284</v>
      </c>
      <c r="AER4" t="s">
        <v>1138</v>
      </c>
      <c r="AES4" t="s">
        <v>1138</v>
      </c>
      <c r="AET4" t="s">
        <v>1138</v>
      </c>
      <c r="AEU4" t="s">
        <v>1138</v>
      </c>
      <c r="AEV4" t="s">
        <v>1138</v>
      </c>
      <c r="AEW4" t="s">
        <v>1144</v>
      </c>
      <c r="AEX4" t="s">
        <v>1144</v>
      </c>
      <c r="AEY4" t="s">
        <v>1144</v>
      </c>
      <c r="AEZ4" t="s">
        <v>1144</v>
      </c>
      <c r="AFA4" t="s">
        <v>1144</v>
      </c>
      <c r="AFB4" t="s">
        <v>1150</v>
      </c>
      <c r="AFC4" t="s">
        <v>1150</v>
      </c>
      <c r="AFD4" t="s">
        <v>1150</v>
      </c>
      <c r="AFE4" t="s">
        <v>1150</v>
      </c>
      <c r="AFF4" t="s">
        <v>1150</v>
      </c>
      <c r="AFG4" t="s">
        <v>1150</v>
      </c>
      <c r="AFH4" t="s">
        <v>1162</v>
      </c>
      <c r="AFI4" t="s">
        <v>2285</v>
      </c>
      <c r="AFJ4" t="s">
        <v>1165</v>
      </c>
      <c r="AFK4" t="s">
        <v>1167</v>
      </c>
      <c r="AFL4" t="s">
        <v>1167</v>
      </c>
      <c r="AFM4" t="s">
        <v>1170</v>
      </c>
      <c r="AFN4" t="s">
        <v>1173</v>
      </c>
      <c r="AFO4" t="s">
        <v>1173</v>
      </c>
      <c r="AFP4" t="s">
        <v>1176</v>
      </c>
      <c r="AFQ4" t="s">
        <v>1176</v>
      </c>
      <c r="AFR4" t="s">
        <v>1176</v>
      </c>
      <c r="AFS4" t="s">
        <v>1176</v>
      </c>
      <c r="AFT4" t="s">
        <v>1176</v>
      </c>
      <c r="AFU4" t="s">
        <v>1176</v>
      </c>
      <c r="AFV4" t="s">
        <v>1176</v>
      </c>
      <c r="AFW4" t="s">
        <v>1183</v>
      </c>
      <c r="AFX4" t="s">
        <v>1183</v>
      </c>
      <c r="AFY4" t="s">
        <v>1183</v>
      </c>
      <c r="AFZ4" t="s">
        <v>1187</v>
      </c>
      <c r="AGA4" t="s">
        <v>1190</v>
      </c>
      <c r="AGB4" t="s">
        <v>1192</v>
      </c>
      <c r="AGC4" t="s">
        <v>1192</v>
      </c>
      <c r="AGD4" t="s">
        <v>1192</v>
      </c>
      <c r="AGE4" t="s">
        <v>1192</v>
      </c>
      <c r="AGF4" t="s">
        <v>1197</v>
      </c>
      <c r="AGG4" t="s">
        <v>1197</v>
      </c>
      <c r="AGH4" t="s">
        <v>1199</v>
      </c>
      <c r="AGI4" t="s">
        <v>1201</v>
      </c>
      <c r="AGJ4" t="s">
        <v>2286</v>
      </c>
      <c r="AGK4" t="s">
        <v>2286</v>
      </c>
      <c r="AGL4" t="s">
        <v>2286</v>
      </c>
      <c r="AGM4" t="s">
        <v>2286</v>
      </c>
      <c r="AGN4" t="s">
        <v>2286</v>
      </c>
      <c r="AGO4" t="s">
        <v>2286</v>
      </c>
      <c r="AGP4" t="s">
        <v>1210</v>
      </c>
      <c r="AGQ4" t="s">
        <v>2287</v>
      </c>
      <c r="AGR4" t="s">
        <v>2287</v>
      </c>
      <c r="AGS4" t="s">
        <v>1214</v>
      </c>
      <c r="AGT4" t="s">
        <v>1214</v>
      </c>
      <c r="AGU4" t="s">
        <v>1214</v>
      </c>
      <c r="AGV4" t="s">
        <v>2434</v>
      </c>
      <c r="AGW4" t="s">
        <v>2435</v>
      </c>
      <c r="AGX4" t="s">
        <v>2435</v>
      </c>
      <c r="AGY4" t="s">
        <v>2435</v>
      </c>
      <c r="AGZ4" t="s">
        <v>1222</v>
      </c>
      <c r="AHA4" t="s">
        <v>1222</v>
      </c>
      <c r="AHB4" t="s">
        <v>1225</v>
      </c>
      <c r="AHC4" t="s">
        <v>1227</v>
      </c>
      <c r="AHD4" t="s">
        <v>1227</v>
      </c>
      <c r="AHE4" t="s">
        <v>2436</v>
      </c>
      <c r="AHF4" t="s">
        <v>2436</v>
      </c>
      <c r="AHG4" t="s">
        <v>1232</v>
      </c>
      <c r="AHH4" t="s">
        <v>2288</v>
      </c>
      <c r="AHI4" t="s">
        <v>2288</v>
      </c>
      <c r="AHJ4" t="s">
        <v>2288</v>
      </c>
      <c r="AHK4" t="s">
        <v>2288</v>
      </c>
      <c r="AHL4" t="s">
        <v>2288</v>
      </c>
      <c r="AHM4" t="s">
        <v>2288</v>
      </c>
      <c r="AHN4" t="s">
        <v>2289</v>
      </c>
      <c r="AHO4" t="s">
        <v>2289</v>
      </c>
      <c r="AHP4" t="s">
        <v>2289</v>
      </c>
      <c r="AHQ4" t="s">
        <v>2289</v>
      </c>
      <c r="AHR4" t="s">
        <v>2289</v>
      </c>
      <c r="AHS4" t="s">
        <v>2290</v>
      </c>
      <c r="AHT4" t="s">
        <v>2290</v>
      </c>
      <c r="AHU4" t="s">
        <v>2290</v>
      </c>
      <c r="AHV4" t="s">
        <v>2290</v>
      </c>
      <c r="AHW4" t="s">
        <v>2480</v>
      </c>
      <c r="AHX4" t="s">
        <v>2291</v>
      </c>
      <c r="AHY4" t="s">
        <v>2291</v>
      </c>
      <c r="AHZ4" t="s">
        <v>1252</v>
      </c>
      <c r="AIA4" t="s">
        <v>1252</v>
      </c>
      <c r="AIB4" t="s">
        <v>1256</v>
      </c>
      <c r="AIC4" t="s">
        <v>1258</v>
      </c>
      <c r="AID4" t="s">
        <v>1260</v>
      </c>
      <c r="AIE4" t="s">
        <v>1260</v>
      </c>
      <c r="AIF4" t="s">
        <v>1263</v>
      </c>
      <c r="AIG4" t="s">
        <v>1266</v>
      </c>
      <c r="AIH4" t="s">
        <v>1268</v>
      </c>
      <c r="AII4" t="s">
        <v>1268</v>
      </c>
      <c r="AIJ4" t="s">
        <v>1270</v>
      </c>
      <c r="AIK4" t="s">
        <v>1272</v>
      </c>
      <c r="AIL4" t="s">
        <v>1272</v>
      </c>
      <c r="AIM4" t="s">
        <v>1272</v>
      </c>
      <c r="AIN4" t="s">
        <v>2292</v>
      </c>
      <c r="AIO4" t="s">
        <v>2292</v>
      </c>
      <c r="AIP4" t="s">
        <v>1278</v>
      </c>
      <c r="AIQ4" t="s">
        <v>2437</v>
      </c>
      <c r="AIR4" t="s">
        <v>2437</v>
      </c>
      <c r="AIS4" t="s">
        <v>2293</v>
      </c>
      <c r="AIT4" t="s">
        <v>1283</v>
      </c>
      <c r="AIU4" t="s">
        <v>1285</v>
      </c>
      <c r="AIV4" t="s">
        <v>1287</v>
      </c>
      <c r="AIW4" t="s">
        <v>2438</v>
      </c>
      <c r="AIX4" t="s">
        <v>2438</v>
      </c>
      <c r="AIY4" t="s">
        <v>2438</v>
      </c>
      <c r="AIZ4" t="s">
        <v>2438</v>
      </c>
      <c r="AJA4" t="s">
        <v>1294</v>
      </c>
      <c r="AJB4" t="s">
        <v>1296</v>
      </c>
      <c r="AJC4" t="s">
        <v>2294</v>
      </c>
      <c r="AJD4" t="s">
        <v>2294</v>
      </c>
      <c r="AJE4" t="s">
        <v>2388</v>
      </c>
      <c r="AJF4" t="s">
        <v>2388</v>
      </c>
      <c r="AJG4" t="s">
        <v>1301</v>
      </c>
      <c r="AJH4" t="s">
        <v>1303</v>
      </c>
      <c r="AJI4" t="s">
        <v>1305</v>
      </c>
      <c r="AJJ4" t="s">
        <v>1306</v>
      </c>
      <c r="AJK4" t="s">
        <v>1306</v>
      </c>
      <c r="AJL4" t="s">
        <v>1309</v>
      </c>
      <c r="AJM4" t="s">
        <v>1312</v>
      </c>
      <c r="AJN4" t="s">
        <v>1314</v>
      </c>
      <c r="AJO4" t="s">
        <v>1314</v>
      </c>
      <c r="AJP4" t="s">
        <v>2295</v>
      </c>
      <c r="AJQ4" t="s">
        <v>2296</v>
      </c>
      <c r="AJR4" t="s">
        <v>2296</v>
      </c>
      <c r="AJS4" t="s">
        <v>2296</v>
      </c>
      <c r="AJT4" t="s">
        <v>1321</v>
      </c>
      <c r="AJU4" t="s">
        <v>1321</v>
      </c>
      <c r="AJV4" t="s">
        <v>1324</v>
      </c>
      <c r="AJW4" t="s">
        <v>1326</v>
      </c>
      <c r="AJX4" t="s">
        <v>1326</v>
      </c>
      <c r="AJY4" t="s">
        <v>1326</v>
      </c>
      <c r="AJZ4" t="s">
        <v>1326</v>
      </c>
      <c r="AKA4" t="s">
        <v>1331</v>
      </c>
      <c r="AKB4" t="s">
        <v>1331</v>
      </c>
      <c r="AKC4" t="s">
        <v>2297</v>
      </c>
      <c r="AKD4" t="s">
        <v>2297</v>
      </c>
      <c r="AKE4" t="s">
        <v>2297</v>
      </c>
      <c r="AKF4" t="s">
        <v>2297</v>
      </c>
      <c r="AKG4" t="s">
        <v>2297</v>
      </c>
      <c r="AKH4" t="s">
        <v>2298</v>
      </c>
      <c r="AKI4" t="s">
        <v>2298</v>
      </c>
      <c r="AKJ4" t="s">
        <v>2298</v>
      </c>
      <c r="AKK4" t="s">
        <v>1344</v>
      </c>
      <c r="AKL4" t="s">
        <v>1346</v>
      </c>
      <c r="AKM4" t="s">
        <v>2299</v>
      </c>
      <c r="AKN4" t="s">
        <v>2299</v>
      </c>
      <c r="AKO4" t="s">
        <v>2299</v>
      </c>
      <c r="AKP4" t="s">
        <v>2299</v>
      </c>
      <c r="AKQ4" t="s">
        <v>2300</v>
      </c>
      <c r="AKR4" t="s">
        <v>2300</v>
      </c>
      <c r="AKS4" t="s">
        <v>2389</v>
      </c>
      <c r="AKT4" t="s">
        <v>1354</v>
      </c>
      <c r="AKU4" t="s">
        <v>2301</v>
      </c>
      <c r="AKV4" t="s">
        <v>2301</v>
      </c>
      <c r="AKW4" t="s">
        <v>1358</v>
      </c>
      <c r="AKX4" t="s">
        <v>1358</v>
      </c>
      <c r="AKY4" t="s">
        <v>2302</v>
      </c>
      <c r="AKZ4" t="s">
        <v>2303</v>
      </c>
      <c r="ALA4" t="s">
        <v>2303</v>
      </c>
      <c r="ALB4" t="s">
        <v>1365</v>
      </c>
      <c r="ALC4" t="s">
        <v>1365</v>
      </c>
      <c r="ALD4" t="s">
        <v>1368</v>
      </c>
      <c r="ALE4" t="s">
        <v>1368</v>
      </c>
      <c r="ALF4" t="s">
        <v>1368</v>
      </c>
      <c r="ALG4" t="s">
        <v>2390</v>
      </c>
      <c r="ALH4" t="s">
        <v>2390</v>
      </c>
      <c r="ALI4" t="s">
        <v>2390</v>
      </c>
      <c r="ALJ4" t="s">
        <v>2390</v>
      </c>
      <c r="ALK4" t="s">
        <v>2304</v>
      </c>
      <c r="ALL4" t="s">
        <v>2304</v>
      </c>
      <c r="ALM4" t="s">
        <v>2304</v>
      </c>
      <c r="ALN4" t="s">
        <v>2304</v>
      </c>
      <c r="ALO4" t="s">
        <v>2305</v>
      </c>
      <c r="ALP4" t="s">
        <v>2305</v>
      </c>
      <c r="ALQ4" t="s">
        <v>1377</v>
      </c>
      <c r="ALR4" t="s">
        <v>2439</v>
      </c>
      <c r="ALS4" t="s">
        <v>1380</v>
      </c>
      <c r="ALT4" t="s">
        <v>1380</v>
      </c>
      <c r="ALU4" t="s">
        <v>1380</v>
      </c>
      <c r="ALV4" t="s">
        <v>1380</v>
      </c>
      <c r="ALW4" t="s">
        <v>1385</v>
      </c>
      <c r="ALX4" t="s">
        <v>1385</v>
      </c>
      <c r="ALY4" t="s">
        <v>1385</v>
      </c>
      <c r="ALZ4" t="s">
        <v>1385</v>
      </c>
      <c r="AMA4" t="s">
        <v>1390</v>
      </c>
      <c r="AMB4" t="s">
        <v>1390</v>
      </c>
      <c r="AMC4" t="s">
        <v>2306</v>
      </c>
      <c r="AMD4" t="s">
        <v>1395</v>
      </c>
      <c r="AME4" t="s">
        <v>1395</v>
      </c>
      <c r="AMF4" t="s">
        <v>1398</v>
      </c>
      <c r="AMG4" t="s">
        <v>1400</v>
      </c>
      <c r="AMH4" t="s">
        <v>1400</v>
      </c>
      <c r="AMI4" t="s">
        <v>2440</v>
      </c>
      <c r="AMJ4" t="s">
        <v>2440</v>
      </c>
      <c r="AMK4" t="s">
        <v>1405</v>
      </c>
      <c r="AML4" t="s">
        <v>2307</v>
      </c>
      <c r="AMM4" t="s">
        <v>2307</v>
      </c>
      <c r="AMN4" t="s">
        <v>2307</v>
      </c>
      <c r="AMO4" t="s">
        <v>1410</v>
      </c>
      <c r="AMP4" t="s">
        <v>1412</v>
      </c>
      <c r="AMQ4" t="s">
        <v>2308</v>
      </c>
      <c r="AMR4" t="s">
        <v>2441</v>
      </c>
      <c r="AMS4" t="s">
        <v>2442</v>
      </c>
      <c r="AMT4" t="s">
        <v>2309</v>
      </c>
      <c r="AMU4" t="s">
        <v>2309</v>
      </c>
      <c r="AMV4" t="s">
        <v>2309</v>
      </c>
      <c r="AMW4" t="s">
        <v>1420</v>
      </c>
      <c r="AMX4" t="s">
        <v>2443</v>
      </c>
      <c r="AMY4" t="s">
        <v>1423</v>
      </c>
      <c r="AMZ4" t="s">
        <v>1423</v>
      </c>
      <c r="ANA4" t="s">
        <v>1426</v>
      </c>
      <c r="ANB4" t="s">
        <v>1426</v>
      </c>
      <c r="ANC4" t="s">
        <v>1426</v>
      </c>
      <c r="AND4" t="s">
        <v>1430</v>
      </c>
      <c r="ANE4" t="s">
        <v>1432</v>
      </c>
      <c r="ANF4" t="s">
        <v>2444</v>
      </c>
      <c r="ANG4" t="s">
        <v>1435</v>
      </c>
      <c r="ANH4" t="s">
        <v>2310</v>
      </c>
      <c r="ANI4" t="s">
        <v>2310</v>
      </c>
      <c r="ANJ4" t="s">
        <v>2310</v>
      </c>
      <c r="ANK4" t="s">
        <v>2311</v>
      </c>
      <c r="ANL4" t="s">
        <v>2311</v>
      </c>
      <c r="ANM4" t="s">
        <v>2312</v>
      </c>
      <c r="ANN4" t="s">
        <v>2312</v>
      </c>
      <c r="ANO4" t="s">
        <v>2312</v>
      </c>
      <c r="ANP4" t="s">
        <v>2445</v>
      </c>
      <c r="ANQ4" t="s">
        <v>2445</v>
      </c>
      <c r="ANR4" t="s">
        <v>2445</v>
      </c>
      <c r="ANS4" t="s">
        <v>1447</v>
      </c>
      <c r="ANT4" t="s">
        <v>2313</v>
      </c>
      <c r="ANU4" t="s">
        <v>2313</v>
      </c>
      <c r="ANV4" t="s">
        <v>2446</v>
      </c>
      <c r="ANW4" t="s">
        <v>2447</v>
      </c>
      <c r="ANX4" t="s">
        <v>1453</v>
      </c>
      <c r="ANY4" t="s">
        <v>1453</v>
      </c>
      <c r="ANZ4" t="s">
        <v>1456</v>
      </c>
      <c r="AOA4" t="s">
        <v>1458</v>
      </c>
      <c r="AOB4" t="s">
        <v>1458</v>
      </c>
      <c r="AOC4" t="s">
        <v>2448</v>
      </c>
      <c r="AOD4" t="s">
        <v>2314</v>
      </c>
      <c r="AOE4" t="s">
        <v>2314</v>
      </c>
      <c r="AOF4" t="s">
        <v>1464</v>
      </c>
      <c r="AOG4" t="s">
        <v>1466</v>
      </c>
      <c r="AOH4" t="s">
        <v>1466</v>
      </c>
      <c r="AOI4" t="s">
        <v>1466</v>
      </c>
      <c r="AOJ4" t="s">
        <v>1473</v>
      </c>
      <c r="AOK4" t="s">
        <v>2315</v>
      </c>
      <c r="AOL4" t="s">
        <v>2315</v>
      </c>
      <c r="AOM4" t="s">
        <v>2315</v>
      </c>
      <c r="AON4" t="s">
        <v>2315</v>
      </c>
      <c r="AOO4" t="s">
        <v>2449</v>
      </c>
      <c r="AOP4" t="s">
        <v>2449</v>
      </c>
      <c r="AOQ4" t="s">
        <v>2316</v>
      </c>
      <c r="AOR4" t="s">
        <v>1483</v>
      </c>
      <c r="AOS4" t="s">
        <v>1483</v>
      </c>
      <c r="AOT4" t="s">
        <v>2317</v>
      </c>
      <c r="AOU4" t="s">
        <v>1487</v>
      </c>
      <c r="AOV4" t="s">
        <v>1489</v>
      </c>
      <c r="AOW4" t="s">
        <v>1489</v>
      </c>
      <c r="AOX4" t="s">
        <v>1489</v>
      </c>
      <c r="AOY4" t="s">
        <v>1493</v>
      </c>
      <c r="AOZ4" t="s">
        <v>1494</v>
      </c>
      <c r="APA4" t="s">
        <v>1497</v>
      </c>
      <c r="APB4" t="s">
        <v>1497</v>
      </c>
      <c r="APC4" t="s">
        <v>1497</v>
      </c>
      <c r="APD4" t="s">
        <v>1501</v>
      </c>
      <c r="APE4" t="s">
        <v>1501</v>
      </c>
      <c r="APF4" t="s">
        <v>1504</v>
      </c>
      <c r="APG4" t="s">
        <v>1504</v>
      </c>
      <c r="APH4" t="s">
        <v>2318</v>
      </c>
      <c r="API4" t="s">
        <v>2318</v>
      </c>
      <c r="APJ4" t="s">
        <v>2318</v>
      </c>
      <c r="APK4" t="s">
        <v>1510</v>
      </c>
      <c r="APL4" t="s">
        <v>1512</v>
      </c>
      <c r="APM4" t="s">
        <v>1512</v>
      </c>
      <c r="APN4" t="s">
        <v>1512</v>
      </c>
      <c r="APO4" t="s">
        <v>1512</v>
      </c>
      <c r="APP4" t="s">
        <v>2450</v>
      </c>
      <c r="APQ4" t="s">
        <v>2450</v>
      </c>
      <c r="APR4" t="s">
        <v>2450</v>
      </c>
      <c r="APS4" t="s">
        <v>2450</v>
      </c>
      <c r="APT4" t="s">
        <v>1521</v>
      </c>
      <c r="APU4" t="s">
        <v>1523</v>
      </c>
      <c r="APV4" t="s">
        <v>2319</v>
      </c>
      <c r="APW4" t="s">
        <v>2319</v>
      </c>
      <c r="APX4" t="s">
        <v>1527</v>
      </c>
      <c r="APY4" t="s">
        <v>1529</v>
      </c>
      <c r="APZ4" t="s">
        <v>1529</v>
      </c>
      <c r="AQA4" t="s">
        <v>1529</v>
      </c>
      <c r="AQB4" t="s">
        <v>1533</v>
      </c>
      <c r="AQC4" t="s">
        <v>1535</v>
      </c>
      <c r="AQD4" t="s">
        <v>1535</v>
      </c>
      <c r="AQE4" t="s">
        <v>1535</v>
      </c>
      <c r="AQF4" t="s">
        <v>1539</v>
      </c>
      <c r="AQG4" t="s">
        <v>1541</v>
      </c>
      <c r="AQH4" t="s">
        <v>1541</v>
      </c>
      <c r="AQI4" t="s">
        <v>1544</v>
      </c>
      <c r="AQJ4" t="s">
        <v>1544</v>
      </c>
      <c r="AQK4" t="s">
        <v>1548</v>
      </c>
      <c r="AQL4" t="s">
        <v>1548</v>
      </c>
      <c r="AQM4" t="s">
        <v>1548</v>
      </c>
      <c r="AQN4" t="s">
        <v>1548</v>
      </c>
      <c r="AQO4" t="s">
        <v>1548</v>
      </c>
      <c r="AQP4" t="s">
        <v>1548</v>
      </c>
      <c r="AQQ4" t="s">
        <v>2451</v>
      </c>
      <c r="AQR4" t="s">
        <v>2451</v>
      </c>
      <c r="AQS4" t="s">
        <v>2451</v>
      </c>
      <c r="AQT4" t="s">
        <v>2320</v>
      </c>
      <c r="AQU4" t="s">
        <v>2320</v>
      </c>
      <c r="AQV4" t="s">
        <v>2320</v>
      </c>
      <c r="AQW4" t="s">
        <v>2452</v>
      </c>
      <c r="AQX4" t="s">
        <v>1566</v>
      </c>
      <c r="AQY4" t="s">
        <v>1566</v>
      </c>
      <c r="AQZ4" t="s">
        <v>2453</v>
      </c>
      <c r="ARA4" t="s">
        <v>2453</v>
      </c>
      <c r="ARB4" t="s">
        <v>2453</v>
      </c>
      <c r="ARC4" t="s">
        <v>2453</v>
      </c>
      <c r="ARD4" t="s">
        <v>1572</v>
      </c>
      <c r="ARE4" t="s">
        <v>1572</v>
      </c>
      <c r="ARF4" t="s">
        <v>1572</v>
      </c>
      <c r="ARG4" t="s">
        <v>2321</v>
      </c>
      <c r="ARH4" t="s">
        <v>1577</v>
      </c>
      <c r="ARI4" t="s">
        <v>1577</v>
      </c>
      <c r="ARJ4" t="s">
        <v>1577</v>
      </c>
      <c r="ARK4" t="s">
        <v>1577</v>
      </c>
      <c r="ARL4" t="s">
        <v>1583</v>
      </c>
      <c r="ARM4" t="s">
        <v>1583</v>
      </c>
      <c r="ARN4" t="s">
        <v>1583</v>
      </c>
      <c r="ARO4" t="s">
        <v>1587</v>
      </c>
      <c r="ARP4" t="s">
        <v>1590</v>
      </c>
      <c r="ARQ4" t="s">
        <v>1590</v>
      </c>
      <c r="ARR4" t="s">
        <v>2322</v>
      </c>
      <c r="ARS4" t="s">
        <v>1595</v>
      </c>
      <c r="ART4" t="s">
        <v>2323</v>
      </c>
      <c r="ARU4" t="s">
        <v>2323</v>
      </c>
      <c r="ARV4" t="s">
        <v>1599</v>
      </c>
      <c r="ARW4" t="s">
        <v>1599</v>
      </c>
      <c r="ARX4" t="s">
        <v>1599</v>
      </c>
      <c r="ARY4" t="s">
        <v>1604</v>
      </c>
      <c r="ARZ4" t="s">
        <v>1604</v>
      </c>
      <c r="ASA4" t="s">
        <v>2324</v>
      </c>
      <c r="ASB4" t="s">
        <v>2324</v>
      </c>
      <c r="ASC4" t="s">
        <v>2454</v>
      </c>
      <c r="ASD4" t="s">
        <v>2454</v>
      </c>
      <c r="ASE4" t="s">
        <v>2454</v>
      </c>
      <c r="ASF4" t="s">
        <v>2325</v>
      </c>
      <c r="ASG4" t="s">
        <v>1614</v>
      </c>
      <c r="ASH4" t="s">
        <v>1614</v>
      </c>
      <c r="ASI4" t="s">
        <v>1614</v>
      </c>
      <c r="ASJ4" t="s">
        <v>1618</v>
      </c>
      <c r="ASK4" t="s">
        <v>2326</v>
      </c>
      <c r="ASL4" t="s">
        <v>2326</v>
      </c>
      <c r="ASM4" t="s">
        <v>2326</v>
      </c>
      <c r="ASN4" t="s">
        <v>2326</v>
      </c>
      <c r="ASO4" t="s">
        <v>2327</v>
      </c>
      <c r="ASP4" t="s">
        <v>1625</v>
      </c>
      <c r="ASQ4" t="s">
        <v>1625</v>
      </c>
      <c r="ASR4" t="s">
        <v>2404</v>
      </c>
      <c r="ASS4" t="s">
        <v>2404</v>
      </c>
      <c r="AST4" t="s">
        <v>1630</v>
      </c>
      <c r="ASU4" t="s">
        <v>1630</v>
      </c>
      <c r="ASV4" t="s">
        <v>1630</v>
      </c>
      <c r="ASW4" t="s">
        <v>1634</v>
      </c>
      <c r="ASX4" t="s">
        <v>1634</v>
      </c>
      <c r="ASY4" t="s">
        <v>2328</v>
      </c>
      <c r="ASZ4" t="s">
        <v>2329</v>
      </c>
      <c r="ATA4" t="s">
        <v>2329</v>
      </c>
      <c r="ATB4" t="s">
        <v>2329</v>
      </c>
      <c r="ATC4" t="s">
        <v>2329</v>
      </c>
      <c r="ATD4" t="s">
        <v>2329</v>
      </c>
      <c r="ATE4" t="s">
        <v>2330</v>
      </c>
      <c r="ATF4" t="s">
        <v>2330</v>
      </c>
      <c r="ATG4" t="s">
        <v>1644</v>
      </c>
      <c r="ATH4" t="s">
        <v>2331</v>
      </c>
      <c r="ATI4" t="s">
        <v>2331</v>
      </c>
      <c r="ATJ4" t="s">
        <v>2331</v>
      </c>
      <c r="ATK4" t="s">
        <v>2332</v>
      </c>
      <c r="ATL4" t="s">
        <v>1648</v>
      </c>
      <c r="ATM4" t="s">
        <v>1648</v>
      </c>
      <c r="ATN4" t="s">
        <v>1652</v>
      </c>
      <c r="ATO4" t="s">
        <v>2333</v>
      </c>
      <c r="ATP4" t="s">
        <v>2333</v>
      </c>
      <c r="ATQ4" t="s">
        <v>2333</v>
      </c>
      <c r="ATR4" t="s">
        <v>2333</v>
      </c>
      <c r="ATS4" t="s">
        <v>1659</v>
      </c>
      <c r="ATT4" t="s">
        <v>1659</v>
      </c>
      <c r="ATU4" t="s">
        <v>1659</v>
      </c>
      <c r="ATV4" t="s">
        <v>1659</v>
      </c>
      <c r="ATW4" t="s">
        <v>2334</v>
      </c>
      <c r="ATX4" t="s">
        <v>2334</v>
      </c>
      <c r="ATY4" t="s">
        <v>1666</v>
      </c>
      <c r="ATZ4" t="s">
        <v>1666</v>
      </c>
      <c r="AUA4" t="s">
        <v>1666</v>
      </c>
      <c r="AUB4" t="s">
        <v>1671</v>
      </c>
      <c r="AUC4" t="s">
        <v>1674</v>
      </c>
      <c r="AUD4" t="s">
        <v>2455</v>
      </c>
      <c r="AUE4" t="s">
        <v>2455</v>
      </c>
      <c r="AUF4" t="s">
        <v>2455</v>
      </c>
      <c r="AUG4" t="s">
        <v>1678</v>
      </c>
      <c r="AUH4" t="s">
        <v>1678</v>
      </c>
      <c r="AUI4" t="s">
        <v>1678</v>
      </c>
      <c r="AUJ4" t="s">
        <v>1678</v>
      </c>
      <c r="AUK4" t="s">
        <v>2335</v>
      </c>
      <c r="AUL4" t="s">
        <v>2335</v>
      </c>
      <c r="AUM4" t="s">
        <v>2335</v>
      </c>
      <c r="AUN4" t="s">
        <v>2335</v>
      </c>
      <c r="AUO4" t="s">
        <v>2335</v>
      </c>
      <c r="AUP4" t="s">
        <v>2335</v>
      </c>
      <c r="AUQ4" t="s">
        <v>2335</v>
      </c>
      <c r="AUR4" t="s">
        <v>2335</v>
      </c>
      <c r="AUS4" t="s">
        <v>2335</v>
      </c>
      <c r="AUT4" t="s">
        <v>1693</v>
      </c>
      <c r="AUU4" t="s">
        <v>1696</v>
      </c>
      <c r="AUV4" t="s">
        <v>1696</v>
      </c>
      <c r="AUW4" t="s">
        <v>2336</v>
      </c>
      <c r="AUX4" t="s">
        <v>1700</v>
      </c>
      <c r="AUY4" t="s">
        <v>2391</v>
      </c>
      <c r="AUZ4" t="s">
        <v>2391</v>
      </c>
      <c r="AVA4" t="s">
        <v>2391</v>
      </c>
      <c r="AVB4" t="s">
        <v>1707</v>
      </c>
      <c r="AVC4" t="s">
        <v>1709</v>
      </c>
      <c r="AVD4" t="s">
        <v>1709</v>
      </c>
      <c r="AVE4" t="s">
        <v>1712</v>
      </c>
      <c r="AVF4" t="s">
        <v>1712</v>
      </c>
      <c r="AVG4" t="s">
        <v>1712</v>
      </c>
      <c r="AVH4" t="s">
        <v>1712</v>
      </c>
      <c r="AVI4" t="s">
        <v>1712</v>
      </c>
      <c r="AVJ4" t="s">
        <v>1712</v>
      </c>
      <c r="AVK4" t="s">
        <v>2337</v>
      </c>
      <c r="AVL4" t="s">
        <v>2337</v>
      </c>
      <c r="AVM4" t="s">
        <v>2456</v>
      </c>
      <c r="AVN4" t="s">
        <v>1722</v>
      </c>
      <c r="AVO4" t="s">
        <v>1724</v>
      </c>
      <c r="AVP4" t="s">
        <v>1724</v>
      </c>
      <c r="AVQ4" t="s">
        <v>1726</v>
      </c>
      <c r="AVR4" t="s">
        <v>1726</v>
      </c>
      <c r="AVS4" t="s">
        <v>1729</v>
      </c>
      <c r="AVT4" t="s">
        <v>1729</v>
      </c>
      <c r="AVU4" t="s">
        <v>1729</v>
      </c>
      <c r="AVV4" t="s">
        <v>1729</v>
      </c>
      <c r="AVW4" t="s">
        <v>2457</v>
      </c>
      <c r="AVX4" t="s">
        <v>2457</v>
      </c>
      <c r="AVY4" t="s">
        <v>2338</v>
      </c>
      <c r="AVZ4" t="s">
        <v>2338</v>
      </c>
      <c r="AWA4" t="s">
        <v>1738</v>
      </c>
      <c r="AWB4" t="s">
        <v>2339</v>
      </c>
      <c r="AWC4" t="s">
        <v>2340</v>
      </c>
      <c r="AWD4" t="s">
        <v>1742</v>
      </c>
      <c r="AWE4" t="s">
        <v>1742</v>
      </c>
      <c r="AWF4" t="s">
        <v>1742</v>
      </c>
      <c r="AWG4" t="s">
        <v>2341</v>
      </c>
      <c r="AWH4" t="s">
        <v>2341</v>
      </c>
      <c r="AWI4" t="s">
        <v>1749</v>
      </c>
      <c r="AWJ4" t="s">
        <v>1751</v>
      </c>
      <c r="AWK4" t="s">
        <v>1751</v>
      </c>
      <c r="AWL4" t="s">
        <v>1755</v>
      </c>
      <c r="AWM4" t="s">
        <v>1757</v>
      </c>
      <c r="AWN4" t="s">
        <v>1757</v>
      </c>
      <c r="AWO4" t="s">
        <v>2342</v>
      </c>
      <c r="AWP4" t="s">
        <v>1761</v>
      </c>
      <c r="AWQ4" t="s">
        <v>1761</v>
      </c>
      <c r="AWR4" t="s">
        <v>1761</v>
      </c>
      <c r="AWS4" t="s">
        <v>1761</v>
      </c>
      <c r="AWT4" t="s">
        <v>1766</v>
      </c>
      <c r="AWU4" t="s">
        <v>2343</v>
      </c>
      <c r="AWV4" t="s">
        <v>1769</v>
      </c>
      <c r="AWW4" t="s">
        <v>1769</v>
      </c>
      <c r="AWX4" t="s">
        <v>1772</v>
      </c>
      <c r="AWY4" t="s">
        <v>1774</v>
      </c>
      <c r="AWZ4" t="s">
        <v>1776</v>
      </c>
      <c r="AXA4" t="s">
        <v>1776</v>
      </c>
      <c r="AXB4" t="s">
        <v>1776</v>
      </c>
      <c r="AXC4" t="s">
        <v>2344</v>
      </c>
      <c r="AXD4" t="s">
        <v>2344</v>
      </c>
      <c r="AXE4" t="s">
        <v>2344</v>
      </c>
      <c r="AXF4" t="s">
        <v>1783</v>
      </c>
      <c r="AXG4" t="s">
        <v>2345</v>
      </c>
      <c r="AXH4" t="s">
        <v>1786</v>
      </c>
      <c r="AXI4" t="s">
        <v>1788</v>
      </c>
      <c r="AXJ4" t="s">
        <v>1788</v>
      </c>
      <c r="AXK4" t="s">
        <v>2392</v>
      </c>
      <c r="AXL4" t="s">
        <v>1793</v>
      </c>
      <c r="AXM4" t="s">
        <v>1795</v>
      </c>
      <c r="AXN4" t="s">
        <v>1795</v>
      </c>
      <c r="AXO4" t="s">
        <v>1798</v>
      </c>
      <c r="AXP4" t="s">
        <v>1798</v>
      </c>
      <c r="AXQ4" t="s">
        <v>2346</v>
      </c>
      <c r="AXR4" t="s">
        <v>1802</v>
      </c>
      <c r="AXS4" t="s">
        <v>1802</v>
      </c>
      <c r="AXT4" t="s">
        <v>2347</v>
      </c>
      <c r="AXU4" t="s">
        <v>2347</v>
      </c>
      <c r="AXV4" t="s">
        <v>1807</v>
      </c>
      <c r="AXW4" t="s">
        <v>2348</v>
      </c>
      <c r="AXX4" t="s">
        <v>1810</v>
      </c>
      <c r="AXY4" t="s">
        <v>1810</v>
      </c>
      <c r="AXZ4" t="s">
        <v>1810</v>
      </c>
      <c r="AYA4" t="s">
        <v>1814</v>
      </c>
      <c r="AYB4" t="s">
        <v>1816</v>
      </c>
      <c r="AYC4" t="s">
        <v>1818</v>
      </c>
      <c r="AYD4" t="s">
        <v>1818</v>
      </c>
      <c r="AYE4" t="s">
        <v>1818</v>
      </c>
      <c r="AYF4" t="s">
        <v>2481</v>
      </c>
      <c r="AYG4" t="s">
        <v>2481</v>
      </c>
      <c r="AYH4" t="s">
        <v>2349</v>
      </c>
      <c r="AYI4" t="s">
        <v>2349</v>
      </c>
      <c r="AYJ4" t="s">
        <v>2349</v>
      </c>
      <c r="AYK4" t="s">
        <v>2349</v>
      </c>
      <c r="AYL4" t="s">
        <v>2350</v>
      </c>
      <c r="AYM4" t="s">
        <v>2350</v>
      </c>
      <c r="AYN4" t="s">
        <v>2350</v>
      </c>
      <c r="AYO4" t="s">
        <v>2350</v>
      </c>
      <c r="AYP4" t="s">
        <v>2350</v>
      </c>
      <c r="AYQ4" t="s">
        <v>2350</v>
      </c>
      <c r="AYR4" t="s">
        <v>2351</v>
      </c>
      <c r="AYS4" t="s">
        <v>1833</v>
      </c>
      <c r="AYT4" t="s">
        <v>1833</v>
      </c>
      <c r="AYU4" t="s">
        <v>2458</v>
      </c>
      <c r="AYV4" t="s">
        <v>1837</v>
      </c>
      <c r="AYW4" t="s">
        <v>1837</v>
      </c>
      <c r="AYX4" t="s">
        <v>1840</v>
      </c>
      <c r="AYY4" t="s">
        <v>1840</v>
      </c>
      <c r="AYZ4" t="s">
        <v>1840</v>
      </c>
      <c r="AZA4" t="s">
        <v>1844</v>
      </c>
      <c r="AZB4" t="s">
        <v>1845</v>
      </c>
      <c r="AZC4" t="s">
        <v>1847</v>
      </c>
      <c r="AZD4" t="s">
        <v>1847</v>
      </c>
      <c r="AZE4" t="s">
        <v>1850</v>
      </c>
      <c r="AZF4" t="s">
        <v>1850</v>
      </c>
      <c r="AZG4" t="s">
        <v>1850</v>
      </c>
      <c r="AZH4" t="s">
        <v>1853</v>
      </c>
      <c r="AZI4" t="s">
        <v>1853</v>
      </c>
      <c r="AZJ4" t="s">
        <v>1856</v>
      </c>
      <c r="AZK4" t="s">
        <v>1856</v>
      </c>
      <c r="AZL4" t="s">
        <v>1859</v>
      </c>
      <c r="AZM4" t="s">
        <v>1859</v>
      </c>
      <c r="AZN4" t="s">
        <v>1863</v>
      </c>
      <c r="AZO4" t="s">
        <v>1863</v>
      </c>
      <c r="AZP4" t="s">
        <v>1867</v>
      </c>
      <c r="AZQ4" t="s">
        <v>1867</v>
      </c>
      <c r="AZR4" t="s">
        <v>1870</v>
      </c>
      <c r="AZS4" t="s">
        <v>1870</v>
      </c>
      <c r="AZT4" t="s">
        <v>1870</v>
      </c>
      <c r="AZU4" t="s">
        <v>2459</v>
      </c>
      <c r="AZV4" t="s">
        <v>2352</v>
      </c>
      <c r="AZW4" t="s">
        <v>2352</v>
      </c>
      <c r="AZX4" t="s">
        <v>2352</v>
      </c>
      <c r="AZY4" t="s">
        <v>2352</v>
      </c>
      <c r="AZZ4" t="s">
        <v>2460</v>
      </c>
      <c r="BAA4" t="s">
        <v>2460</v>
      </c>
      <c r="BAB4" t="s">
        <v>2353</v>
      </c>
      <c r="BAC4" t="s">
        <v>2353</v>
      </c>
      <c r="BAD4" t="s">
        <v>2353</v>
      </c>
      <c r="BAE4" t="s">
        <v>2353</v>
      </c>
      <c r="BAF4" t="s">
        <v>2482</v>
      </c>
      <c r="BAG4" t="s">
        <v>2482</v>
      </c>
      <c r="BAH4" t="s">
        <v>1887</v>
      </c>
      <c r="BAI4" t="s">
        <v>2354</v>
      </c>
      <c r="BAJ4" t="s">
        <v>2354</v>
      </c>
      <c r="BAK4" t="s">
        <v>2354</v>
      </c>
      <c r="BAL4" t="s">
        <v>2355</v>
      </c>
      <c r="BAM4" t="s">
        <v>1893</v>
      </c>
      <c r="BAN4" t="s">
        <v>2356</v>
      </c>
      <c r="BAO4" t="s">
        <v>1896</v>
      </c>
      <c r="BAP4" t="s">
        <v>1896</v>
      </c>
      <c r="BAQ4" t="s">
        <v>1896</v>
      </c>
      <c r="BAR4" t="s">
        <v>1900</v>
      </c>
      <c r="BAS4" t="s">
        <v>1902</v>
      </c>
      <c r="BAT4" t="s">
        <v>1904</v>
      </c>
      <c r="BAU4" t="s">
        <v>1904</v>
      </c>
      <c r="BAV4" t="s">
        <v>1904</v>
      </c>
      <c r="BAW4" t="s">
        <v>1910</v>
      </c>
      <c r="BAX4" t="s">
        <v>1910</v>
      </c>
      <c r="BAY4" t="s">
        <v>1910</v>
      </c>
      <c r="BAZ4" t="s">
        <v>1914</v>
      </c>
      <c r="BBA4" t="s">
        <v>1914</v>
      </c>
      <c r="BBB4" t="s">
        <v>1914</v>
      </c>
      <c r="BBC4" t="s">
        <v>1914</v>
      </c>
      <c r="BBD4" t="s">
        <v>1919</v>
      </c>
      <c r="BBE4" t="s">
        <v>1921</v>
      </c>
      <c r="BBF4" t="s">
        <v>1923</v>
      </c>
      <c r="BBG4" t="s">
        <v>1925</v>
      </c>
      <c r="BBH4" t="s">
        <v>2461</v>
      </c>
      <c r="BBI4" t="s">
        <v>2461</v>
      </c>
      <c r="BBJ4" t="s">
        <v>2357</v>
      </c>
      <c r="BBK4" t="s">
        <v>1931</v>
      </c>
      <c r="BBL4" t="s">
        <v>1931</v>
      </c>
      <c r="BBM4" t="s">
        <v>1931</v>
      </c>
      <c r="BBN4" t="s">
        <v>1931</v>
      </c>
      <c r="BBO4" t="s">
        <v>1933</v>
      </c>
      <c r="BBP4" t="s">
        <v>1935</v>
      </c>
      <c r="BBQ4" t="s">
        <v>1935</v>
      </c>
      <c r="BBR4" t="s">
        <v>1937</v>
      </c>
      <c r="BBS4" t="s">
        <v>1937</v>
      </c>
      <c r="BBT4" t="s">
        <v>2358</v>
      </c>
      <c r="BBU4" t="s">
        <v>2358</v>
      </c>
      <c r="BBV4" t="s">
        <v>1942</v>
      </c>
      <c r="BBW4" t="s">
        <v>1942</v>
      </c>
      <c r="BBX4" t="s">
        <v>2359</v>
      </c>
      <c r="BBY4" t="s">
        <v>2359</v>
      </c>
      <c r="BBZ4" t="s">
        <v>2359</v>
      </c>
      <c r="BCA4" t="s">
        <v>1947</v>
      </c>
      <c r="BCB4" t="s">
        <v>2360</v>
      </c>
      <c r="BCC4" t="s">
        <v>2360</v>
      </c>
      <c r="BCD4" t="s">
        <v>2360</v>
      </c>
      <c r="BCE4" t="s">
        <v>2360</v>
      </c>
      <c r="BCF4" t="s">
        <v>2360</v>
      </c>
      <c r="BCG4" t="s">
        <v>1954</v>
      </c>
      <c r="BCH4" t="s">
        <v>1956</v>
      </c>
      <c r="BCI4" t="s">
        <v>2361</v>
      </c>
      <c r="BCJ4" t="s">
        <v>2361</v>
      </c>
      <c r="BCK4" t="s">
        <v>2362</v>
      </c>
      <c r="BCL4" t="s">
        <v>2362</v>
      </c>
      <c r="BCM4" t="s">
        <v>2362</v>
      </c>
      <c r="BCN4" t="s">
        <v>2363</v>
      </c>
      <c r="BCO4" t="s">
        <v>2363</v>
      </c>
      <c r="BCP4" t="s">
        <v>2363</v>
      </c>
      <c r="BCQ4" t="s">
        <v>2363</v>
      </c>
      <c r="BCR4" t="s">
        <v>2363</v>
      </c>
      <c r="BCS4" t="s">
        <v>2363</v>
      </c>
      <c r="BCT4" t="s">
        <v>1969</v>
      </c>
      <c r="BCU4" t="s">
        <v>1969</v>
      </c>
      <c r="BCV4" t="s">
        <v>2364</v>
      </c>
      <c r="BCW4" t="s">
        <v>2364</v>
      </c>
      <c r="BCX4" t="s">
        <v>2364</v>
      </c>
      <c r="BCY4" t="s">
        <v>1975</v>
      </c>
      <c r="BCZ4" t="s">
        <v>1977</v>
      </c>
      <c r="BDA4" t="s">
        <v>1979</v>
      </c>
      <c r="BDB4" t="s">
        <v>1981</v>
      </c>
      <c r="BDC4" t="s">
        <v>1983</v>
      </c>
      <c r="BDD4" t="s">
        <v>2365</v>
      </c>
      <c r="BDE4" t="s">
        <v>2365</v>
      </c>
      <c r="BDF4" t="s">
        <v>1987</v>
      </c>
      <c r="BDG4" t="s">
        <v>1989</v>
      </c>
      <c r="BDH4" t="s">
        <v>1989</v>
      </c>
      <c r="BDI4" t="s">
        <v>2366</v>
      </c>
      <c r="BDJ4" t="s">
        <v>2366</v>
      </c>
      <c r="BDK4" t="s">
        <v>2366</v>
      </c>
      <c r="BDL4" t="s">
        <v>2366</v>
      </c>
      <c r="BDM4" t="s">
        <v>1997</v>
      </c>
      <c r="BDN4" t="s">
        <v>1999</v>
      </c>
      <c r="BDO4" t="s">
        <v>2483</v>
      </c>
      <c r="BDP4" t="s">
        <v>2367</v>
      </c>
      <c r="BDQ4" t="s">
        <v>2368</v>
      </c>
      <c r="BDR4" t="s">
        <v>2369</v>
      </c>
      <c r="BDS4" t="s">
        <v>2369</v>
      </c>
      <c r="BDT4" t="s">
        <v>2369</v>
      </c>
      <c r="BDU4" t="s">
        <v>2369</v>
      </c>
      <c r="BDV4" t="s">
        <v>2369</v>
      </c>
      <c r="BDW4" t="s">
        <v>2369</v>
      </c>
      <c r="BDX4" t="s">
        <v>2010</v>
      </c>
      <c r="BDY4" t="s">
        <v>2010</v>
      </c>
      <c r="BDZ4" t="s">
        <v>2013</v>
      </c>
      <c r="BEA4" t="s">
        <v>2013</v>
      </c>
      <c r="BEB4" t="s">
        <v>2013</v>
      </c>
      <c r="BEC4" t="s">
        <v>2462</v>
      </c>
      <c r="BED4" t="s">
        <v>2462</v>
      </c>
      <c r="BEE4" t="s">
        <v>2462</v>
      </c>
      <c r="BEF4" t="s">
        <v>2370</v>
      </c>
      <c r="BEG4" t="s">
        <v>2370</v>
      </c>
      <c r="BEH4" t="s">
        <v>2371</v>
      </c>
      <c r="BEI4" t="s">
        <v>2371</v>
      </c>
      <c r="BEJ4" t="s">
        <v>2371</v>
      </c>
      <c r="BEK4" t="s">
        <v>2372</v>
      </c>
      <c r="BEL4" t="s">
        <v>2026</v>
      </c>
      <c r="BEM4" t="s">
        <v>2026</v>
      </c>
      <c r="BEN4" t="s">
        <v>2028</v>
      </c>
      <c r="BEO4" t="s">
        <v>2028</v>
      </c>
      <c r="BEP4" t="s">
        <v>2028</v>
      </c>
      <c r="BEQ4" t="s">
        <v>2032</v>
      </c>
      <c r="BER4" t="s">
        <v>2034</v>
      </c>
      <c r="BES4" t="s">
        <v>2036</v>
      </c>
      <c r="BET4" t="s">
        <v>2393</v>
      </c>
      <c r="BEU4" t="s">
        <v>2373</v>
      </c>
      <c r="BEV4" t="s">
        <v>2041</v>
      </c>
      <c r="BEW4" t="s">
        <v>2041</v>
      </c>
      <c r="BEX4" t="s">
        <v>2044</v>
      </c>
      <c r="BEY4" t="s">
        <v>2484</v>
      </c>
      <c r="BEZ4" t="s">
        <v>2374</v>
      </c>
      <c r="BFA4" t="s">
        <v>2374</v>
      </c>
      <c r="BFB4" t="s">
        <v>2049</v>
      </c>
      <c r="BFC4" t="s">
        <v>2049</v>
      </c>
      <c r="BFD4" t="s">
        <v>2053</v>
      </c>
      <c r="BFE4" t="s">
        <v>2053</v>
      </c>
      <c r="BFF4" t="s">
        <v>2053</v>
      </c>
      <c r="BFG4" t="s">
        <v>2053</v>
      </c>
      <c r="BFH4" t="s">
        <v>2059</v>
      </c>
      <c r="BFI4" t="s">
        <v>2061</v>
      </c>
      <c r="BFJ4" t="s">
        <v>2061</v>
      </c>
      <c r="BFK4" t="s">
        <v>2375</v>
      </c>
      <c r="BFL4" t="s">
        <v>2065</v>
      </c>
      <c r="BFM4" t="s">
        <v>2065</v>
      </c>
      <c r="BFN4" t="s">
        <v>2065</v>
      </c>
      <c r="BFO4" t="s">
        <v>2070</v>
      </c>
      <c r="BFP4" t="s">
        <v>2072</v>
      </c>
      <c r="BFQ4" t="s">
        <v>2074</v>
      </c>
      <c r="BFR4" t="s">
        <v>2074</v>
      </c>
      <c r="BFS4" t="s">
        <v>2074</v>
      </c>
      <c r="BFT4" t="s">
        <v>2074</v>
      </c>
      <c r="BFU4" t="s">
        <v>2463</v>
      </c>
      <c r="BFV4" t="s">
        <v>2376</v>
      </c>
      <c r="BFW4" t="s">
        <v>2471</v>
      </c>
      <c r="BFX4" t="s">
        <v>2471</v>
      </c>
      <c r="BFY4" t="s">
        <v>2464</v>
      </c>
      <c r="BFZ4" t="s">
        <v>2464</v>
      </c>
      <c r="BGA4" t="s">
        <v>2464</v>
      </c>
      <c r="BGB4" t="s">
        <v>2087</v>
      </c>
      <c r="BGC4" t="s">
        <v>2377</v>
      </c>
      <c r="BGD4" t="s">
        <v>2090</v>
      </c>
      <c r="BGE4" t="s">
        <v>2090</v>
      </c>
      <c r="BGF4" t="s">
        <v>2378</v>
      </c>
      <c r="BGG4" t="s">
        <v>2378</v>
      </c>
      <c r="BGH4" t="s">
        <v>2465</v>
      </c>
      <c r="BGI4" t="s">
        <v>2465</v>
      </c>
      <c r="BGJ4" t="s">
        <v>2097</v>
      </c>
      <c r="BGK4" t="s">
        <v>2379</v>
      </c>
      <c r="BGL4" t="s">
        <v>2379</v>
      </c>
      <c r="BGM4" t="s">
        <v>2379</v>
      </c>
      <c r="BGN4" t="s">
        <v>2380</v>
      </c>
      <c r="BGO4" t="s">
        <v>2103</v>
      </c>
      <c r="BGP4" t="s">
        <v>2103</v>
      </c>
      <c r="BGQ4" t="s">
        <v>2103</v>
      </c>
      <c r="BGR4" t="s">
        <v>2466</v>
      </c>
      <c r="BGS4" t="s">
        <v>2466</v>
      </c>
      <c r="BGT4" t="s">
        <v>2466</v>
      </c>
      <c r="BGU4" t="s">
        <v>2381</v>
      </c>
      <c r="BGV4" t="s">
        <v>2381</v>
      </c>
      <c r="BGW4" t="s">
        <v>2112</v>
      </c>
      <c r="BGX4" t="s">
        <v>2114</v>
      </c>
      <c r="BGY4" t="s">
        <v>2117</v>
      </c>
    </row>
    <row r="5" spans="1:1559" x14ac:dyDescent="0.25">
      <c r="A5" t="str">
        <f t="shared" si="0"/>
        <v>Capa</v>
      </c>
      <c r="B5" t="s">
        <v>2196</v>
      </c>
      <c r="C5" t="s">
        <v>10</v>
      </c>
      <c r="D5" t="s">
        <v>11</v>
      </c>
      <c r="E5" s="2">
        <v>268614</v>
      </c>
      <c r="H5" t="s">
        <v>2189</v>
      </c>
      <c r="I5" t="s">
        <v>5</v>
      </c>
      <c r="J5" t="s">
        <v>5</v>
      </c>
      <c r="K5" t="s">
        <v>8</v>
      </c>
      <c r="L5" t="s">
        <v>10</v>
      </c>
      <c r="M5" t="s">
        <v>13</v>
      </c>
      <c r="N5" t="s">
        <v>10</v>
      </c>
      <c r="O5" t="s">
        <v>13</v>
      </c>
      <c r="P5" t="s">
        <v>10</v>
      </c>
      <c r="Q5" t="s">
        <v>13</v>
      </c>
      <c r="R5" t="s">
        <v>2467</v>
      </c>
      <c r="S5" t="s">
        <v>23</v>
      </c>
      <c r="T5" t="s">
        <v>23</v>
      </c>
      <c r="U5" t="s">
        <v>26</v>
      </c>
      <c r="V5" t="s">
        <v>28</v>
      </c>
      <c r="W5" t="s">
        <v>30</v>
      </c>
      <c r="X5" t="s">
        <v>13</v>
      </c>
      <c r="Y5" t="s">
        <v>10</v>
      </c>
      <c r="Z5" t="s">
        <v>13</v>
      </c>
      <c r="AA5" t="s">
        <v>8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10</v>
      </c>
      <c r="AH5" t="s">
        <v>45</v>
      </c>
      <c r="AI5" t="s">
        <v>47</v>
      </c>
      <c r="AJ5" t="s">
        <v>49</v>
      </c>
      <c r="AK5" t="s">
        <v>8</v>
      </c>
      <c r="AL5" t="s">
        <v>10</v>
      </c>
      <c r="AM5" t="s">
        <v>10</v>
      </c>
      <c r="AN5" t="s">
        <v>13</v>
      </c>
      <c r="AO5" t="s">
        <v>47</v>
      </c>
      <c r="AP5" t="s">
        <v>8</v>
      </c>
      <c r="AQ5" t="s">
        <v>57</v>
      </c>
      <c r="AR5" t="s">
        <v>37</v>
      </c>
      <c r="AS5" t="s">
        <v>37</v>
      </c>
      <c r="AT5" t="s">
        <v>61</v>
      </c>
      <c r="AU5" t="s">
        <v>62</v>
      </c>
      <c r="AV5" t="s">
        <v>64</v>
      </c>
      <c r="AW5" t="s">
        <v>8</v>
      </c>
      <c r="AX5" t="s">
        <v>13</v>
      </c>
      <c r="AY5" t="s">
        <v>64</v>
      </c>
      <c r="AZ5" t="s">
        <v>10</v>
      </c>
      <c r="BA5" t="s">
        <v>8</v>
      </c>
      <c r="BB5" t="s">
        <v>8</v>
      </c>
      <c r="BC5" t="s">
        <v>64</v>
      </c>
      <c r="BD5" t="s">
        <v>73</v>
      </c>
      <c r="BE5" t="s">
        <v>73</v>
      </c>
      <c r="BF5" t="s">
        <v>73</v>
      </c>
      <c r="BG5" t="s">
        <v>73</v>
      </c>
      <c r="BH5" t="s">
        <v>73</v>
      </c>
      <c r="BI5" t="s">
        <v>8</v>
      </c>
      <c r="BJ5" t="s">
        <v>10</v>
      </c>
      <c r="BK5" t="s">
        <v>28</v>
      </c>
      <c r="BL5" t="s">
        <v>13</v>
      </c>
      <c r="BM5" t="s">
        <v>13</v>
      </c>
      <c r="BN5" t="s">
        <v>37</v>
      </c>
      <c r="BO5" t="s">
        <v>5</v>
      </c>
      <c r="BP5" t="s">
        <v>10</v>
      </c>
      <c r="BQ5" t="s">
        <v>89</v>
      </c>
      <c r="BR5" t="s">
        <v>49</v>
      </c>
      <c r="BS5" t="s">
        <v>2467</v>
      </c>
      <c r="BT5" t="s">
        <v>28</v>
      </c>
      <c r="BU5" t="s">
        <v>30</v>
      </c>
      <c r="BV5" t="s">
        <v>13</v>
      </c>
      <c r="BW5" t="s">
        <v>47</v>
      </c>
      <c r="BX5" t="s">
        <v>47</v>
      </c>
      <c r="BY5" t="s">
        <v>64</v>
      </c>
      <c r="BZ5" t="s">
        <v>49</v>
      </c>
      <c r="CA5" t="s">
        <v>8</v>
      </c>
      <c r="CB5" t="s">
        <v>10</v>
      </c>
      <c r="CC5" t="s">
        <v>13</v>
      </c>
      <c r="CD5" t="s">
        <v>13</v>
      </c>
      <c r="CE5" t="s">
        <v>13</v>
      </c>
      <c r="CF5" t="s">
        <v>10</v>
      </c>
      <c r="CG5" t="s">
        <v>37</v>
      </c>
      <c r="CH5" t="s">
        <v>110</v>
      </c>
      <c r="CI5" t="s">
        <v>110</v>
      </c>
      <c r="CJ5" t="s">
        <v>110</v>
      </c>
      <c r="CK5" t="s">
        <v>110</v>
      </c>
      <c r="CL5" t="s">
        <v>110</v>
      </c>
      <c r="CM5" t="s">
        <v>110</v>
      </c>
      <c r="CN5" t="s">
        <v>110</v>
      </c>
      <c r="CO5" t="s">
        <v>13</v>
      </c>
      <c r="CP5" t="s">
        <v>13</v>
      </c>
      <c r="CQ5" t="s">
        <v>10</v>
      </c>
      <c r="CR5" t="s">
        <v>123</v>
      </c>
      <c r="CS5" t="s">
        <v>123</v>
      </c>
      <c r="CT5" t="s">
        <v>47</v>
      </c>
      <c r="CU5" t="s">
        <v>37</v>
      </c>
      <c r="CV5" t="s">
        <v>10</v>
      </c>
      <c r="CW5" t="s">
        <v>130</v>
      </c>
      <c r="CX5" t="s">
        <v>132</v>
      </c>
      <c r="CY5" t="s">
        <v>132</v>
      </c>
      <c r="CZ5" t="s">
        <v>110</v>
      </c>
      <c r="DA5" t="s">
        <v>110</v>
      </c>
      <c r="DB5" t="s">
        <v>110</v>
      </c>
      <c r="DC5" t="s">
        <v>138</v>
      </c>
      <c r="DD5" t="s">
        <v>8</v>
      </c>
      <c r="DE5" t="s">
        <v>142</v>
      </c>
      <c r="DF5" t="s">
        <v>10</v>
      </c>
      <c r="DG5" t="s">
        <v>47</v>
      </c>
      <c r="DH5" t="s">
        <v>49</v>
      </c>
      <c r="DI5" t="s">
        <v>10</v>
      </c>
      <c r="DJ5" t="s">
        <v>149</v>
      </c>
      <c r="DK5" t="s">
        <v>151</v>
      </c>
      <c r="DL5" t="s">
        <v>153</v>
      </c>
      <c r="DM5" t="s">
        <v>13</v>
      </c>
      <c r="DN5" t="s">
        <v>10</v>
      </c>
      <c r="DO5" t="s">
        <v>10</v>
      </c>
      <c r="DP5" t="s">
        <v>13</v>
      </c>
      <c r="DQ5" t="s">
        <v>8</v>
      </c>
      <c r="DR5" t="s">
        <v>160</v>
      </c>
      <c r="DS5" t="s">
        <v>8</v>
      </c>
      <c r="DT5" t="s">
        <v>10</v>
      </c>
      <c r="DU5" t="s">
        <v>13</v>
      </c>
      <c r="DV5" t="s">
        <v>10</v>
      </c>
      <c r="DW5" t="s">
        <v>13</v>
      </c>
      <c r="DX5" t="s">
        <v>47</v>
      </c>
      <c r="DY5" t="s">
        <v>47</v>
      </c>
      <c r="DZ5" t="s">
        <v>8</v>
      </c>
      <c r="EA5" t="s">
        <v>10</v>
      </c>
      <c r="EB5" t="s">
        <v>130</v>
      </c>
      <c r="EC5" t="s">
        <v>10</v>
      </c>
      <c r="ED5" t="s">
        <v>176</v>
      </c>
      <c r="EE5" t="s">
        <v>10</v>
      </c>
      <c r="EF5" t="s">
        <v>10</v>
      </c>
      <c r="EG5" t="s">
        <v>57</v>
      </c>
      <c r="EH5" t="s">
        <v>184</v>
      </c>
      <c r="EI5" t="s">
        <v>186</v>
      </c>
      <c r="EJ5" t="s">
        <v>64</v>
      </c>
      <c r="EK5" t="s">
        <v>10</v>
      </c>
      <c r="EL5" t="s">
        <v>13</v>
      </c>
      <c r="EM5" t="s">
        <v>13</v>
      </c>
      <c r="EN5" t="s">
        <v>47</v>
      </c>
      <c r="EO5" t="s">
        <v>13</v>
      </c>
      <c r="EP5" t="s">
        <v>10</v>
      </c>
      <c r="EQ5" t="s">
        <v>10</v>
      </c>
      <c r="ER5" t="s">
        <v>2467</v>
      </c>
      <c r="ES5" t="s">
        <v>2467</v>
      </c>
      <c r="ET5" t="s">
        <v>28</v>
      </c>
      <c r="EU5" t="s">
        <v>28</v>
      </c>
      <c r="EV5" t="s">
        <v>202</v>
      </c>
      <c r="EW5" t="s">
        <v>204</v>
      </c>
      <c r="EX5" t="s">
        <v>207</v>
      </c>
      <c r="EY5" t="s">
        <v>10</v>
      </c>
      <c r="EZ5" t="s">
        <v>13</v>
      </c>
      <c r="FA5" t="s">
        <v>8</v>
      </c>
      <c r="FB5" t="s">
        <v>13</v>
      </c>
      <c r="FC5" t="s">
        <v>26</v>
      </c>
      <c r="FD5" t="s">
        <v>30</v>
      </c>
      <c r="FE5" t="s">
        <v>47</v>
      </c>
      <c r="FF5" t="s">
        <v>47</v>
      </c>
      <c r="FG5" t="s">
        <v>64</v>
      </c>
      <c r="FH5" t="s">
        <v>61</v>
      </c>
      <c r="FI5" t="s">
        <v>220</v>
      </c>
      <c r="FJ5" t="s">
        <v>130</v>
      </c>
      <c r="FK5" t="s">
        <v>130</v>
      </c>
      <c r="FL5" t="s">
        <v>224</v>
      </c>
      <c r="FM5" t="s">
        <v>226</v>
      </c>
      <c r="FN5" t="s">
        <v>228</v>
      </c>
      <c r="FO5" t="s">
        <v>10</v>
      </c>
      <c r="FP5" t="s">
        <v>2467</v>
      </c>
      <c r="FQ5" t="s">
        <v>2467</v>
      </c>
      <c r="FR5" t="s">
        <v>235</v>
      </c>
      <c r="FS5" t="s">
        <v>235</v>
      </c>
      <c r="FT5" t="s">
        <v>47</v>
      </c>
      <c r="FU5" t="s">
        <v>8</v>
      </c>
      <c r="FV5" t="s">
        <v>10</v>
      </c>
      <c r="FW5" t="s">
        <v>8</v>
      </c>
      <c r="FX5" t="s">
        <v>62</v>
      </c>
      <c r="FY5" t="s">
        <v>10</v>
      </c>
      <c r="FZ5" t="s">
        <v>13</v>
      </c>
      <c r="GA5" t="s">
        <v>160</v>
      </c>
      <c r="GB5" t="s">
        <v>160</v>
      </c>
      <c r="GC5" t="s">
        <v>160</v>
      </c>
      <c r="GD5" t="s">
        <v>249</v>
      </c>
      <c r="GE5" t="s">
        <v>204</v>
      </c>
      <c r="GF5" t="s">
        <v>10</v>
      </c>
      <c r="GG5" t="s">
        <v>13</v>
      </c>
      <c r="GH5" t="s">
        <v>257</v>
      </c>
      <c r="GI5" t="s">
        <v>28</v>
      </c>
      <c r="GJ5" t="s">
        <v>13</v>
      </c>
      <c r="GK5" t="s">
        <v>176</v>
      </c>
      <c r="GL5" t="s">
        <v>37</v>
      </c>
      <c r="GM5" t="s">
        <v>249</v>
      </c>
      <c r="GN5" t="s">
        <v>204</v>
      </c>
      <c r="GO5" t="s">
        <v>160</v>
      </c>
      <c r="GP5" t="s">
        <v>13</v>
      </c>
      <c r="GQ5" t="s">
        <v>13</v>
      </c>
      <c r="GR5" t="s">
        <v>62</v>
      </c>
      <c r="GS5" t="s">
        <v>176</v>
      </c>
      <c r="GT5" t="s">
        <v>10</v>
      </c>
      <c r="GU5" t="s">
        <v>47</v>
      </c>
      <c r="GV5" t="s">
        <v>37</v>
      </c>
      <c r="GW5" t="s">
        <v>13</v>
      </c>
      <c r="GX5" t="s">
        <v>13</v>
      </c>
      <c r="GY5" t="s">
        <v>235</v>
      </c>
      <c r="GZ5" t="s">
        <v>13</v>
      </c>
      <c r="HA5" t="s">
        <v>13</v>
      </c>
      <c r="HB5" t="s">
        <v>10</v>
      </c>
      <c r="HC5" t="s">
        <v>202</v>
      </c>
      <c r="HD5" t="s">
        <v>57</v>
      </c>
      <c r="HE5" t="s">
        <v>57</v>
      </c>
      <c r="HF5" t="s">
        <v>290</v>
      </c>
      <c r="HG5" t="s">
        <v>13</v>
      </c>
      <c r="HH5" t="s">
        <v>26</v>
      </c>
      <c r="HI5" t="s">
        <v>28</v>
      </c>
      <c r="HJ5" t="s">
        <v>61</v>
      </c>
      <c r="HK5" t="s">
        <v>297</v>
      </c>
      <c r="HL5" t="s">
        <v>297</v>
      </c>
      <c r="HM5" t="s">
        <v>13</v>
      </c>
      <c r="HN5" t="s">
        <v>10</v>
      </c>
      <c r="HO5" t="s">
        <v>5</v>
      </c>
      <c r="HP5" t="s">
        <v>5</v>
      </c>
      <c r="HQ5" t="s">
        <v>13</v>
      </c>
      <c r="HR5" t="s">
        <v>184</v>
      </c>
      <c r="HS5" t="s">
        <v>13</v>
      </c>
      <c r="HT5" t="s">
        <v>13</v>
      </c>
      <c r="HU5" t="s">
        <v>10</v>
      </c>
      <c r="HV5" t="s">
        <v>10</v>
      </c>
      <c r="HW5" t="s">
        <v>45</v>
      </c>
      <c r="HX5" t="s">
        <v>47</v>
      </c>
      <c r="HY5" t="s">
        <v>37</v>
      </c>
      <c r="HZ5" t="s">
        <v>13</v>
      </c>
      <c r="IA5" t="s">
        <v>5</v>
      </c>
      <c r="IB5" t="s">
        <v>320</v>
      </c>
      <c r="IC5" t="s">
        <v>207</v>
      </c>
      <c r="ID5" t="s">
        <v>13</v>
      </c>
      <c r="IE5" t="s">
        <v>13</v>
      </c>
      <c r="IF5" t="s">
        <v>37</v>
      </c>
      <c r="IG5" t="s">
        <v>328</v>
      </c>
      <c r="IH5" t="s">
        <v>13</v>
      </c>
      <c r="II5" t="s">
        <v>47</v>
      </c>
      <c r="IJ5" t="s">
        <v>49</v>
      </c>
      <c r="IK5" t="s">
        <v>249</v>
      </c>
      <c r="IL5" t="s">
        <v>320</v>
      </c>
      <c r="IM5" t="s">
        <v>320</v>
      </c>
      <c r="IN5" t="s">
        <v>10</v>
      </c>
      <c r="IO5" t="s">
        <v>37</v>
      </c>
      <c r="IP5" t="s">
        <v>64</v>
      </c>
      <c r="IQ5" t="s">
        <v>340</v>
      </c>
      <c r="IR5" t="s">
        <v>343</v>
      </c>
      <c r="IS5" t="s">
        <v>57</v>
      </c>
      <c r="IT5" t="s">
        <v>8</v>
      </c>
      <c r="IU5" t="s">
        <v>8</v>
      </c>
      <c r="IV5" t="s">
        <v>320</v>
      </c>
      <c r="IW5" t="s">
        <v>320</v>
      </c>
      <c r="IX5" t="s">
        <v>130</v>
      </c>
      <c r="IY5" t="s">
        <v>89</v>
      </c>
      <c r="IZ5" t="s">
        <v>356</v>
      </c>
      <c r="JA5" t="s">
        <v>176</v>
      </c>
      <c r="JB5" t="s">
        <v>10</v>
      </c>
      <c r="JC5" t="s">
        <v>13</v>
      </c>
      <c r="JD5" t="s">
        <v>37</v>
      </c>
      <c r="JE5" t="s">
        <v>110</v>
      </c>
      <c r="JF5" t="s">
        <v>176</v>
      </c>
      <c r="JG5" t="s">
        <v>13</v>
      </c>
      <c r="JH5" t="s">
        <v>5</v>
      </c>
      <c r="JI5" t="s">
        <v>320</v>
      </c>
      <c r="JJ5" t="s">
        <v>37</v>
      </c>
      <c r="JK5" t="s">
        <v>5</v>
      </c>
      <c r="JL5" t="s">
        <v>5</v>
      </c>
      <c r="JM5" t="s">
        <v>320</v>
      </c>
      <c r="JN5" t="s">
        <v>89</v>
      </c>
      <c r="JO5" t="s">
        <v>89</v>
      </c>
      <c r="JP5" t="s">
        <v>379</v>
      </c>
      <c r="JQ5" t="s">
        <v>13</v>
      </c>
      <c r="JR5" t="s">
        <v>384</v>
      </c>
      <c r="JS5" t="s">
        <v>384</v>
      </c>
      <c r="JT5" t="s">
        <v>13</v>
      </c>
      <c r="JU5" t="s">
        <v>61</v>
      </c>
      <c r="JV5" t="s">
        <v>49</v>
      </c>
      <c r="JW5" t="s">
        <v>149</v>
      </c>
      <c r="JX5" t="s">
        <v>149</v>
      </c>
      <c r="JY5" t="s">
        <v>28</v>
      </c>
      <c r="JZ5" t="s">
        <v>45</v>
      </c>
      <c r="KA5" t="s">
        <v>45</v>
      </c>
      <c r="KB5" t="s">
        <v>45</v>
      </c>
      <c r="KC5" t="s">
        <v>47</v>
      </c>
      <c r="KD5" t="s">
        <v>47</v>
      </c>
      <c r="KE5" t="s">
        <v>13</v>
      </c>
      <c r="KF5" t="s">
        <v>28</v>
      </c>
      <c r="KG5" t="s">
        <v>13</v>
      </c>
      <c r="KH5" t="s">
        <v>5</v>
      </c>
      <c r="KI5" t="s">
        <v>320</v>
      </c>
      <c r="KJ5" t="s">
        <v>207</v>
      </c>
      <c r="KK5" t="s">
        <v>47</v>
      </c>
      <c r="KL5" t="s">
        <v>47</v>
      </c>
      <c r="KM5" t="s">
        <v>47</v>
      </c>
      <c r="KN5" t="s">
        <v>62</v>
      </c>
      <c r="KO5" t="s">
        <v>13</v>
      </c>
      <c r="KP5" t="s">
        <v>23</v>
      </c>
      <c r="KQ5" t="s">
        <v>23</v>
      </c>
      <c r="KR5" t="s">
        <v>23</v>
      </c>
      <c r="KS5" t="s">
        <v>13</v>
      </c>
      <c r="KT5" t="s">
        <v>37</v>
      </c>
      <c r="KU5" t="s">
        <v>37</v>
      </c>
      <c r="KV5" t="s">
        <v>37</v>
      </c>
      <c r="KW5" t="s">
        <v>2467</v>
      </c>
      <c r="KX5" t="s">
        <v>28</v>
      </c>
      <c r="KY5" t="s">
        <v>13</v>
      </c>
      <c r="KZ5" t="s">
        <v>47</v>
      </c>
      <c r="LA5" t="s">
        <v>8</v>
      </c>
      <c r="LB5" t="s">
        <v>10</v>
      </c>
      <c r="LC5" t="s">
        <v>10</v>
      </c>
      <c r="LD5" t="s">
        <v>13</v>
      </c>
      <c r="LE5" t="s">
        <v>13</v>
      </c>
      <c r="LF5" t="s">
        <v>10</v>
      </c>
      <c r="LG5" t="s">
        <v>13</v>
      </c>
      <c r="LH5" t="s">
        <v>37</v>
      </c>
      <c r="LI5" t="s">
        <v>320</v>
      </c>
      <c r="LJ5" t="s">
        <v>13</v>
      </c>
      <c r="LK5" t="s">
        <v>47</v>
      </c>
      <c r="LL5" t="s">
        <v>49</v>
      </c>
      <c r="LM5" t="s">
        <v>62</v>
      </c>
      <c r="LN5" t="s">
        <v>13</v>
      </c>
      <c r="LO5" t="s">
        <v>13</v>
      </c>
      <c r="LP5" t="s">
        <v>320</v>
      </c>
      <c r="LQ5" t="s">
        <v>13</v>
      </c>
      <c r="LR5" t="s">
        <v>13</v>
      </c>
      <c r="LS5" t="s">
        <v>320</v>
      </c>
      <c r="LT5" t="s">
        <v>45</v>
      </c>
      <c r="LU5" t="s">
        <v>13</v>
      </c>
      <c r="LV5" t="s">
        <v>13</v>
      </c>
      <c r="LW5" t="s">
        <v>37</v>
      </c>
      <c r="LX5" t="s">
        <v>320</v>
      </c>
      <c r="LY5" t="s">
        <v>5</v>
      </c>
      <c r="LZ5" t="s">
        <v>320</v>
      </c>
      <c r="MA5" t="s">
        <v>13</v>
      </c>
      <c r="MB5" t="s">
        <v>13</v>
      </c>
      <c r="MC5" t="s">
        <v>466</v>
      </c>
      <c r="MD5" t="s">
        <v>10</v>
      </c>
      <c r="ME5" t="s">
        <v>57</v>
      </c>
      <c r="MF5" t="s">
        <v>57</v>
      </c>
      <c r="MG5" t="s">
        <v>13</v>
      </c>
      <c r="MH5" t="s">
        <v>474</v>
      </c>
      <c r="MI5" t="s">
        <v>13</v>
      </c>
      <c r="MJ5" t="s">
        <v>13</v>
      </c>
      <c r="MK5" t="s">
        <v>10</v>
      </c>
      <c r="ML5" t="s">
        <v>202</v>
      </c>
      <c r="MM5" t="s">
        <v>13</v>
      </c>
      <c r="MN5" t="s">
        <v>49</v>
      </c>
      <c r="MO5" t="s">
        <v>62</v>
      </c>
      <c r="MP5" t="s">
        <v>13</v>
      </c>
      <c r="MQ5" t="s">
        <v>10</v>
      </c>
      <c r="MR5" t="s">
        <v>207</v>
      </c>
      <c r="MS5" t="s">
        <v>37</v>
      </c>
      <c r="MT5" t="s">
        <v>47</v>
      </c>
      <c r="MU5" t="s">
        <v>47</v>
      </c>
      <c r="MV5" t="s">
        <v>343</v>
      </c>
      <c r="MW5" t="s">
        <v>320</v>
      </c>
      <c r="MX5" t="s">
        <v>130</v>
      </c>
      <c r="MY5" t="s">
        <v>499</v>
      </c>
      <c r="MZ5" t="s">
        <v>13</v>
      </c>
      <c r="NA5" t="s">
        <v>89</v>
      </c>
      <c r="NB5" t="s">
        <v>13</v>
      </c>
      <c r="NC5" t="s">
        <v>507</v>
      </c>
      <c r="ND5" t="s">
        <v>37</v>
      </c>
      <c r="NE5" t="s">
        <v>510</v>
      </c>
      <c r="NF5" t="s">
        <v>13</v>
      </c>
      <c r="NG5" t="s">
        <v>202</v>
      </c>
      <c r="NH5" t="s">
        <v>13</v>
      </c>
      <c r="NI5" t="s">
        <v>13</v>
      </c>
      <c r="NJ5" t="s">
        <v>61</v>
      </c>
      <c r="NK5" t="s">
        <v>61</v>
      </c>
      <c r="NL5" t="s">
        <v>521</v>
      </c>
      <c r="NM5" t="s">
        <v>61</v>
      </c>
      <c r="NN5" t="s">
        <v>13</v>
      </c>
      <c r="NO5" t="s">
        <v>320</v>
      </c>
      <c r="NP5" t="s">
        <v>13</v>
      </c>
      <c r="NQ5" t="s">
        <v>320</v>
      </c>
      <c r="NR5" t="s">
        <v>13</v>
      </c>
      <c r="NS5" t="s">
        <v>13</v>
      </c>
      <c r="NT5" t="s">
        <v>13</v>
      </c>
      <c r="NU5" t="s">
        <v>13</v>
      </c>
      <c r="NV5" t="s">
        <v>89</v>
      </c>
      <c r="NW5" t="s">
        <v>13</v>
      </c>
      <c r="NX5" t="s">
        <v>89</v>
      </c>
      <c r="NY5" t="s">
        <v>328</v>
      </c>
      <c r="NZ5" t="s">
        <v>542</v>
      </c>
      <c r="OA5" t="s">
        <v>13</v>
      </c>
      <c r="OB5" t="s">
        <v>64</v>
      </c>
      <c r="OC5" t="s">
        <v>64</v>
      </c>
      <c r="OD5" t="s">
        <v>64</v>
      </c>
      <c r="OE5" t="s">
        <v>207</v>
      </c>
      <c r="OF5" t="s">
        <v>551</v>
      </c>
      <c r="OG5" t="s">
        <v>553</v>
      </c>
      <c r="OH5" t="s">
        <v>13</v>
      </c>
      <c r="OI5" t="s">
        <v>556</v>
      </c>
      <c r="OJ5" t="s">
        <v>556</v>
      </c>
      <c r="OK5" t="s">
        <v>64</v>
      </c>
      <c r="OL5" t="s">
        <v>37</v>
      </c>
      <c r="OM5" t="s">
        <v>28</v>
      </c>
      <c r="ON5" t="s">
        <v>13</v>
      </c>
      <c r="OO5" t="s">
        <v>37</v>
      </c>
      <c r="OP5" t="s">
        <v>320</v>
      </c>
      <c r="OQ5" t="s">
        <v>10</v>
      </c>
      <c r="OR5" t="s">
        <v>47</v>
      </c>
      <c r="OS5" t="s">
        <v>37</v>
      </c>
      <c r="OT5" t="s">
        <v>62</v>
      </c>
      <c r="OU5" t="s">
        <v>13</v>
      </c>
      <c r="OV5" t="s">
        <v>89</v>
      </c>
      <c r="OW5" t="s">
        <v>13</v>
      </c>
      <c r="OX5" t="s">
        <v>13</v>
      </c>
      <c r="OY5" t="s">
        <v>37</v>
      </c>
      <c r="OZ5" t="s">
        <v>57</v>
      </c>
      <c r="PA5" t="s">
        <v>57</v>
      </c>
      <c r="PB5" t="s">
        <v>579</v>
      </c>
      <c r="PC5" t="s">
        <v>581</v>
      </c>
      <c r="PD5" t="s">
        <v>581</v>
      </c>
      <c r="PE5" t="s">
        <v>13</v>
      </c>
      <c r="PF5" t="s">
        <v>13</v>
      </c>
      <c r="PG5" t="s">
        <v>579</v>
      </c>
      <c r="PH5" t="s">
        <v>581</v>
      </c>
      <c r="PI5" t="s">
        <v>581</v>
      </c>
      <c r="PJ5" t="s">
        <v>37</v>
      </c>
      <c r="PK5" t="s">
        <v>589</v>
      </c>
      <c r="PL5" t="s">
        <v>2468</v>
      </c>
      <c r="PM5" t="s">
        <v>10</v>
      </c>
      <c r="PN5" t="s">
        <v>184</v>
      </c>
      <c r="PO5" t="s">
        <v>13</v>
      </c>
      <c r="PP5" t="s">
        <v>13</v>
      </c>
      <c r="PQ5" t="s">
        <v>37</v>
      </c>
      <c r="PR5" t="s">
        <v>202</v>
      </c>
      <c r="PS5" t="s">
        <v>13</v>
      </c>
      <c r="PT5" t="s">
        <v>47</v>
      </c>
      <c r="PU5" t="s">
        <v>28</v>
      </c>
      <c r="PV5" t="s">
        <v>13</v>
      </c>
      <c r="PW5" t="s">
        <v>64</v>
      </c>
      <c r="PX5" t="s">
        <v>8</v>
      </c>
      <c r="PY5" t="s">
        <v>62</v>
      </c>
      <c r="PZ5" t="s">
        <v>13</v>
      </c>
      <c r="QA5" t="s">
        <v>37</v>
      </c>
      <c r="QB5" t="s">
        <v>466</v>
      </c>
      <c r="QC5" t="s">
        <v>10</v>
      </c>
      <c r="QD5" t="s">
        <v>57</v>
      </c>
      <c r="QE5" t="s">
        <v>57</v>
      </c>
      <c r="QF5" t="s">
        <v>13</v>
      </c>
      <c r="QG5" t="s">
        <v>320</v>
      </c>
      <c r="QH5" t="s">
        <v>13</v>
      </c>
      <c r="QI5" t="s">
        <v>64</v>
      </c>
      <c r="QJ5" t="s">
        <v>343</v>
      </c>
      <c r="QK5" t="s">
        <v>13</v>
      </c>
      <c r="QL5" t="s">
        <v>64</v>
      </c>
      <c r="QM5" t="s">
        <v>10</v>
      </c>
      <c r="QN5" t="s">
        <v>64</v>
      </c>
      <c r="QO5" t="s">
        <v>507</v>
      </c>
      <c r="QP5" t="s">
        <v>184</v>
      </c>
      <c r="QQ5" t="s">
        <v>37</v>
      </c>
      <c r="QR5" t="s">
        <v>37</v>
      </c>
      <c r="QS5" t="s">
        <v>297</v>
      </c>
      <c r="QT5" t="s">
        <v>297</v>
      </c>
      <c r="QU5" t="s">
        <v>297</v>
      </c>
      <c r="QV5" t="s">
        <v>636</v>
      </c>
      <c r="QW5" t="s">
        <v>637</v>
      </c>
      <c r="QX5" t="s">
        <v>13</v>
      </c>
      <c r="QY5" t="s">
        <v>13</v>
      </c>
      <c r="QZ5" t="s">
        <v>13</v>
      </c>
      <c r="RA5" t="s">
        <v>542</v>
      </c>
      <c r="RB5" t="s">
        <v>176</v>
      </c>
      <c r="RC5" t="s">
        <v>320</v>
      </c>
      <c r="RD5" t="s">
        <v>207</v>
      </c>
      <c r="RE5" t="s">
        <v>651</v>
      </c>
      <c r="RF5" t="s">
        <v>653</v>
      </c>
      <c r="RG5" t="s">
        <v>202</v>
      </c>
      <c r="RH5" t="s">
        <v>521</v>
      </c>
      <c r="RI5" t="s">
        <v>13</v>
      </c>
      <c r="RJ5" t="s">
        <v>89</v>
      </c>
      <c r="RK5" t="s">
        <v>89</v>
      </c>
      <c r="RL5" t="s">
        <v>235</v>
      </c>
      <c r="RM5" t="s">
        <v>13</v>
      </c>
      <c r="RN5" t="s">
        <v>37</v>
      </c>
      <c r="RO5" t="s">
        <v>13</v>
      </c>
      <c r="RP5" t="s">
        <v>64</v>
      </c>
      <c r="RQ5" t="s">
        <v>37</v>
      </c>
      <c r="RR5" t="s">
        <v>37</v>
      </c>
      <c r="RS5" t="s">
        <v>10</v>
      </c>
      <c r="RT5" t="s">
        <v>13</v>
      </c>
      <c r="RU5" t="s">
        <v>678</v>
      </c>
      <c r="RV5" t="s">
        <v>678</v>
      </c>
      <c r="RW5" t="s">
        <v>678</v>
      </c>
      <c r="RX5" t="s">
        <v>379</v>
      </c>
      <c r="RY5" t="s">
        <v>28</v>
      </c>
      <c r="RZ5" t="s">
        <v>28</v>
      </c>
      <c r="SA5" t="s">
        <v>30</v>
      </c>
      <c r="SB5" t="s">
        <v>207</v>
      </c>
      <c r="SC5" t="s">
        <v>13</v>
      </c>
      <c r="SD5" t="s">
        <v>37</v>
      </c>
      <c r="SE5" t="s">
        <v>693</v>
      </c>
      <c r="SF5" t="s">
        <v>13</v>
      </c>
      <c r="SG5" t="s">
        <v>13</v>
      </c>
      <c r="SH5" t="s">
        <v>37</v>
      </c>
      <c r="SI5" t="s">
        <v>49</v>
      </c>
      <c r="SJ5" t="s">
        <v>13</v>
      </c>
      <c r="SK5" t="s">
        <v>64</v>
      </c>
      <c r="SL5" t="s">
        <v>64</v>
      </c>
      <c r="SM5" t="s">
        <v>49</v>
      </c>
      <c r="SN5" t="s">
        <v>8</v>
      </c>
      <c r="SO5" t="s">
        <v>13</v>
      </c>
      <c r="SP5" t="s">
        <v>57</v>
      </c>
      <c r="SQ5" t="s">
        <v>5</v>
      </c>
      <c r="SR5" t="s">
        <v>5</v>
      </c>
      <c r="SS5" t="s">
        <v>207</v>
      </c>
      <c r="ST5" t="s">
        <v>13</v>
      </c>
      <c r="SU5" t="s">
        <v>47</v>
      </c>
      <c r="SV5" t="s">
        <v>207</v>
      </c>
      <c r="SW5" t="s">
        <v>37</v>
      </c>
      <c r="SX5" t="s">
        <v>13</v>
      </c>
      <c r="SY5" t="s">
        <v>176</v>
      </c>
      <c r="SZ5" t="s">
        <v>207</v>
      </c>
      <c r="TA5" t="s">
        <v>37</v>
      </c>
      <c r="TB5" t="s">
        <v>207</v>
      </c>
      <c r="TC5" t="s">
        <v>207</v>
      </c>
      <c r="TD5" t="s">
        <v>13</v>
      </c>
      <c r="TE5" t="s">
        <v>64</v>
      </c>
      <c r="TF5" t="s">
        <v>13</v>
      </c>
      <c r="TG5" t="s">
        <v>320</v>
      </c>
      <c r="TH5" t="s">
        <v>37</v>
      </c>
      <c r="TI5" t="s">
        <v>320</v>
      </c>
      <c r="TJ5" t="s">
        <v>207</v>
      </c>
      <c r="TK5" t="s">
        <v>13</v>
      </c>
      <c r="TL5" t="s">
        <v>356</v>
      </c>
      <c r="TM5" t="s">
        <v>89</v>
      </c>
      <c r="TN5" t="s">
        <v>5</v>
      </c>
      <c r="TO5" t="s">
        <v>207</v>
      </c>
      <c r="TP5" t="s">
        <v>13</v>
      </c>
      <c r="TQ5" t="s">
        <v>13</v>
      </c>
      <c r="TR5" t="s">
        <v>176</v>
      </c>
      <c r="TS5" t="s">
        <v>37</v>
      </c>
      <c r="TT5" t="s">
        <v>207</v>
      </c>
      <c r="TU5" t="s">
        <v>762</v>
      </c>
      <c r="TV5" t="s">
        <v>762</v>
      </c>
      <c r="TW5" t="s">
        <v>64</v>
      </c>
      <c r="TX5" t="s">
        <v>320</v>
      </c>
      <c r="TY5" t="s">
        <v>320</v>
      </c>
      <c r="TZ5" t="s">
        <v>207</v>
      </c>
      <c r="UA5" t="s">
        <v>13</v>
      </c>
      <c r="UB5" t="s">
        <v>320</v>
      </c>
      <c r="UC5" t="s">
        <v>13</v>
      </c>
      <c r="UD5" t="s">
        <v>320</v>
      </c>
      <c r="UE5" t="s">
        <v>89</v>
      </c>
      <c r="UF5" t="s">
        <v>13</v>
      </c>
      <c r="UG5" t="s">
        <v>5</v>
      </c>
      <c r="UH5" t="s">
        <v>176</v>
      </c>
      <c r="UI5" t="s">
        <v>320</v>
      </c>
      <c r="UJ5" t="s">
        <v>2467</v>
      </c>
      <c r="UK5" t="s">
        <v>13</v>
      </c>
      <c r="UL5" t="s">
        <v>26</v>
      </c>
      <c r="UM5" t="s">
        <v>30</v>
      </c>
      <c r="UN5" t="s">
        <v>49</v>
      </c>
      <c r="UO5" t="s">
        <v>37</v>
      </c>
      <c r="UP5" t="s">
        <v>37</v>
      </c>
      <c r="UQ5" t="s">
        <v>37</v>
      </c>
      <c r="UR5" t="s">
        <v>202</v>
      </c>
      <c r="US5" t="s">
        <v>130</v>
      </c>
      <c r="UT5" t="s">
        <v>130</v>
      </c>
      <c r="UU5" t="s">
        <v>10</v>
      </c>
      <c r="UV5" t="s">
        <v>47</v>
      </c>
      <c r="UW5" t="s">
        <v>556</v>
      </c>
      <c r="UX5" t="s">
        <v>2467</v>
      </c>
      <c r="UY5" t="s">
        <v>257</v>
      </c>
      <c r="UZ5" t="s">
        <v>49</v>
      </c>
      <c r="VA5" t="s">
        <v>132</v>
      </c>
      <c r="VB5" t="s">
        <v>132</v>
      </c>
      <c r="VC5" t="s">
        <v>132</v>
      </c>
      <c r="VD5" t="s">
        <v>132</v>
      </c>
      <c r="VE5" t="s">
        <v>110</v>
      </c>
      <c r="VF5" t="s">
        <v>110</v>
      </c>
      <c r="VG5" t="s">
        <v>138</v>
      </c>
      <c r="VH5" t="s">
        <v>816</v>
      </c>
      <c r="VI5" t="s">
        <v>13</v>
      </c>
      <c r="VJ5" t="s">
        <v>320</v>
      </c>
      <c r="VK5" t="s">
        <v>207</v>
      </c>
      <c r="VL5" t="s">
        <v>13</v>
      </c>
      <c r="VM5" t="s">
        <v>320</v>
      </c>
      <c r="VN5" t="s">
        <v>825</v>
      </c>
      <c r="VO5" t="s">
        <v>151</v>
      </c>
      <c r="VP5" t="s">
        <v>151</v>
      </c>
      <c r="VQ5" t="s">
        <v>61</v>
      </c>
      <c r="VR5" t="s">
        <v>37</v>
      </c>
      <c r="VS5" t="s">
        <v>47</v>
      </c>
      <c r="VT5" t="s">
        <v>10</v>
      </c>
      <c r="VU5" t="s">
        <v>37</v>
      </c>
      <c r="VV5" t="s">
        <v>176</v>
      </c>
      <c r="VW5" t="s">
        <v>13</v>
      </c>
      <c r="VX5" t="s">
        <v>89</v>
      </c>
      <c r="VY5" t="s">
        <v>30</v>
      </c>
      <c r="VZ5" t="s">
        <v>320</v>
      </c>
      <c r="WA5" t="s">
        <v>207</v>
      </c>
      <c r="WB5" t="s">
        <v>13</v>
      </c>
      <c r="WC5" t="s">
        <v>320</v>
      </c>
      <c r="WD5" t="s">
        <v>160</v>
      </c>
      <c r="WE5" t="s">
        <v>160</v>
      </c>
      <c r="WF5" t="s">
        <v>160</v>
      </c>
      <c r="WG5" t="s">
        <v>160</v>
      </c>
      <c r="WH5" t="s">
        <v>57</v>
      </c>
      <c r="WI5" t="s">
        <v>89</v>
      </c>
      <c r="WJ5" t="s">
        <v>13</v>
      </c>
      <c r="WK5" t="s">
        <v>8</v>
      </c>
      <c r="WL5" t="s">
        <v>8</v>
      </c>
      <c r="WM5" t="s">
        <v>10</v>
      </c>
      <c r="WN5" t="s">
        <v>13</v>
      </c>
      <c r="WO5" t="s">
        <v>320</v>
      </c>
      <c r="WP5" t="s">
        <v>13</v>
      </c>
      <c r="WQ5" t="s">
        <v>5</v>
      </c>
      <c r="WR5" t="s">
        <v>320</v>
      </c>
      <c r="WS5" t="s">
        <v>37</v>
      </c>
      <c r="WT5" t="s">
        <v>320</v>
      </c>
      <c r="WU5" t="s">
        <v>37</v>
      </c>
      <c r="WV5" t="s">
        <v>13</v>
      </c>
      <c r="WW5" t="s">
        <v>37</v>
      </c>
      <c r="WX5" t="s">
        <v>28</v>
      </c>
      <c r="WY5" t="s">
        <v>61</v>
      </c>
      <c r="WZ5" t="s">
        <v>61</v>
      </c>
      <c r="XA5" t="s">
        <v>37</v>
      </c>
      <c r="XB5" t="s">
        <v>37</v>
      </c>
      <c r="XC5" t="s">
        <v>320</v>
      </c>
      <c r="XD5" t="s">
        <v>207</v>
      </c>
      <c r="XE5" t="s">
        <v>47</v>
      </c>
      <c r="XF5" t="s">
        <v>123</v>
      </c>
      <c r="XG5" t="s">
        <v>5</v>
      </c>
      <c r="XH5" t="s">
        <v>37</v>
      </c>
      <c r="XI5" t="s">
        <v>2467</v>
      </c>
      <c r="XJ5" t="s">
        <v>61</v>
      </c>
      <c r="XK5" t="s">
        <v>30</v>
      </c>
      <c r="XL5" t="s">
        <v>49</v>
      </c>
      <c r="XM5" t="s">
        <v>64</v>
      </c>
      <c r="XN5" t="s">
        <v>62</v>
      </c>
      <c r="XO5" t="s">
        <v>62</v>
      </c>
      <c r="XP5" t="s">
        <v>13</v>
      </c>
      <c r="XQ5" t="s">
        <v>13</v>
      </c>
      <c r="XR5" t="s">
        <v>47</v>
      </c>
      <c r="XS5" t="s">
        <v>37</v>
      </c>
      <c r="XT5" t="s">
        <v>37</v>
      </c>
      <c r="XU5" t="s">
        <v>320</v>
      </c>
      <c r="XV5" t="s">
        <v>13</v>
      </c>
      <c r="XW5" t="s">
        <v>320</v>
      </c>
      <c r="XX5" t="s">
        <v>13</v>
      </c>
      <c r="XY5" t="s">
        <v>320</v>
      </c>
      <c r="XZ5" t="s">
        <v>176</v>
      </c>
      <c r="YA5" t="s">
        <v>207</v>
      </c>
      <c r="YB5" t="s">
        <v>13</v>
      </c>
      <c r="YC5" t="s">
        <v>13</v>
      </c>
      <c r="YD5" t="s">
        <v>10</v>
      </c>
      <c r="YE5" t="s">
        <v>13</v>
      </c>
      <c r="YF5" t="s">
        <v>47</v>
      </c>
      <c r="YG5" t="s">
        <v>49</v>
      </c>
      <c r="YH5" t="s">
        <v>8</v>
      </c>
      <c r="YI5" t="s">
        <v>62</v>
      </c>
      <c r="YJ5" t="s">
        <v>13</v>
      </c>
      <c r="YK5" t="s">
        <v>47</v>
      </c>
      <c r="YL5" t="s">
        <v>64</v>
      </c>
      <c r="YM5" t="s">
        <v>62</v>
      </c>
      <c r="YN5" t="s">
        <v>10</v>
      </c>
      <c r="YO5" t="s">
        <v>10</v>
      </c>
      <c r="YP5" t="s">
        <v>37</v>
      </c>
      <c r="YQ5" t="s">
        <v>320</v>
      </c>
      <c r="YR5" t="s">
        <v>379</v>
      </c>
      <c r="YS5" t="s">
        <v>30</v>
      </c>
      <c r="YT5" t="s">
        <v>13</v>
      </c>
      <c r="YU5" t="s">
        <v>5</v>
      </c>
      <c r="YV5" t="s">
        <v>320</v>
      </c>
      <c r="YW5" t="s">
        <v>30</v>
      </c>
      <c r="YX5" t="s">
        <v>5</v>
      </c>
      <c r="YY5" t="s">
        <v>320</v>
      </c>
      <c r="YZ5" t="s">
        <v>10</v>
      </c>
      <c r="ZA5" t="s">
        <v>946</v>
      </c>
      <c r="ZB5" t="s">
        <v>26</v>
      </c>
      <c r="ZC5" t="s">
        <v>30</v>
      </c>
      <c r="ZD5" t="s">
        <v>13</v>
      </c>
      <c r="ZE5" t="s">
        <v>13</v>
      </c>
      <c r="ZF5" t="s">
        <v>73</v>
      </c>
      <c r="ZG5" t="s">
        <v>49</v>
      </c>
      <c r="ZH5" t="s">
        <v>132</v>
      </c>
      <c r="ZI5" t="s">
        <v>13</v>
      </c>
      <c r="ZJ5" t="s">
        <v>89</v>
      </c>
      <c r="ZK5" t="s">
        <v>13</v>
      </c>
      <c r="ZL5" t="s">
        <v>556</v>
      </c>
      <c r="ZM5" t="s">
        <v>320</v>
      </c>
      <c r="ZN5" t="s">
        <v>207</v>
      </c>
      <c r="ZO5" t="s">
        <v>13</v>
      </c>
      <c r="ZP5" t="s">
        <v>8</v>
      </c>
      <c r="ZQ5" t="s">
        <v>966</v>
      </c>
      <c r="ZR5" t="s">
        <v>320</v>
      </c>
      <c r="ZS5" t="s">
        <v>207</v>
      </c>
      <c r="ZT5" t="s">
        <v>13</v>
      </c>
      <c r="ZU5" t="s">
        <v>45</v>
      </c>
      <c r="ZV5" t="s">
        <v>45</v>
      </c>
      <c r="ZW5" t="s">
        <v>47</v>
      </c>
      <c r="ZX5" t="s">
        <v>37</v>
      </c>
      <c r="ZY5" t="s">
        <v>510</v>
      </c>
      <c r="ZZ5" t="s">
        <v>89</v>
      </c>
      <c r="AAA5" t="s">
        <v>13</v>
      </c>
      <c r="AAB5" t="s">
        <v>320</v>
      </c>
      <c r="AAC5" t="s">
        <v>510</v>
      </c>
      <c r="AAD5" t="s">
        <v>320</v>
      </c>
      <c r="AAE5" t="s">
        <v>13</v>
      </c>
      <c r="AAF5" t="s">
        <v>320</v>
      </c>
      <c r="AAG5" t="s">
        <v>13</v>
      </c>
      <c r="AAH5" t="s">
        <v>47</v>
      </c>
      <c r="AAI5" t="s">
        <v>8</v>
      </c>
      <c r="AAJ5" t="s">
        <v>343</v>
      </c>
      <c r="AAK5" t="s">
        <v>13</v>
      </c>
      <c r="AAL5" t="s">
        <v>47</v>
      </c>
      <c r="AAM5" t="s">
        <v>47</v>
      </c>
      <c r="AAN5" t="s">
        <v>13</v>
      </c>
      <c r="AAO5" t="s">
        <v>30</v>
      </c>
      <c r="AAP5" t="s">
        <v>13</v>
      </c>
      <c r="AAQ5" t="s">
        <v>37</v>
      </c>
      <c r="AAR5" t="s">
        <v>320</v>
      </c>
      <c r="AAS5" t="s">
        <v>64</v>
      </c>
      <c r="AAT5" t="s">
        <v>207</v>
      </c>
      <c r="AAU5" t="s">
        <v>13</v>
      </c>
      <c r="AAV5" t="s">
        <v>13</v>
      </c>
      <c r="AAW5" t="s">
        <v>47</v>
      </c>
      <c r="AAX5" t="s">
        <v>49</v>
      </c>
      <c r="AAY5" t="s">
        <v>13</v>
      </c>
      <c r="AAZ5" t="s">
        <v>47</v>
      </c>
      <c r="ABA5" t="s">
        <v>64</v>
      </c>
      <c r="ABB5" t="s">
        <v>37</v>
      </c>
      <c r="ABC5" t="s">
        <v>13</v>
      </c>
      <c r="ABD5" t="s">
        <v>13</v>
      </c>
      <c r="ABE5" t="s">
        <v>10</v>
      </c>
      <c r="ABF5" t="s">
        <v>176</v>
      </c>
      <c r="ABG5" t="s">
        <v>5</v>
      </c>
      <c r="ABH5" t="s">
        <v>320</v>
      </c>
      <c r="ABI5" t="s">
        <v>47</v>
      </c>
      <c r="ABJ5" t="s">
        <v>49</v>
      </c>
      <c r="ABK5" t="s">
        <v>13</v>
      </c>
      <c r="ABL5" t="s">
        <v>26</v>
      </c>
      <c r="ABM5" t="s">
        <v>13</v>
      </c>
      <c r="ABN5" t="s">
        <v>89</v>
      </c>
      <c r="ABO5" t="s">
        <v>37</v>
      </c>
      <c r="ABP5" t="s">
        <v>320</v>
      </c>
      <c r="ABQ5" t="s">
        <v>320</v>
      </c>
      <c r="ABR5" t="s">
        <v>207</v>
      </c>
      <c r="ABS5" t="s">
        <v>5</v>
      </c>
      <c r="ABT5" t="s">
        <v>320</v>
      </c>
      <c r="ABU5" t="s">
        <v>37</v>
      </c>
      <c r="ABV5" t="s">
        <v>320</v>
      </c>
      <c r="ABW5" t="s">
        <v>320</v>
      </c>
      <c r="ABX5" t="s">
        <v>89</v>
      </c>
      <c r="ABY5" t="s">
        <v>13</v>
      </c>
      <c r="ABZ5" t="s">
        <v>89</v>
      </c>
      <c r="ACA5" t="s">
        <v>47</v>
      </c>
      <c r="ACB5" t="s">
        <v>47</v>
      </c>
      <c r="ACC5" t="s">
        <v>5</v>
      </c>
      <c r="ACD5" t="s">
        <v>290</v>
      </c>
      <c r="ACE5" t="s">
        <v>13</v>
      </c>
      <c r="ACF5" t="s">
        <v>320</v>
      </c>
      <c r="ACG5" t="s">
        <v>13</v>
      </c>
      <c r="ACH5" t="s">
        <v>47</v>
      </c>
      <c r="ACI5" t="s">
        <v>8</v>
      </c>
      <c r="ACJ5" t="s">
        <v>45</v>
      </c>
      <c r="ACK5" t="s">
        <v>507</v>
      </c>
      <c r="ACL5" t="s">
        <v>10</v>
      </c>
      <c r="ACM5" t="s">
        <v>13</v>
      </c>
      <c r="ACN5" t="s">
        <v>320</v>
      </c>
      <c r="ACO5" t="s">
        <v>320</v>
      </c>
      <c r="ACP5" t="s">
        <v>13</v>
      </c>
      <c r="ACQ5" t="s">
        <v>13</v>
      </c>
      <c r="ACR5" t="s">
        <v>10</v>
      </c>
      <c r="ACS5" t="s">
        <v>37</v>
      </c>
      <c r="ACT5" t="s">
        <v>320</v>
      </c>
      <c r="ACU5" t="s">
        <v>176</v>
      </c>
      <c r="ACV5" t="s">
        <v>45</v>
      </c>
      <c r="ACW5" t="s">
        <v>45</v>
      </c>
      <c r="ACX5" t="s">
        <v>45</v>
      </c>
      <c r="ACY5" t="s">
        <v>45</v>
      </c>
      <c r="ACZ5" t="s">
        <v>37</v>
      </c>
      <c r="ADA5" t="s">
        <v>37</v>
      </c>
      <c r="ADB5" t="s">
        <v>678</v>
      </c>
      <c r="ADC5" t="s">
        <v>678</v>
      </c>
      <c r="ADD5" t="s">
        <v>176</v>
      </c>
      <c r="ADE5" t="s">
        <v>320</v>
      </c>
      <c r="ADF5" t="s">
        <v>207</v>
      </c>
      <c r="ADG5" t="s">
        <v>13</v>
      </c>
      <c r="ADH5" t="s">
        <v>37</v>
      </c>
      <c r="ADI5" t="s">
        <v>356</v>
      </c>
      <c r="ADJ5" t="s">
        <v>89</v>
      </c>
      <c r="ADK5" t="s">
        <v>37</v>
      </c>
      <c r="ADL5" t="s">
        <v>37</v>
      </c>
      <c r="ADM5" t="s">
        <v>37</v>
      </c>
      <c r="ADN5" t="s">
        <v>320</v>
      </c>
      <c r="ADO5" t="s">
        <v>10</v>
      </c>
      <c r="ADP5" t="s">
        <v>89</v>
      </c>
      <c r="ADQ5" t="s">
        <v>946</v>
      </c>
      <c r="ADR5" t="s">
        <v>320</v>
      </c>
      <c r="ADS5" t="s">
        <v>13</v>
      </c>
      <c r="ADT5" t="s">
        <v>37</v>
      </c>
      <c r="ADU5" t="s">
        <v>320</v>
      </c>
      <c r="ADV5" t="s">
        <v>176</v>
      </c>
      <c r="ADW5" t="s">
        <v>320</v>
      </c>
      <c r="ADX5" t="s">
        <v>184</v>
      </c>
      <c r="ADY5" t="s">
        <v>26</v>
      </c>
      <c r="ADZ5" t="s">
        <v>26</v>
      </c>
      <c r="AEA5" t="s">
        <v>26</v>
      </c>
      <c r="AEB5" t="s">
        <v>521</v>
      </c>
      <c r="AEC5" t="s">
        <v>13</v>
      </c>
      <c r="AED5" t="s">
        <v>28</v>
      </c>
      <c r="AEE5" t="s">
        <v>160</v>
      </c>
      <c r="AEF5" t="s">
        <v>2467</v>
      </c>
      <c r="AEG5" t="s">
        <v>30</v>
      </c>
      <c r="AEH5" t="s">
        <v>13</v>
      </c>
      <c r="AEI5" t="s">
        <v>320</v>
      </c>
      <c r="AEJ5" t="s">
        <v>10</v>
      </c>
      <c r="AEK5" t="s">
        <v>13</v>
      </c>
      <c r="AEL5" t="s">
        <v>13</v>
      </c>
      <c r="AEM5" t="s">
        <v>5</v>
      </c>
      <c r="AEN5" t="s">
        <v>5</v>
      </c>
      <c r="AEO5" t="s">
        <v>10</v>
      </c>
      <c r="AEP5" t="s">
        <v>45</v>
      </c>
      <c r="AEQ5" t="s">
        <v>47</v>
      </c>
      <c r="AER5" t="s">
        <v>13</v>
      </c>
      <c r="AES5" t="s">
        <v>47</v>
      </c>
      <c r="AET5" t="s">
        <v>49</v>
      </c>
      <c r="AEU5" t="s">
        <v>8</v>
      </c>
      <c r="AEV5" t="s">
        <v>62</v>
      </c>
      <c r="AEW5" t="s">
        <v>13</v>
      </c>
      <c r="AEX5" t="s">
        <v>13</v>
      </c>
      <c r="AEY5" t="s">
        <v>5</v>
      </c>
      <c r="AEZ5" t="s">
        <v>10</v>
      </c>
      <c r="AFA5" t="s">
        <v>10</v>
      </c>
      <c r="AFB5" t="s">
        <v>1151</v>
      </c>
      <c r="AFC5" t="s">
        <v>1151</v>
      </c>
      <c r="AFD5" t="s">
        <v>1154</v>
      </c>
      <c r="AFE5" t="s">
        <v>1156</v>
      </c>
      <c r="AFF5" t="s">
        <v>1158</v>
      </c>
      <c r="AFG5" t="s">
        <v>1160</v>
      </c>
      <c r="AFH5" t="s">
        <v>13</v>
      </c>
      <c r="AFI5" t="s">
        <v>8</v>
      </c>
      <c r="AFJ5" t="s">
        <v>510</v>
      </c>
      <c r="AFK5" t="s">
        <v>37</v>
      </c>
      <c r="AFL5" t="s">
        <v>510</v>
      </c>
      <c r="AFM5" t="s">
        <v>1171</v>
      </c>
      <c r="AFN5" t="s">
        <v>37</v>
      </c>
      <c r="AFO5" t="s">
        <v>320</v>
      </c>
      <c r="AFP5" t="s">
        <v>2467</v>
      </c>
      <c r="AFQ5" t="s">
        <v>28</v>
      </c>
      <c r="AFR5" t="s">
        <v>28</v>
      </c>
      <c r="AFS5" t="s">
        <v>28</v>
      </c>
      <c r="AFT5" t="s">
        <v>28</v>
      </c>
      <c r="AFU5" t="s">
        <v>28</v>
      </c>
      <c r="AFV5" t="s">
        <v>30</v>
      </c>
      <c r="AFW5" t="s">
        <v>13</v>
      </c>
      <c r="AFX5" t="s">
        <v>5</v>
      </c>
      <c r="AFY5" t="s">
        <v>320</v>
      </c>
      <c r="AFZ5" t="s">
        <v>1188</v>
      </c>
      <c r="AGA5" t="s">
        <v>160</v>
      </c>
      <c r="AGB5" t="s">
        <v>13</v>
      </c>
      <c r="AGC5" t="s">
        <v>13</v>
      </c>
      <c r="AGD5" t="s">
        <v>5</v>
      </c>
      <c r="AGE5" t="s">
        <v>10</v>
      </c>
      <c r="AGF5" t="s">
        <v>320</v>
      </c>
      <c r="AGG5" t="s">
        <v>10</v>
      </c>
      <c r="AGH5" t="s">
        <v>61</v>
      </c>
      <c r="AGI5" t="s">
        <v>61</v>
      </c>
      <c r="AGJ5" t="s">
        <v>249</v>
      </c>
      <c r="AGK5" t="s">
        <v>249</v>
      </c>
      <c r="AGL5" t="s">
        <v>1205</v>
      </c>
      <c r="AGM5" t="s">
        <v>204</v>
      </c>
      <c r="AGN5" t="s">
        <v>1208</v>
      </c>
      <c r="AGO5" t="s">
        <v>1208</v>
      </c>
      <c r="AGP5" t="s">
        <v>160</v>
      </c>
      <c r="AGQ5" t="s">
        <v>13</v>
      </c>
      <c r="AGR5" t="s">
        <v>47</v>
      </c>
      <c r="AGS5" t="s">
        <v>184</v>
      </c>
      <c r="AGT5" t="s">
        <v>62</v>
      </c>
      <c r="AGU5" t="s">
        <v>89</v>
      </c>
      <c r="AGV5" t="s">
        <v>328</v>
      </c>
      <c r="AGW5" t="s">
        <v>37</v>
      </c>
      <c r="AGX5" t="s">
        <v>37</v>
      </c>
      <c r="AGY5" t="s">
        <v>28</v>
      </c>
      <c r="AGZ5" t="s">
        <v>61</v>
      </c>
      <c r="AHA5" t="s">
        <v>542</v>
      </c>
      <c r="AHB5" t="s">
        <v>138</v>
      </c>
      <c r="AHC5" t="s">
        <v>2467</v>
      </c>
      <c r="AHD5" t="s">
        <v>2467</v>
      </c>
      <c r="AHE5" t="s">
        <v>37</v>
      </c>
      <c r="AHF5" t="s">
        <v>2467</v>
      </c>
      <c r="AHG5" t="s">
        <v>1233</v>
      </c>
      <c r="AHH5" t="s">
        <v>13</v>
      </c>
      <c r="AHI5" t="s">
        <v>45</v>
      </c>
      <c r="AHJ5" t="s">
        <v>47</v>
      </c>
      <c r="AHK5" t="s">
        <v>37</v>
      </c>
      <c r="AHL5" t="s">
        <v>64</v>
      </c>
      <c r="AHM5" t="s">
        <v>62</v>
      </c>
      <c r="AHN5" t="s">
        <v>13</v>
      </c>
      <c r="AHO5" t="s">
        <v>47</v>
      </c>
      <c r="AHP5" t="s">
        <v>8</v>
      </c>
      <c r="AHQ5" t="s">
        <v>8</v>
      </c>
      <c r="AHR5" t="s">
        <v>10</v>
      </c>
      <c r="AHS5" t="s">
        <v>47</v>
      </c>
      <c r="AHT5" t="s">
        <v>47</v>
      </c>
      <c r="AHU5" t="s">
        <v>37</v>
      </c>
      <c r="AHV5" t="s">
        <v>64</v>
      </c>
      <c r="AHW5" t="s">
        <v>37</v>
      </c>
      <c r="AHX5" t="s">
        <v>47</v>
      </c>
      <c r="AHY5" t="s">
        <v>64</v>
      </c>
      <c r="AHZ5" t="s">
        <v>1253</v>
      </c>
      <c r="AIA5" t="s">
        <v>1253</v>
      </c>
      <c r="AIB5" t="s">
        <v>13</v>
      </c>
      <c r="AIC5" t="s">
        <v>13</v>
      </c>
      <c r="AID5" t="s">
        <v>30</v>
      </c>
      <c r="AIE5" t="s">
        <v>30</v>
      </c>
      <c r="AIF5" t="s">
        <v>1264</v>
      </c>
      <c r="AIG5" t="s">
        <v>184</v>
      </c>
      <c r="AIH5" t="s">
        <v>13</v>
      </c>
      <c r="AII5" t="s">
        <v>10</v>
      </c>
      <c r="AIJ5" t="s">
        <v>13</v>
      </c>
      <c r="AIK5" t="s">
        <v>149</v>
      </c>
      <c r="AIL5" t="s">
        <v>149</v>
      </c>
      <c r="AIM5" t="s">
        <v>149</v>
      </c>
      <c r="AIN5" t="s">
        <v>13</v>
      </c>
      <c r="AIO5" t="s">
        <v>8</v>
      </c>
      <c r="AIP5" t="s">
        <v>320</v>
      </c>
      <c r="AIQ5" t="s">
        <v>37</v>
      </c>
      <c r="AIR5" t="s">
        <v>37</v>
      </c>
      <c r="AIS5" t="s">
        <v>47</v>
      </c>
      <c r="AIT5" t="s">
        <v>37</v>
      </c>
      <c r="AIU5" t="s">
        <v>207</v>
      </c>
      <c r="AIV5" t="s">
        <v>37</v>
      </c>
      <c r="AIW5" t="s">
        <v>57</v>
      </c>
      <c r="AIX5" t="s">
        <v>37</v>
      </c>
      <c r="AIY5" t="s">
        <v>61</v>
      </c>
      <c r="AIZ5" t="s">
        <v>1292</v>
      </c>
      <c r="AJA5" t="s">
        <v>13</v>
      </c>
      <c r="AJB5" t="s">
        <v>13</v>
      </c>
      <c r="AJC5" t="s">
        <v>47</v>
      </c>
      <c r="AJD5" t="s">
        <v>49</v>
      </c>
      <c r="AJE5" t="s">
        <v>149</v>
      </c>
      <c r="AJF5" t="s">
        <v>153</v>
      </c>
      <c r="AJG5" t="s">
        <v>61</v>
      </c>
      <c r="AJH5" t="s">
        <v>13</v>
      </c>
      <c r="AJI5" t="s">
        <v>13</v>
      </c>
      <c r="AJJ5" t="s">
        <v>13</v>
      </c>
      <c r="AJK5" t="s">
        <v>89</v>
      </c>
      <c r="AJL5" t="s">
        <v>1310</v>
      </c>
      <c r="AJM5" t="s">
        <v>37</v>
      </c>
      <c r="AJN5" t="s">
        <v>37</v>
      </c>
      <c r="AJO5" t="s">
        <v>320</v>
      </c>
      <c r="AJP5" t="s">
        <v>47</v>
      </c>
      <c r="AJQ5" t="s">
        <v>13</v>
      </c>
      <c r="AJR5" t="s">
        <v>62</v>
      </c>
      <c r="AJS5" t="s">
        <v>62</v>
      </c>
      <c r="AJT5" t="s">
        <v>37</v>
      </c>
      <c r="AJU5" t="s">
        <v>320</v>
      </c>
      <c r="AJV5" t="s">
        <v>202</v>
      </c>
      <c r="AJW5" t="s">
        <v>556</v>
      </c>
      <c r="AJX5" t="s">
        <v>30</v>
      </c>
      <c r="AJY5" t="s">
        <v>1328</v>
      </c>
      <c r="AJZ5" t="s">
        <v>1328</v>
      </c>
      <c r="AKA5" t="s">
        <v>57</v>
      </c>
      <c r="AKB5" t="s">
        <v>1333</v>
      </c>
      <c r="AKC5" t="s">
        <v>47</v>
      </c>
      <c r="AKD5" t="s">
        <v>64</v>
      </c>
      <c r="AKE5" t="s">
        <v>64</v>
      </c>
      <c r="AKF5" t="s">
        <v>10</v>
      </c>
      <c r="AKG5" t="s">
        <v>1339</v>
      </c>
      <c r="AKH5" t="s">
        <v>47</v>
      </c>
      <c r="AKI5" t="s">
        <v>47</v>
      </c>
      <c r="AKJ5" t="s">
        <v>37</v>
      </c>
      <c r="AKK5" t="s">
        <v>37</v>
      </c>
      <c r="AKL5" t="s">
        <v>149</v>
      </c>
      <c r="AKM5" t="s">
        <v>47</v>
      </c>
      <c r="AKN5" t="s">
        <v>64</v>
      </c>
      <c r="AKO5" t="s">
        <v>73</v>
      </c>
      <c r="AKP5" t="s">
        <v>1351</v>
      </c>
      <c r="AKQ5" t="s">
        <v>13</v>
      </c>
      <c r="AKR5" t="s">
        <v>49</v>
      </c>
      <c r="AKS5" t="s">
        <v>61</v>
      </c>
      <c r="AKT5" t="s">
        <v>160</v>
      </c>
      <c r="AKU5" t="s">
        <v>13</v>
      </c>
      <c r="AKV5" t="s">
        <v>47</v>
      </c>
      <c r="AKW5" t="s">
        <v>37</v>
      </c>
      <c r="AKX5" t="s">
        <v>23</v>
      </c>
      <c r="AKY5" t="s">
        <v>49</v>
      </c>
      <c r="AKZ5" t="s">
        <v>13</v>
      </c>
      <c r="ALA5" t="s">
        <v>1363</v>
      </c>
      <c r="ALB5" t="s">
        <v>13</v>
      </c>
      <c r="ALC5" t="s">
        <v>13</v>
      </c>
      <c r="ALD5" t="s">
        <v>37</v>
      </c>
      <c r="ALE5" t="s">
        <v>510</v>
      </c>
      <c r="ALF5" t="s">
        <v>89</v>
      </c>
      <c r="ALG5" t="s">
        <v>149</v>
      </c>
      <c r="ALH5" t="s">
        <v>26</v>
      </c>
      <c r="ALI5" t="s">
        <v>61</v>
      </c>
      <c r="ALJ5" t="s">
        <v>153</v>
      </c>
      <c r="ALK5" t="s">
        <v>13</v>
      </c>
      <c r="ALL5" t="s">
        <v>47</v>
      </c>
      <c r="ALM5" t="s">
        <v>49</v>
      </c>
      <c r="ALN5" t="s">
        <v>10</v>
      </c>
      <c r="ALO5" t="s">
        <v>37</v>
      </c>
      <c r="ALP5" t="s">
        <v>37</v>
      </c>
      <c r="ALQ5" t="s">
        <v>1378</v>
      </c>
      <c r="ALR5" t="s">
        <v>61</v>
      </c>
      <c r="ALS5" t="s">
        <v>13</v>
      </c>
      <c r="ALT5" t="s">
        <v>13</v>
      </c>
      <c r="ALU5" t="s">
        <v>5</v>
      </c>
      <c r="ALV5" t="s">
        <v>10</v>
      </c>
      <c r="ALW5" t="s">
        <v>176</v>
      </c>
      <c r="ALX5" t="s">
        <v>13</v>
      </c>
      <c r="ALY5" t="s">
        <v>37</v>
      </c>
      <c r="ALZ5" t="s">
        <v>89</v>
      </c>
      <c r="AMA5" t="s">
        <v>320</v>
      </c>
      <c r="AMB5" t="s">
        <v>10</v>
      </c>
      <c r="AMC5" t="s">
        <v>1393</v>
      </c>
      <c r="AMD5" t="s">
        <v>37</v>
      </c>
      <c r="AME5" t="s">
        <v>37</v>
      </c>
      <c r="AMF5" t="s">
        <v>89</v>
      </c>
      <c r="AMG5" t="s">
        <v>28</v>
      </c>
      <c r="AMH5" t="s">
        <v>30</v>
      </c>
      <c r="AMI5" t="s">
        <v>2467</v>
      </c>
      <c r="AMJ5" t="s">
        <v>30</v>
      </c>
      <c r="AMK5" t="s">
        <v>13</v>
      </c>
      <c r="AML5" t="s">
        <v>47</v>
      </c>
      <c r="AMM5" t="s">
        <v>62</v>
      </c>
      <c r="AMN5" t="s">
        <v>62</v>
      </c>
      <c r="AMO5" t="s">
        <v>320</v>
      </c>
      <c r="AMP5" t="s">
        <v>13</v>
      </c>
      <c r="AMQ5" t="s">
        <v>47</v>
      </c>
      <c r="AMR5" t="s">
        <v>1415</v>
      </c>
      <c r="AMS5" t="s">
        <v>26</v>
      </c>
      <c r="AMT5" t="s">
        <v>579</v>
      </c>
      <c r="AMU5" t="s">
        <v>581</v>
      </c>
      <c r="AMV5" t="s">
        <v>581</v>
      </c>
      <c r="AMW5" t="s">
        <v>184</v>
      </c>
      <c r="AMX5" t="s">
        <v>2467</v>
      </c>
      <c r="AMY5" t="s">
        <v>13</v>
      </c>
      <c r="AMZ5" t="s">
        <v>89</v>
      </c>
      <c r="ANA5" t="s">
        <v>13</v>
      </c>
      <c r="ANB5" t="s">
        <v>10</v>
      </c>
      <c r="ANC5" t="s">
        <v>10</v>
      </c>
      <c r="AND5" t="s">
        <v>13</v>
      </c>
      <c r="ANE5" t="s">
        <v>13</v>
      </c>
      <c r="ANF5" t="s">
        <v>61</v>
      </c>
      <c r="ANG5" t="s">
        <v>13</v>
      </c>
      <c r="ANH5" t="s">
        <v>13</v>
      </c>
      <c r="ANI5" t="s">
        <v>10</v>
      </c>
      <c r="ANJ5" t="s">
        <v>10</v>
      </c>
      <c r="ANK5" t="s">
        <v>13</v>
      </c>
      <c r="ANL5" t="s">
        <v>49</v>
      </c>
      <c r="ANM5" t="s">
        <v>13</v>
      </c>
      <c r="ANN5" t="s">
        <v>8</v>
      </c>
      <c r="ANO5" t="s">
        <v>10</v>
      </c>
      <c r="ANP5" t="s">
        <v>28</v>
      </c>
      <c r="ANQ5" t="s">
        <v>61</v>
      </c>
      <c r="ANR5" t="s">
        <v>1415</v>
      </c>
      <c r="ANS5" t="s">
        <v>184</v>
      </c>
      <c r="ANT5" t="s">
        <v>13</v>
      </c>
      <c r="ANU5" t="s">
        <v>47</v>
      </c>
      <c r="ANV5" t="s">
        <v>28</v>
      </c>
      <c r="ANW5" t="s">
        <v>57</v>
      </c>
      <c r="ANX5" t="s">
        <v>37</v>
      </c>
      <c r="ANY5" t="s">
        <v>320</v>
      </c>
      <c r="ANZ5" t="s">
        <v>13</v>
      </c>
      <c r="AOA5" t="s">
        <v>13</v>
      </c>
      <c r="AOB5" t="s">
        <v>320</v>
      </c>
      <c r="AOC5" t="s">
        <v>61</v>
      </c>
      <c r="AOD5" t="s">
        <v>249</v>
      </c>
      <c r="AOE5" t="s">
        <v>249</v>
      </c>
      <c r="AOF5" t="s">
        <v>320</v>
      </c>
      <c r="AOG5" t="s">
        <v>1467</v>
      </c>
      <c r="AOH5" t="s">
        <v>1469</v>
      </c>
      <c r="AOI5" t="s">
        <v>1471</v>
      </c>
      <c r="AOJ5" t="s">
        <v>13</v>
      </c>
      <c r="AOK5" t="s">
        <v>47</v>
      </c>
      <c r="AOL5" t="s">
        <v>47</v>
      </c>
      <c r="AOM5" t="s">
        <v>37</v>
      </c>
      <c r="AON5" t="s">
        <v>1478</v>
      </c>
      <c r="AOO5" t="s">
        <v>13</v>
      </c>
      <c r="AOP5" t="s">
        <v>13</v>
      </c>
      <c r="AOQ5" t="s">
        <v>45</v>
      </c>
      <c r="AOR5" t="s">
        <v>589</v>
      </c>
      <c r="AOS5" t="s">
        <v>1485</v>
      </c>
      <c r="AOT5" t="s">
        <v>290</v>
      </c>
      <c r="AOU5" t="s">
        <v>542</v>
      </c>
      <c r="AOV5" t="s">
        <v>13</v>
      </c>
      <c r="AOW5" t="s">
        <v>37</v>
      </c>
      <c r="AOX5" t="s">
        <v>5</v>
      </c>
      <c r="AOY5" t="s">
        <v>13</v>
      </c>
      <c r="AOZ5" t="s">
        <v>1495</v>
      </c>
      <c r="APA5" t="s">
        <v>1498</v>
      </c>
      <c r="APB5" t="s">
        <v>62</v>
      </c>
      <c r="APC5" t="s">
        <v>1310</v>
      </c>
      <c r="APD5" t="s">
        <v>57</v>
      </c>
      <c r="APE5" t="s">
        <v>507</v>
      </c>
      <c r="APF5" t="s">
        <v>61</v>
      </c>
      <c r="APG5" t="s">
        <v>61</v>
      </c>
      <c r="APH5" t="s">
        <v>64</v>
      </c>
      <c r="API5" t="s">
        <v>73</v>
      </c>
      <c r="APJ5" t="s">
        <v>73</v>
      </c>
      <c r="APK5" t="s">
        <v>149</v>
      </c>
      <c r="APL5" t="s">
        <v>176</v>
      </c>
      <c r="APM5" t="s">
        <v>176</v>
      </c>
      <c r="APN5" t="s">
        <v>13</v>
      </c>
      <c r="APO5" t="s">
        <v>13</v>
      </c>
      <c r="APP5" t="s">
        <v>57</v>
      </c>
      <c r="APQ5" t="s">
        <v>37</v>
      </c>
      <c r="APR5" t="s">
        <v>61</v>
      </c>
      <c r="APS5" t="s">
        <v>1292</v>
      </c>
      <c r="APT5" t="s">
        <v>1467</v>
      </c>
      <c r="APU5" t="s">
        <v>5</v>
      </c>
      <c r="APV5" t="s">
        <v>47</v>
      </c>
      <c r="APW5" t="s">
        <v>47</v>
      </c>
      <c r="APX5" t="s">
        <v>2467</v>
      </c>
      <c r="APY5" t="s">
        <v>37</v>
      </c>
      <c r="APZ5" t="s">
        <v>5</v>
      </c>
      <c r="AQA5" t="s">
        <v>5</v>
      </c>
      <c r="AQB5" t="s">
        <v>13</v>
      </c>
      <c r="AQC5" t="s">
        <v>13</v>
      </c>
      <c r="AQD5" t="s">
        <v>49</v>
      </c>
      <c r="AQE5" t="s">
        <v>49</v>
      </c>
      <c r="AQF5" t="s">
        <v>64</v>
      </c>
      <c r="AQG5" t="s">
        <v>320</v>
      </c>
      <c r="AQH5" t="s">
        <v>207</v>
      </c>
      <c r="AQI5" t="s">
        <v>1545</v>
      </c>
      <c r="AQJ5" t="s">
        <v>1545</v>
      </c>
      <c r="AQK5" t="s">
        <v>1549</v>
      </c>
      <c r="AQL5" t="s">
        <v>1549</v>
      </c>
      <c r="AQM5" t="s">
        <v>1549</v>
      </c>
      <c r="AQN5" t="s">
        <v>1553</v>
      </c>
      <c r="AQO5" t="s">
        <v>1555</v>
      </c>
      <c r="AQP5" t="s">
        <v>1557</v>
      </c>
      <c r="AQQ5" t="s">
        <v>37</v>
      </c>
      <c r="AQR5" t="s">
        <v>28</v>
      </c>
      <c r="AQS5" t="s">
        <v>61</v>
      </c>
      <c r="AQT5" t="s">
        <v>47</v>
      </c>
      <c r="AQU5" t="s">
        <v>10</v>
      </c>
      <c r="AQV5" t="s">
        <v>340</v>
      </c>
      <c r="AQW5" t="s">
        <v>28</v>
      </c>
      <c r="AQX5" t="s">
        <v>320</v>
      </c>
      <c r="AQY5" t="s">
        <v>207</v>
      </c>
      <c r="AQZ5" t="s">
        <v>556</v>
      </c>
      <c r="ARA5" t="s">
        <v>2467</v>
      </c>
      <c r="ARB5" t="s">
        <v>2467</v>
      </c>
      <c r="ARC5" t="s">
        <v>30</v>
      </c>
      <c r="ARD5" t="s">
        <v>61</v>
      </c>
      <c r="ARE5" t="s">
        <v>61</v>
      </c>
      <c r="ARF5" t="s">
        <v>542</v>
      </c>
      <c r="ARG5" t="s">
        <v>64</v>
      </c>
      <c r="ARH5" t="s">
        <v>176</v>
      </c>
      <c r="ARI5" t="s">
        <v>13</v>
      </c>
      <c r="ARJ5" t="s">
        <v>5</v>
      </c>
      <c r="ARK5" t="s">
        <v>1581</v>
      </c>
      <c r="ARL5" t="s">
        <v>5</v>
      </c>
      <c r="ARM5" t="s">
        <v>320</v>
      </c>
      <c r="ARN5" t="s">
        <v>207</v>
      </c>
      <c r="ARO5" t="s">
        <v>1588</v>
      </c>
      <c r="ARP5" t="s">
        <v>45</v>
      </c>
      <c r="ARQ5" t="s">
        <v>45</v>
      </c>
      <c r="ARR5" t="s">
        <v>1593</v>
      </c>
      <c r="ARS5" t="s">
        <v>89</v>
      </c>
      <c r="ART5" t="s">
        <v>45</v>
      </c>
      <c r="ARU5" t="s">
        <v>45</v>
      </c>
      <c r="ARV5" t="s">
        <v>13</v>
      </c>
      <c r="ARW5" t="s">
        <v>89</v>
      </c>
      <c r="ARX5" t="s">
        <v>1602</v>
      </c>
      <c r="ARY5" t="s">
        <v>1605</v>
      </c>
      <c r="ARZ5" t="s">
        <v>1605</v>
      </c>
      <c r="ASA5" t="s">
        <v>37</v>
      </c>
      <c r="ASB5" t="s">
        <v>64</v>
      </c>
      <c r="ASC5" t="s">
        <v>37</v>
      </c>
      <c r="ASD5" t="s">
        <v>37</v>
      </c>
      <c r="ASE5" t="s">
        <v>37</v>
      </c>
      <c r="ASF5" t="s">
        <v>64</v>
      </c>
      <c r="ASG5" t="s">
        <v>73</v>
      </c>
      <c r="ASH5" t="s">
        <v>73</v>
      </c>
      <c r="ASI5" t="s">
        <v>89</v>
      </c>
      <c r="ASJ5" t="s">
        <v>37</v>
      </c>
      <c r="ASK5" t="s">
        <v>47</v>
      </c>
      <c r="ASL5" t="s">
        <v>47</v>
      </c>
      <c r="ASM5" t="s">
        <v>47</v>
      </c>
      <c r="ASN5" t="s">
        <v>64</v>
      </c>
      <c r="ASO5" t="s">
        <v>13</v>
      </c>
      <c r="ASP5" t="s">
        <v>28</v>
      </c>
      <c r="ASQ5" t="s">
        <v>28</v>
      </c>
      <c r="ASR5" t="s">
        <v>551</v>
      </c>
      <c r="ASS5" t="s">
        <v>551</v>
      </c>
      <c r="AST5" t="s">
        <v>37</v>
      </c>
      <c r="ASU5" t="s">
        <v>320</v>
      </c>
      <c r="ASV5" t="s">
        <v>202</v>
      </c>
      <c r="ASW5" t="s">
        <v>13</v>
      </c>
      <c r="ASX5" t="s">
        <v>37</v>
      </c>
      <c r="ASY5" t="s">
        <v>13</v>
      </c>
      <c r="ASZ5" t="s">
        <v>13</v>
      </c>
      <c r="ATA5" t="s">
        <v>47</v>
      </c>
      <c r="ATB5" t="s">
        <v>47</v>
      </c>
      <c r="ATC5" t="s">
        <v>73</v>
      </c>
      <c r="ATD5" t="s">
        <v>62</v>
      </c>
      <c r="ATE5" t="s">
        <v>47</v>
      </c>
      <c r="ATF5" t="s">
        <v>47</v>
      </c>
      <c r="ATG5" t="s">
        <v>2467</v>
      </c>
      <c r="ATH5" t="s">
        <v>13</v>
      </c>
      <c r="ATI5" t="s">
        <v>47</v>
      </c>
      <c r="ATJ5" t="s">
        <v>49</v>
      </c>
      <c r="ATK5" t="s">
        <v>8</v>
      </c>
      <c r="ATL5" t="s">
        <v>1649</v>
      </c>
      <c r="ATM5" t="s">
        <v>1549</v>
      </c>
      <c r="ATN5" t="s">
        <v>1653</v>
      </c>
      <c r="ATO5" t="s">
        <v>47</v>
      </c>
      <c r="ATP5" t="s">
        <v>64</v>
      </c>
      <c r="ATQ5" t="s">
        <v>73</v>
      </c>
      <c r="ATR5" t="s">
        <v>1351</v>
      </c>
      <c r="ATS5" t="s">
        <v>37</v>
      </c>
      <c r="ATT5" t="s">
        <v>2467</v>
      </c>
      <c r="ATU5" t="s">
        <v>28</v>
      </c>
      <c r="ATV5" t="s">
        <v>28</v>
      </c>
      <c r="ATW5" t="s">
        <v>37</v>
      </c>
      <c r="ATX5" t="s">
        <v>62</v>
      </c>
      <c r="ATY5" t="s">
        <v>149</v>
      </c>
      <c r="ATZ5" t="s">
        <v>149</v>
      </c>
      <c r="AUA5" t="s">
        <v>1669</v>
      </c>
      <c r="AUB5" t="s">
        <v>1672</v>
      </c>
      <c r="AUC5" t="s">
        <v>207</v>
      </c>
      <c r="AUD5" t="s">
        <v>37</v>
      </c>
      <c r="AUE5" t="s">
        <v>2467</v>
      </c>
      <c r="AUF5" t="s">
        <v>1292</v>
      </c>
      <c r="AUG5" t="s">
        <v>13</v>
      </c>
      <c r="AUH5" t="s">
        <v>13</v>
      </c>
      <c r="AUI5" t="s">
        <v>1681</v>
      </c>
      <c r="AUJ5" t="s">
        <v>1683</v>
      </c>
      <c r="AUK5" t="s">
        <v>176</v>
      </c>
      <c r="AUL5" t="s">
        <v>176</v>
      </c>
      <c r="AUM5" t="s">
        <v>176</v>
      </c>
      <c r="AUN5" t="s">
        <v>249</v>
      </c>
      <c r="AUO5" t="s">
        <v>1205</v>
      </c>
      <c r="AUP5" t="s">
        <v>1205</v>
      </c>
      <c r="AUQ5" t="s">
        <v>1593</v>
      </c>
      <c r="AUR5" t="s">
        <v>1208</v>
      </c>
      <c r="AUS5" t="s">
        <v>1208</v>
      </c>
      <c r="AUT5" t="s">
        <v>1694</v>
      </c>
      <c r="AUU5" t="s">
        <v>5</v>
      </c>
      <c r="AUV5" t="s">
        <v>320</v>
      </c>
      <c r="AUW5" t="s">
        <v>13</v>
      </c>
      <c r="AUX5" t="s">
        <v>57</v>
      </c>
      <c r="AUY5" t="s">
        <v>1702</v>
      </c>
      <c r="AUZ5" t="s">
        <v>1704</v>
      </c>
      <c r="AVA5" t="s">
        <v>1704</v>
      </c>
      <c r="AVB5" t="s">
        <v>13</v>
      </c>
      <c r="AVC5" t="s">
        <v>89</v>
      </c>
      <c r="AVD5" t="s">
        <v>89</v>
      </c>
      <c r="AVE5" t="s">
        <v>13</v>
      </c>
      <c r="AVF5" t="s">
        <v>37</v>
      </c>
      <c r="AVG5" t="s">
        <v>5</v>
      </c>
      <c r="AVH5" t="s">
        <v>320</v>
      </c>
      <c r="AVI5" t="s">
        <v>10</v>
      </c>
      <c r="AVJ5" t="s">
        <v>89</v>
      </c>
      <c r="AVK5" t="s">
        <v>13</v>
      </c>
      <c r="AVL5" t="s">
        <v>47</v>
      </c>
      <c r="AVM5" t="s">
        <v>61</v>
      </c>
      <c r="AVN5" t="s">
        <v>45</v>
      </c>
      <c r="AVO5" t="s">
        <v>320</v>
      </c>
      <c r="AVP5" t="s">
        <v>207</v>
      </c>
      <c r="AVQ5" t="s">
        <v>47</v>
      </c>
      <c r="AVR5" t="s">
        <v>64</v>
      </c>
      <c r="AVS5" t="s">
        <v>23</v>
      </c>
      <c r="AVT5" t="s">
        <v>23</v>
      </c>
      <c r="AVU5" t="s">
        <v>23</v>
      </c>
      <c r="AVV5" t="s">
        <v>23</v>
      </c>
      <c r="AVW5" t="s">
        <v>61</v>
      </c>
      <c r="AVX5" t="s">
        <v>61</v>
      </c>
      <c r="AVY5" t="s">
        <v>45</v>
      </c>
      <c r="AVZ5" t="s">
        <v>45</v>
      </c>
      <c r="AWA5" t="s">
        <v>28</v>
      </c>
      <c r="AWB5" t="s">
        <v>49</v>
      </c>
      <c r="AWC5" t="s">
        <v>47</v>
      </c>
      <c r="AWD5" t="s">
        <v>1743</v>
      </c>
      <c r="AWE5" t="s">
        <v>507</v>
      </c>
      <c r="AWF5" t="s">
        <v>1745</v>
      </c>
      <c r="AWG5" t="s">
        <v>64</v>
      </c>
      <c r="AWH5" t="s">
        <v>64</v>
      </c>
      <c r="AWI5" t="s">
        <v>13</v>
      </c>
      <c r="AWJ5" t="s">
        <v>1752</v>
      </c>
      <c r="AWK5" t="s">
        <v>1752</v>
      </c>
      <c r="AWL5" t="s">
        <v>1151</v>
      </c>
      <c r="AWM5" t="s">
        <v>28</v>
      </c>
      <c r="AWN5" t="s">
        <v>28</v>
      </c>
      <c r="AWO5" t="s">
        <v>45</v>
      </c>
      <c r="AWP5" t="s">
        <v>13</v>
      </c>
      <c r="AWQ5" t="s">
        <v>5</v>
      </c>
      <c r="AWR5" t="s">
        <v>5</v>
      </c>
      <c r="AWS5" t="s">
        <v>10</v>
      </c>
      <c r="AWT5" t="s">
        <v>1233</v>
      </c>
      <c r="AWU5" t="s">
        <v>45</v>
      </c>
      <c r="AWV5" t="s">
        <v>149</v>
      </c>
      <c r="AWW5" t="s">
        <v>149</v>
      </c>
      <c r="AWX5" t="s">
        <v>320</v>
      </c>
      <c r="AWY5" t="s">
        <v>1188</v>
      </c>
      <c r="AWZ5" t="s">
        <v>176</v>
      </c>
      <c r="AXA5" t="s">
        <v>13</v>
      </c>
      <c r="AXB5" t="s">
        <v>320</v>
      </c>
      <c r="AXC5" t="s">
        <v>45</v>
      </c>
      <c r="AXD5" t="s">
        <v>47</v>
      </c>
      <c r="AXE5" t="s">
        <v>37</v>
      </c>
      <c r="AXF5" t="s">
        <v>1694</v>
      </c>
      <c r="AXG5" t="s">
        <v>13</v>
      </c>
      <c r="AXH5" t="s">
        <v>28</v>
      </c>
      <c r="AXI5" t="s">
        <v>556</v>
      </c>
      <c r="AXJ5" t="s">
        <v>556</v>
      </c>
      <c r="AXK5" t="s">
        <v>1791</v>
      </c>
      <c r="AXL5" t="s">
        <v>320</v>
      </c>
      <c r="AXM5" t="s">
        <v>37</v>
      </c>
      <c r="AXN5" t="s">
        <v>320</v>
      </c>
      <c r="AXO5" t="s">
        <v>30</v>
      </c>
      <c r="AXP5" t="s">
        <v>30</v>
      </c>
      <c r="AXQ5" t="s">
        <v>13</v>
      </c>
      <c r="AXR5" t="s">
        <v>5</v>
      </c>
      <c r="AXS5" t="s">
        <v>320</v>
      </c>
      <c r="AXT5" t="s">
        <v>45</v>
      </c>
      <c r="AXU5" t="s">
        <v>37</v>
      </c>
      <c r="AXV5" t="s">
        <v>13</v>
      </c>
      <c r="AXW5" t="s">
        <v>184</v>
      </c>
      <c r="AXX5" t="s">
        <v>176</v>
      </c>
      <c r="AXY5" t="s">
        <v>320</v>
      </c>
      <c r="AXZ5" t="s">
        <v>207</v>
      </c>
      <c r="AYA5" t="s">
        <v>45</v>
      </c>
      <c r="AYB5" t="s">
        <v>26</v>
      </c>
      <c r="AYC5" t="s">
        <v>678</v>
      </c>
      <c r="AYD5" t="s">
        <v>678</v>
      </c>
      <c r="AYE5" t="s">
        <v>678</v>
      </c>
      <c r="AYF5" t="s">
        <v>556</v>
      </c>
      <c r="AYG5" t="s">
        <v>556</v>
      </c>
      <c r="AYH5" t="s">
        <v>13</v>
      </c>
      <c r="AYI5" t="s">
        <v>47</v>
      </c>
      <c r="AYJ5" t="s">
        <v>49</v>
      </c>
      <c r="AYK5" t="s">
        <v>8</v>
      </c>
      <c r="AYL5" t="s">
        <v>249</v>
      </c>
      <c r="AYM5" t="s">
        <v>249</v>
      </c>
      <c r="AYN5" t="s">
        <v>1205</v>
      </c>
      <c r="AYO5" t="s">
        <v>204</v>
      </c>
      <c r="AYP5" t="s">
        <v>1593</v>
      </c>
      <c r="AYQ5" t="s">
        <v>1208</v>
      </c>
      <c r="AYR5" t="s">
        <v>13</v>
      </c>
      <c r="AYS5" t="s">
        <v>176</v>
      </c>
      <c r="AYT5" t="s">
        <v>13</v>
      </c>
      <c r="AYU5" t="s">
        <v>510</v>
      </c>
      <c r="AYV5" t="s">
        <v>5</v>
      </c>
      <c r="AYW5" t="s">
        <v>320</v>
      </c>
      <c r="AYX5" t="s">
        <v>37</v>
      </c>
      <c r="AYY5" t="s">
        <v>5</v>
      </c>
      <c r="AYZ5" t="s">
        <v>320</v>
      </c>
      <c r="AZA5" t="s">
        <v>1378</v>
      </c>
      <c r="AZB5" t="s">
        <v>10</v>
      </c>
      <c r="AZC5" t="s">
        <v>13</v>
      </c>
      <c r="AZD5" t="s">
        <v>320</v>
      </c>
      <c r="AZE5" t="s">
        <v>13</v>
      </c>
      <c r="AZF5" t="s">
        <v>37</v>
      </c>
      <c r="AZG5" t="s">
        <v>89</v>
      </c>
      <c r="AZH5" t="s">
        <v>28</v>
      </c>
      <c r="AZI5" t="s">
        <v>61</v>
      </c>
      <c r="AZJ5" t="s">
        <v>13</v>
      </c>
      <c r="AZK5" t="s">
        <v>89</v>
      </c>
      <c r="AZL5" t="s">
        <v>1860</v>
      </c>
      <c r="AZM5" t="s">
        <v>202</v>
      </c>
      <c r="AZN5" t="s">
        <v>507</v>
      </c>
      <c r="AZO5" t="s">
        <v>1865</v>
      </c>
      <c r="AZP5" t="s">
        <v>57</v>
      </c>
      <c r="AZQ5" t="s">
        <v>202</v>
      </c>
      <c r="AZR5" t="s">
        <v>2467</v>
      </c>
      <c r="AZS5" t="s">
        <v>257</v>
      </c>
      <c r="AZT5" t="s">
        <v>61</v>
      </c>
      <c r="AZU5" t="s">
        <v>28</v>
      </c>
      <c r="AZV5" t="s">
        <v>13</v>
      </c>
      <c r="AZW5" t="s">
        <v>8</v>
      </c>
      <c r="AZX5" t="s">
        <v>62</v>
      </c>
      <c r="AZY5" t="s">
        <v>10</v>
      </c>
      <c r="AZZ5" t="s">
        <v>521</v>
      </c>
      <c r="BAA5" t="s">
        <v>61</v>
      </c>
      <c r="BAB5" t="s">
        <v>45</v>
      </c>
      <c r="BAC5" t="s">
        <v>45</v>
      </c>
      <c r="BAD5" t="s">
        <v>290</v>
      </c>
      <c r="BAE5" t="s">
        <v>290</v>
      </c>
      <c r="BAF5" t="s">
        <v>37</v>
      </c>
      <c r="BAG5" t="s">
        <v>2467</v>
      </c>
      <c r="BAH5" t="s">
        <v>13</v>
      </c>
      <c r="BAI5" t="s">
        <v>249</v>
      </c>
      <c r="BAJ5" t="s">
        <v>1205</v>
      </c>
      <c r="BAK5" t="s">
        <v>1593</v>
      </c>
      <c r="BAL5" t="s">
        <v>123</v>
      </c>
      <c r="BAM5" t="s">
        <v>184</v>
      </c>
      <c r="BAN5" t="s">
        <v>13</v>
      </c>
      <c r="BAO5" t="s">
        <v>64</v>
      </c>
      <c r="BAP5" t="s">
        <v>64</v>
      </c>
      <c r="BAQ5" t="s">
        <v>64</v>
      </c>
      <c r="BAR5" t="s">
        <v>320</v>
      </c>
      <c r="BAS5" t="s">
        <v>160</v>
      </c>
      <c r="BAT5" t="s">
        <v>1905</v>
      </c>
      <c r="BAU5" t="s">
        <v>1171</v>
      </c>
      <c r="BAV5" t="s">
        <v>1908</v>
      </c>
      <c r="BAW5" t="s">
        <v>1911</v>
      </c>
      <c r="BAX5" t="s">
        <v>1911</v>
      </c>
      <c r="BAY5" t="s">
        <v>1911</v>
      </c>
      <c r="BAZ5" t="s">
        <v>130</v>
      </c>
      <c r="BBA5" t="s">
        <v>130</v>
      </c>
      <c r="BBB5" t="s">
        <v>130</v>
      </c>
      <c r="BBC5" t="s">
        <v>132</v>
      </c>
      <c r="BBD5" t="s">
        <v>10</v>
      </c>
      <c r="BBE5" t="s">
        <v>207</v>
      </c>
      <c r="BBF5" t="s">
        <v>2467</v>
      </c>
      <c r="BBG5" t="s">
        <v>1926</v>
      </c>
      <c r="BBH5" t="s">
        <v>57</v>
      </c>
      <c r="BBI5" t="s">
        <v>37</v>
      </c>
      <c r="BBJ5" t="s">
        <v>1208</v>
      </c>
      <c r="BBK5" t="s">
        <v>37</v>
      </c>
      <c r="BBL5" t="s">
        <v>2467</v>
      </c>
      <c r="BBM5" t="s">
        <v>28</v>
      </c>
      <c r="BBN5" t="s">
        <v>297</v>
      </c>
      <c r="BBO5" t="s">
        <v>64</v>
      </c>
      <c r="BBP5" t="s">
        <v>28</v>
      </c>
      <c r="BBQ5" t="s">
        <v>28</v>
      </c>
      <c r="BBR5" t="s">
        <v>57</v>
      </c>
      <c r="BBS5" t="s">
        <v>89</v>
      </c>
      <c r="BBT5" t="s">
        <v>1593</v>
      </c>
      <c r="BBU5" t="s">
        <v>1393</v>
      </c>
      <c r="BBV5" t="s">
        <v>13</v>
      </c>
      <c r="BBW5" t="s">
        <v>89</v>
      </c>
      <c r="BBX5" t="s">
        <v>13</v>
      </c>
      <c r="BBY5" t="s">
        <v>73</v>
      </c>
      <c r="BBZ5" t="s">
        <v>62</v>
      </c>
      <c r="BCA5" t="s">
        <v>13</v>
      </c>
      <c r="BCB5" t="s">
        <v>45</v>
      </c>
      <c r="BCC5" t="s">
        <v>47</v>
      </c>
      <c r="BCD5" t="s">
        <v>37</v>
      </c>
      <c r="BCE5" t="s">
        <v>49</v>
      </c>
      <c r="BCF5" t="s">
        <v>49</v>
      </c>
      <c r="BCG5" t="s">
        <v>13</v>
      </c>
      <c r="BCH5" t="s">
        <v>13</v>
      </c>
      <c r="BCI5" t="s">
        <v>47</v>
      </c>
      <c r="BCJ5" t="s">
        <v>8</v>
      </c>
      <c r="BCK5" t="s">
        <v>1205</v>
      </c>
      <c r="BCL5" t="s">
        <v>1593</v>
      </c>
      <c r="BCM5" t="s">
        <v>1393</v>
      </c>
      <c r="BCN5" t="s">
        <v>45</v>
      </c>
      <c r="BCO5" t="s">
        <v>47</v>
      </c>
      <c r="BCP5" t="s">
        <v>64</v>
      </c>
      <c r="BCQ5" t="s">
        <v>73</v>
      </c>
      <c r="BCR5" t="s">
        <v>73</v>
      </c>
      <c r="BCS5" t="s">
        <v>1351</v>
      </c>
      <c r="BCT5" t="s">
        <v>13</v>
      </c>
      <c r="BCU5" t="s">
        <v>37</v>
      </c>
      <c r="BCV5" t="s">
        <v>47</v>
      </c>
      <c r="BCW5" t="s">
        <v>49</v>
      </c>
      <c r="BCX5" t="s">
        <v>49</v>
      </c>
      <c r="BCY5" t="s">
        <v>13</v>
      </c>
      <c r="BCZ5" t="s">
        <v>13</v>
      </c>
      <c r="BDA5" t="s">
        <v>13</v>
      </c>
      <c r="BDB5" t="s">
        <v>13</v>
      </c>
      <c r="BDC5" t="s">
        <v>13</v>
      </c>
      <c r="BDD5" t="s">
        <v>47</v>
      </c>
      <c r="BDE5" t="s">
        <v>47</v>
      </c>
      <c r="BDF5" t="s">
        <v>825</v>
      </c>
      <c r="BDG5" t="s">
        <v>89</v>
      </c>
      <c r="BDH5" t="s">
        <v>1991</v>
      </c>
      <c r="BDI5" t="s">
        <v>47</v>
      </c>
      <c r="BDJ5" t="s">
        <v>47</v>
      </c>
      <c r="BDK5" t="s">
        <v>37</v>
      </c>
      <c r="BDL5" t="s">
        <v>62</v>
      </c>
      <c r="BDM5" t="s">
        <v>13</v>
      </c>
      <c r="BDN5" t="s">
        <v>202</v>
      </c>
      <c r="BDO5" t="s">
        <v>37</v>
      </c>
      <c r="BDP5" t="s">
        <v>45</v>
      </c>
      <c r="BDQ5" t="s">
        <v>8</v>
      </c>
      <c r="BDR5" t="s">
        <v>176</v>
      </c>
      <c r="BDS5" t="s">
        <v>45</v>
      </c>
      <c r="BDT5" t="s">
        <v>45</v>
      </c>
      <c r="BDU5" t="s">
        <v>290</v>
      </c>
      <c r="BDV5" t="s">
        <v>123</v>
      </c>
      <c r="BDW5" t="s">
        <v>123</v>
      </c>
      <c r="BDX5" t="s">
        <v>37</v>
      </c>
      <c r="BDY5" t="s">
        <v>37</v>
      </c>
      <c r="BDZ5" t="s">
        <v>2014</v>
      </c>
      <c r="BEA5" t="s">
        <v>2014</v>
      </c>
      <c r="BEB5" t="s">
        <v>2014</v>
      </c>
      <c r="BEC5" t="s">
        <v>57</v>
      </c>
      <c r="BED5" t="s">
        <v>61</v>
      </c>
      <c r="BEE5" t="s">
        <v>328</v>
      </c>
      <c r="BEF5" t="s">
        <v>64</v>
      </c>
      <c r="BEG5" t="s">
        <v>49</v>
      </c>
      <c r="BEH5" t="s">
        <v>45</v>
      </c>
      <c r="BEI5" t="s">
        <v>45</v>
      </c>
      <c r="BEJ5" t="s">
        <v>45</v>
      </c>
      <c r="BEK5" t="s">
        <v>49</v>
      </c>
      <c r="BEL5" t="s">
        <v>257</v>
      </c>
      <c r="BEM5" t="s">
        <v>28</v>
      </c>
      <c r="BEN5" t="s">
        <v>946</v>
      </c>
      <c r="BEO5" t="s">
        <v>343</v>
      </c>
      <c r="BEP5" t="s">
        <v>343</v>
      </c>
      <c r="BEQ5" t="s">
        <v>343</v>
      </c>
      <c r="BER5" t="s">
        <v>37</v>
      </c>
      <c r="BES5" t="s">
        <v>57</v>
      </c>
      <c r="BET5" t="s">
        <v>2038</v>
      </c>
      <c r="BEU5" t="s">
        <v>1351</v>
      </c>
      <c r="BEV5" t="s">
        <v>37</v>
      </c>
      <c r="BEW5" t="s">
        <v>320</v>
      </c>
      <c r="BEX5" t="s">
        <v>207</v>
      </c>
      <c r="BEY5" t="s">
        <v>2467</v>
      </c>
      <c r="BEZ5" t="s">
        <v>8</v>
      </c>
      <c r="BFA5" t="s">
        <v>8</v>
      </c>
      <c r="BFB5" t="s">
        <v>2050</v>
      </c>
      <c r="BFC5" t="s">
        <v>202</v>
      </c>
      <c r="BFD5" t="s">
        <v>149</v>
      </c>
      <c r="BFE5" t="s">
        <v>149</v>
      </c>
      <c r="BFF5" t="s">
        <v>1669</v>
      </c>
      <c r="BFG5" t="s">
        <v>2057</v>
      </c>
      <c r="BFH5" t="s">
        <v>57</v>
      </c>
      <c r="BFI5" t="s">
        <v>13</v>
      </c>
      <c r="BFJ5" t="s">
        <v>10</v>
      </c>
      <c r="BFK5" t="s">
        <v>45</v>
      </c>
      <c r="BFL5" t="s">
        <v>2066</v>
      </c>
      <c r="BFM5" t="s">
        <v>2066</v>
      </c>
      <c r="BFN5" t="s">
        <v>2069</v>
      </c>
      <c r="BFO5" t="s">
        <v>37</v>
      </c>
      <c r="BFP5" t="s">
        <v>149</v>
      </c>
      <c r="BFQ5" t="s">
        <v>149</v>
      </c>
      <c r="BFR5" t="s">
        <v>149</v>
      </c>
      <c r="BFS5" t="s">
        <v>149</v>
      </c>
      <c r="BFT5" t="s">
        <v>1545</v>
      </c>
      <c r="BFU5" t="s">
        <v>28</v>
      </c>
      <c r="BFV5" t="s">
        <v>37</v>
      </c>
      <c r="BFW5" t="s">
        <v>2472</v>
      </c>
      <c r="BFX5" t="s">
        <v>2082</v>
      </c>
      <c r="BFY5" t="s">
        <v>521</v>
      </c>
      <c r="BFZ5" t="s">
        <v>61</v>
      </c>
      <c r="BGA5" t="s">
        <v>2085</v>
      </c>
      <c r="BGB5" t="s">
        <v>343</v>
      </c>
      <c r="BGC5" t="s">
        <v>176</v>
      </c>
      <c r="BGD5" t="s">
        <v>37</v>
      </c>
      <c r="BGE5" t="s">
        <v>1683</v>
      </c>
      <c r="BGF5" t="s">
        <v>49</v>
      </c>
      <c r="BGG5" t="s">
        <v>62</v>
      </c>
      <c r="BGH5" t="s">
        <v>510</v>
      </c>
      <c r="BGI5" t="s">
        <v>30</v>
      </c>
      <c r="BGJ5" t="s">
        <v>8</v>
      </c>
      <c r="BGK5" t="s">
        <v>13</v>
      </c>
      <c r="BGL5" t="s">
        <v>47</v>
      </c>
      <c r="BGM5" t="s">
        <v>49</v>
      </c>
      <c r="BGN5" t="s">
        <v>64</v>
      </c>
      <c r="BGO5" t="s">
        <v>13</v>
      </c>
      <c r="BGP5" t="s">
        <v>5</v>
      </c>
      <c r="BGQ5" t="s">
        <v>320</v>
      </c>
      <c r="BGR5" t="s">
        <v>2467</v>
      </c>
      <c r="BGS5" t="s">
        <v>28</v>
      </c>
      <c r="BGT5" t="s">
        <v>28</v>
      </c>
      <c r="BGU5" t="s">
        <v>62</v>
      </c>
      <c r="BGV5" t="s">
        <v>62</v>
      </c>
      <c r="BGW5" t="s">
        <v>762</v>
      </c>
      <c r="BGX5" t="s">
        <v>2115</v>
      </c>
      <c r="BGY5" t="s">
        <v>5</v>
      </c>
    </row>
    <row r="6" spans="1:1559" x14ac:dyDescent="0.25">
      <c r="A6" t="str">
        <f t="shared" si="0"/>
        <v xml:space="preserve">RST </v>
      </c>
      <c r="B6" t="s">
        <v>12</v>
      </c>
      <c r="C6" t="s">
        <v>13</v>
      </c>
      <c r="D6" t="s">
        <v>14</v>
      </c>
      <c r="E6" s="2">
        <v>193847</v>
      </c>
      <c r="H6" t="s">
        <v>2192</v>
      </c>
      <c r="I6" t="s">
        <v>6</v>
      </c>
      <c r="J6" t="s">
        <v>7</v>
      </c>
      <c r="K6" t="s">
        <v>9</v>
      </c>
      <c r="L6" t="s">
        <v>11</v>
      </c>
      <c r="M6" t="s">
        <v>14</v>
      </c>
      <c r="N6" t="s">
        <v>15</v>
      </c>
      <c r="O6" t="s">
        <v>17</v>
      </c>
      <c r="P6" t="s">
        <v>18</v>
      </c>
      <c r="Q6" t="s">
        <v>20</v>
      </c>
      <c r="R6" t="s">
        <v>21</v>
      </c>
      <c r="S6" t="s">
        <v>24</v>
      </c>
      <c r="T6" t="s">
        <v>25</v>
      </c>
      <c r="U6" t="s">
        <v>27</v>
      </c>
      <c r="V6" t="s">
        <v>29</v>
      </c>
      <c r="W6" t="s">
        <v>27</v>
      </c>
      <c r="X6" t="s">
        <v>32</v>
      </c>
      <c r="Y6" t="s">
        <v>33</v>
      </c>
      <c r="Z6" t="s">
        <v>34</v>
      </c>
      <c r="AA6" t="s">
        <v>35</v>
      </c>
      <c r="AB6" t="s">
        <v>38</v>
      </c>
      <c r="AC6" t="s">
        <v>39</v>
      </c>
      <c r="AD6" t="s">
        <v>40</v>
      </c>
      <c r="AE6" t="s">
        <v>41</v>
      </c>
      <c r="AF6" t="s">
        <v>42</v>
      </c>
      <c r="AG6" t="s">
        <v>44</v>
      </c>
      <c r="AH6" t="s">
        <v>46</v>
      </c>
      <c r="AI6" t="s">
        <v>48</v>
      </c>
      <c r="AJ6" t="s">
        <v>50</v>
      </c>
      <c r="AK6" t="s">
        <v>51</v>
      </c>
      <c r="AL6" t="s">
        <v>52</v>
      </c>
      <c r="AM6" t="s">
        <v>53</v>
      </c>
      <c r="AN6" t="s">
        <v>54</v>
      </c>
      <c r="AO6" t="s">
        <v>55</v>
      </c>
      <c r="AP6" t="s">
        <v>56</v>
      </c>
      <c r="AQ6" t="s">
        <v>58</v>
      </c>
      <c r="AR6" t="s">
        <v>59</v>
      </c>
      <c r="AS6" t="s">
        <v>60</v>
      </c>
      <c r="AT6" t="s">
        <v>58</v>
      </c>
      <c r="AU6" t="s">
        <v>63</v>
      </c>
      <c r="AV6" t="s">
        <v>65</v>
      </c>
      <c r="AW6" t="s">
        <v>66</v>
      </c>
      <c r="AX6" t="s">
        <v>67</v>
      </c>
      <c r="AY6" t="s">
        <v>68</v>
      </c>
      <c r="AZ6" t="s">
        <v>69</v>
      </c>
      <c r="BA6" t="s">
        <v>70</v>
      </c>
      <c r="BB6" t="s">
        <v>71</v>
      </c>
      <c r="BC6" t="s">
        <v>72</v>
      </c>
      <c r="BD6" t="s">
        <v>74</v>
      </c>
      <c r="BE6" t="s">
        <v>75</v>
      </c>
      <c r="BF6" t="s">
        <v>76</v>
      </c>
      <c r="BG6" t="s">
        <v>77</v>
      </c>
      <c r="BH6" t="s">
        <v>78</v>
      </c>
      <c r="BI6" t="s">
        <v>79</v>
      </c>
      <c r="BJ6" t="s">
        <v>81</v>
      </c>
      <c r="BK6" t="s">
        <v>82</v>
      </c>
      <c r="BL6" t="s">
        <v>84</v>
      </c>
      <c r="BM6" t="s">
        <v>85</v>
      </c>
      <c r="BN6" t="s">
        <v>86</v>
      </c>
      <c r="BO6" t="s">
        <v>87</v>
      </c>
      <c r="BP6" t="s">
        <v>88</v>
      </c>
      <c r="BQ6" t="s">
        <v>90</v>
      </c>
      <c r="BR6" t="s">
        <v>91</v>
      </c>
      <c r="BS6" t="s">
        <v>92</v>
      </c>
      <c r="BT6" t="s">
        <v>93</v>
      </c>
      <c r="BU6" t="s">
        <v>94</v>
      </c>
      <c r="BV6" t="s">
        <v>95</v>
      </c>
      <c r="BW6" t="s">
        <v>96</v>
      </c>
      <c r="BX6" t="s">
        <v>97</v>
      </c>
      <c r="BY6" t="s">
        <v>98</v>
      </c>
      <c r="BZ6" t="s">
        <v>99</v>
      </c>
      <c r="CA6" t="s">
        <v>100</v>
      </c>
      <c r="CB6" t="s">
        <v>101</v>
      </c>
      <c r="CC6" t="s">
        <v>103</v>
      </c>
      <c r="CD6" t="s">
        <v>104</v>
      </c>
      <c r="CE6" t="s">
        <v>105</v>
      </c>
      <c r="CF6" t="s">
        <v>106</v>
      </c>
      <c r="CG6" t="s">
        <v>108</v>
      </c>
      <c r="CH6" t="s">
        <v>111</v>
      </c>
      <c r="CI6" t="s">
        <v>112</v>
      </c>
      <c r="CJ6" t="s">
        <v>113</v>
      </c>
      <c r="CK6" t="s">
        <v>114</v>
      </c>
      <c r="CL6" t="s">
        <v>115</v>
      </c>
      <c r="CM6" t="s">
        <v>116</v>
      </c>
      <c r="CN6" t="s">
        <v>117</v>
      </c>
      <c r="CO6" t="s">
        <v>119</v>
      </c>
      <c r="CP6" t="s">
        <v>121</v>
      </c>
      <c r="CQ6" t="s">
        <v>122</v>
      </c>
      <c r="CR6" t="s">
        <v>124</v>
      </c>
      <c r="CS6" t="s">
        <v>125</v>
      </c>
      <c r="CT6" t="s">
        <v>126</v>
      </c>
      <c r="CU6" t="s">
        <v>127</v>
      </c>
      <c r="CV6" t="s">
        <v>128</v>
      </c>
      <c r="CW6" t="s">
        <v>131</v>
      </c>
      <c r="CX6" t="s">
        <v>133</v>
      </c>
      <c r="CY6" t="s">
        <v>134</v>
      </c>
      <c r="CZ6" t="s">
        <v>135</v>
      </c>
      <c r="DA6" t="s">
        <v>136</v>
      </c>
      <c r="DB6" t="s">
        <v>137</v>
      </c>
      <c r="DC6" t="s">
        <v>139</v>
      </c>
      <c r="DD6" t="s">
        <v>140</v>
      </c>
      <c r="DE6" t="s">
        <v>143</v>
      </c>
      <c r="DF6" t="s">
        <v>145</v>
      </c>
      <c r="DG6" t="s">
        <v>146</v>
      </c>
      <c r="DH6" t="s">
        <v>147</v>
      </c>
      <c r="DI6" t="s">
        <v>148</v>
      </c>
      <c r="DJ6" t="s">
        <v>150</v>
      </c>
      <c r="DK6" t="s">
        <v>152</v>
      </c>
      <c r="DL6" t="s">
        <v>150</v>
      </c>
      <c r="DM6" t="s">
        <v>154</v>
      </c>
      <c r="DN6" t="s">
        <v>155</v>
      </c>
      <c r="DO6" t="s">
        <v>156</v>
      </c>
      <c r="DP6" t="s">
        <v>157</v>
      </c>
      <c r="DQ6" t="s">
        <v>158</v>
      </c>
      <c r="DR6" t="s">
        <v>159</v>
      </c>
      <c r="DS6" t="s">
        <v>161</v>
      </c>
      <c r="DT6" t="s">
        <v>162</v>
      </c>
      <c r="DU6" t="s">
        <v>164</v>
      </c>
      <c r="DV6" t="s">
        <v>165</v>
      </c>
      <c r="DW6" t="s">
        <v>166</v>
      </c>
      <c r="DX6" t="s">
        <v>167</v>
      </c>
      <c r="DY6" t="s">
        <v>168</v>
      </c>
      <c r="DZ6" t="s">
        <v>169</v>
      </c>
      <c r="EA6" t="s">
        <v>170</v>
      </c>
      <c r="EB6" t="s">
        <v>172</v>
      </c>
      <c r="EC6" t="s">
        <v>174</v>
      </c>
      <c r="ED6" t="s">
        <v>177</v>
      </c>
      <c r="EE6" t="s">
        <v>178</v>
      </c>
      <c r="EF6" t="s">
        <v>180</v>
      </c>
      <c r="EG6" t="s">
        <v>182</v>
      </c>
      <c r="EH6" t="s">
        <v>185</v>
      </c>
      <c r="EI6" t="s">
        <v>187</v>
      </c>
      <c r="EJ6" t="s">
        <v>188</v>
      </c>
      <c r="EK6" t="s">
        <v>189</v>
      </c>
      <c r="EL6" t="s">
        <v>191</v>
      </c>
      <c r="EM6" t="s">
        <v>192</v>
      </c>
      <c r="EN6" t="s">
        <v>193</v>
      </c>
      <c r="EO6" t="s">
        <v>194</v>
      </c>
      <c r="EP6" t="s">
        <v>195</v>
      </c>
      <c r="EQ6" t="s">
        <v>196</v>
      </c>
      <c r="ER6" t="s">
        <v>197</v>
      </c>
      <c r="ES6" t="s">
        <v>198</v>
      </c>
      <c r="ET6" t="s">
        <v>199</v>
      </c>
      <c r="EU6" t="s">
        <v>200</v>
      </c>
      <c r="EV6" t="s">
        <v>203</v>
      </c>
      <c r="EW6" t="s">
        <v>205</v>
      </c>
      <c r="EX6" t="s">
        <v>208</v>
      </c>
      <c r="EY6" t="s">
        <v>210</v>
      </c>
      <c r="EZ6" t="s">
        <v>211</v>
      </c>
      <c r="FA6" t="s">
        <v>212</v>
      </c>
      <c r="FB6" t="s">
        <v>214</v>
      </c>
      <c r="FC6" t="s">
        <v>215</v>
      </c>
      <c r="FD6" t="s">
        <v>215</v>
      </c>
      <c r="FE6" t="s">
        <v>216</v>
      </c>
      <c r="FF6" t="s">
        <v>217</v>
      </c>
      <c r="FG6" t="s">
        <v>218</v>
      </c>
      <c r="FH6" t="s">
        <v>219</v>
      </c>
      <c r="FI6" t="s">
        <v>219</v>
      </c>
      <c r="FJ6" t="s">
        <v>222</v>
      </c>
      <c r="FK6" t="s">
        <v>223</v>
      </c>
      <c r="FL6" t="s">
        <v>222</v>
      </c>
      <c r="FM6" t="s">
        <v>227</v>
      </c>
      <c r="FN6" t="s">
        <v>227</v>
      </c>
      <c r="FO6" t="s">
        <v>230</v>
      </c>
      <c r="FP6" t="s">
        <v>232</v>
      </c>
      <c r="FQ6" t="s">
        <v>233</v>
      </c>
      <c r="FR6" t="s">
        <v>236</v>
      </c>
      <c r="FS6" t="s">
        <v>237</v>
      </c>
      <c r="FT6" t="s">
        <v>238</v>
      </c>
      <c r="FU6" t="s">
        <v>239</v>
      </c>
      <c r="FV6" t="s">
        <v>240</v>
      </c>
      <c r="FW6" t="s">
        <v>241</v>
      </c>
      <c r="FX6" t="s">
        <v>242</v>
      </c>
      <c r="FY6" t="s">
        <v>243</v>
      </c>
      <c r="FZ6" t="s">
        <v>245</v>
      </c>
      <c r="GA6" t="s">
        <v>247</v>
      </c>
      <c r="GB6" t="s">
        <v>246</v>
      </c>
      <c r="GC6" t="s">
        <v>248</v>
      </c>
      <c r="GD6" t="s">
        <v>250</v>
      </c>
      <c r="GE6" t="s">
        <v>251</v>
      </c>
      <c r="GF6" t="s">
        <v>253</v>
      </c>
      <c r="GG6" t="s">
        <v>255</v>
      </c>
      <c r="GH6" t="s">
        <v>258</v>
      </c>
      <c r="GI6" t="s">
        <v>258</v>
      </c>
      <c r="GJ6" t="s">
        <v>260</v>
      </c>
      <c r="GK6" t="s">
        <v>261</v>
      </c>
      <c r="GL6" t="s">
        <v>262</v>
      </c>
      <c r="GM6" t="s">
        <v>263</v>
      </c>
      <c r="GN6" t="s">
        <v>264</v>
      </c>
      <c r="GO6" t="s">
        <v>266</v>
      </c>
      <c r="GP6" t="s">
        <v>268</v>
      </c>
      <c r="GQ6" t="s">
        <v>269</v>
      </c>
      <c r="GR6" t="s">
        <v>270</v>
      </c>
      <c r="GS6" t="s">
        <v>272</v>
      </c>
      <c r="GT6" t="s">
        <v>274</v>
      </c>
      <c r="GU6" t="s">
        <v>275</v>
      </c>
      <c r="GV6" t="s">
        <v>276</v>
      </c>
      <c r="GW6" t="s">
        <v>278</v>
      </c>
      <c r="GX6" t="s">
        <v>279</v>
      </c>
      <c r="GY6" t="s">
        <v>281</v>
      </c>
      <c r="GZ6" t="s">
        <v>283</v>
      </c>
      <c r="HA6" t="s">
        <v>284</v>
      </c>
      <c r="HB6" t="s">
        <v>285</v>
      </c>
      <c r="HC6" t="s">
        <v>286</v>
      </c>
      <c r="HD6" t="s">
        <v>288</v>
      </c>
      <c r="HE6" t="s">
        <v>289</v>
      </c>
      <c r="HF6" t="s">
        <v>291</v>
      </c>
      <c r="HG6" t="s">
        <v>293</v>
      </c>
      <c r="HH6" t="s">
        <v>294</v>
      </c>
      <c r="HI6" t="s">
        <v>295</v>
      </c>
      <c r="HJ6" t="s">
        <v>296</v>
      </c>
      <c r="HK6" t="s">
        <v>295</v>
      </c>
      <c r="HL6" t="s">
        <v>298</v>
      </c>
      <c r="HM6" t="s">
        <v>300</v>
      </c>
      <c r="HN6" t="s">
        <v>301</v>
      </c>
      <c r="HO6" t="s">
        <v>303</v>
      </c>
      <c r="HP6" t="s">
        <v>304</v>
      </c>
      <c r="HQ6" t="s">
        <v>306</v>
      </c>
      <c r="HR6" t="s">
        <v>307</v>
      </c>
      <c r="HS6" t="s">
        <v>309</v>
      </c>
      <c r="HT6" t="s">
        <v>310</v>
      </c>
      <c r="HU6" t="s">
        <v>311</v>
      </c>
      <c r="HV6" t="s">
        <v>313</v>
      </c>
      <c r="HW6" t="s">
        <v>314</v>
      </c>
      <c r="HX6" t="s">
        <v>315</v>
      </c>
      <c r="HY6" t="s">
        <v>316</v>
      </c>
      <c r="HZ6" t="s">
        <v>318</v>
      </c>
      <c r="IA6" t="s">
        <v>319</v>
      </c>
      <c r="IB6" t="s">
        <v>321</v>
      </c>
      <c r="IC6" t="s">
        <v>322</v>
      </c>
      <c r="ID6" t="s">
        <v>324</v>
      </c>
      <c r="IE6" t="s">
        <v>326</v>
      </c>
      <c r="IF6" t="s">
        <v>327</v>
      </c>
      <c r="IG6" t="s">
        <v>329</v>
      </c>
      <c r="IH6" t="s">
        <v>330</v>
      </c>
      <c r="II6" t="s">
        <v>331</v>
      </c>
      <c r="IJ6" t="s">
        <v>332</v>
      </c>
      <c r="IK6" t="s">
        <v>333</v>
      </c>
      <c r="IL6" t="s">
        <v>335</v>
      </c>
      <c r="IM6" t="s">
        <v>336</v>
      </c>
      <c r="IN6" t="s">
        <v>337</v>
      </c>
      <c r="IO6" t="s">
        <v>338</v>
      </c>
      <c r="IP6" t="s">
        <v>339</v>
      </c>
      <c r="IQ6" t="s">
        <v>341</v>
      </c>
      <c r="IR6" t="s">
        <v>344</v>
      </c>
      <c r="IS6" t="s">
        <v>346</v>
      </c>
      <c r="IT6" t="s">
        <v>347</v>
      </c>
      <c r="IU6" t="s">
        <v>348</v>
      </c>
      <c r="IV6" t="s">
        <v>350</v>
      </c>
      <c r="IW6" t="s">
        <v>351</v>
      </c>
      <c r="IX6" t="s">
        <v>353</v>
      </c>
      <c r="IY6" t="s">
        <v>355</v>
      </c>
      <c r="IZ6" t="s">
        <v>357</v>
      </c>
      <c r="JA6" t="s">
        <v>359</v>
      </c>
      <c r="JB6" t="s">
        <v>360</v>
      </c>
      <c r="JC6" t="s">
        <v>362</v>
      </c>
      <c r="JD6" t="s">
        <v>364</v>
      </c>
      <c r="JE6" t="s">
        <v>365</v>
      </c>
      <c r="JF6" t="s">
        <v>367</v>
      </c>
      <c r="JG6" t="s">
        <v>368</v>
      </c>
      <c r="JH6" t="s">
        <v>369</v>
      </c>
      <c r="JI6" t="s">
        <v>370</v>
      </c>
      <c r="JJ6" t="s">
        <v>372</v>
      </c>
      <c r="JK6" t="s">
        <v>373</v>
      </c>
      <c r="JL6" t="s">
        <v>374</v>
      </c>
      <c r="JM6" t="s">
        <v>375</v>
      </c>
      <c r="JN6" t="s">
        <v>376</v>
      </c>
      <c r="JO6" t="s">
        <v>377</v>
      </c>
      <c r="JP6" t="s">
        <v>380</v>
      </c>
      <c r="JQ6" t="s">
        <v>382</v>
      </c>
      <c r="JR6" t="s">
        <v>385</v>
      </c>
      <c r="JS6" t="s">
        <v>386</v>
      </c>
      <c r="JT6" t="s">
        <v>387</v>
      </c>
      <c r="JU6" t="s">
        <v>388</v>
      </c>
      <c r="JV6" t="s">
        <v>389</v>
      </c>
      <c r="JW6" t="s">
        <v>390</v>
      </c>
      <c r="JX6" t="s">
        <v>391</v>
      </c>
      <c r="JY6" t="s">
        <v>392</v>
      </c>
      <c r="JZ6" t="s">
        <v>394</v>
      </c>
      <c r="KA6" t="s">
        <v>395</v>
      </c>
      <c r="KB6" t="s">
        <v>396</v>
      </c>
      <c r="KC6" t="s">
        <v>397</v>
      </c>
      <c r="KD6" t="s">
        <v>398</v>
      </c>
      <c r="KE6" t="s">
        <v>400</v>
      </c>
      <c r="KF6" t="s">
        <v>402</v>
      </c>
      <c r="KG6" t="s">
        <v>404</v>
      </c>
      <c r="KH6" t="s">
        <v>405</v>
      </c>
      <c r="KI6" t="s">
        <v>406</v>
      </c>
      <c r="KJ6" t="s">
        <v>407</v>
      </c>
      <c r="KK6" t="s">
        <v>408</v>
      </c>
      <c r="KL6" t="s">
        <v>409</v>
      </c>
      <c r="KM6" t="s">
        <v>410</v>
      </c>
      <c r="KN6" t="s">
        <v>411</v>
      </c>
      <c r="KO6" t="s">
        <v>413</v>
      </c>
      <c r="KP6" t="s">
        <v>415</v>
      </c>
      <c r="KQ6" t="s">
        <v>416</v>
      </c>
      <c r="KR6" t="s">
        <v>417</v>
      </c>
      <c r="KS6" t="s">
        <v>419</v>
      </c>
      <c r="KT6" t="s">
        <v>420</v>
      </c>
      <c r="KU6" t="s">
        <v>421</v>
      </c>
      <c r="KV6" t="s">
        <v>422</v>
      </c>
      <c r="KW6" t="s">
        <v>423</v>
      </c>
      <c r="KX6" t="s">
        <v>424</v>
      </c>
      <c r="KY6" t="s">
        <v>425</v>
      </c>
      <c r="KZ6" t="s">
        <v>426</v>
      </c>
      <c r="LA6" t="s">
        <v>427</v>
      </c>
      <c r="LB6" t="s">
        <v>148</v>
      </c>
      <c r="LC6" t="s">
        <v>428</v>
      </c>
      <c r="LD6" t="s">
        <v>430</v>
      </c>
      <c r="LE6" t="s">
        <v>431</v>
      </c>
      <c r="LF6" t="s">
        <v>432</v>
      </c>
      <c r="LG6" t="s">
        <v>433</v>
      </c>
      <c r="LH6" t="s">
        <v>435</v>
      </c>
      <c r="LI6" t="s">
        <v>436</v>
      </c>
      <c r="LJ6" t="s">
        <v>438</v>
      </c>
      <c r="LK6" t="s">
        <v>439</v>
      </c>
      <c r="LL6" t="s">
        <v>440</v>
      </c>
      <c r="LM6" t="s">
        <v>441</v>
      </c>
      <c r="LN6" t="s">
        <v>443</v>
      </c>
      <c r="LO6" t="s">
        <v>444</v>
      </c>
      <c r="LP6" t="s">
        <v>445</v>
      </c>
      <c r="LQ6" t="s">
        <v>447</v>
      </c>
      <c r="LR6" t="s">
        <v>449</v>
      </c>
      <c r="LS6" t="s">
        <v>450</v>
      </c>
      <c r="LT6" t="s">
        <v>451</v>
      </c>
      <c r="LU6" t="s">
        <v>453</v>
      </c>
      <c r="LV6" t="s">
        <v>455</v>
      </c>
      <c r="LW6" t="s">
        <v>457</v>
      </c>
      <c r="LX6" t="s">
        <v>458</v>
      </c>
      <c r="LY6" t="s">
        <v>460</v>
      </c>
      <c r="LZ6" t="s">
        <v>461</v>
      </c>
      <c r="MA6" t="s">
        <v>463</v>
      </c>
      <c r="MB6" t="s">
        <v>465</v>
      </c>
      <c r="MC6" t="s">
        <v>467</v>
      </c>
      <c r="MD6" t="s">
        <v>468</v>
      </c>
      <c r="ME6" t="s">
        <v>470</v>
      </c>
      <c r="MF6" t="s">
        <v>471</v>
      </c>
      <c r="MG6" t="s">
        <v>473</v>
      </c>
      <c r="MH6" t="s">
        <v>475</v>
      </c>
      <c r="MI6" t="s">
        <v>477</v>
      </c>
      <c r="MJ6" t="s">
        <v>478</v>
      </c>
      <c r="MK6" t="s">
        <v>479</v>
      </c>
      <c r="ML6" t="s">
        <v>480</v>
      </c>
      <c r="MM6" t="s">
        <v>482</v>
      </c>
      <c r="MN6" t="s">
        <v>483</v>
      </c>
      <c r="MO6" t="s">
        <v>484</v>
      </c>
      <c r="MP6" t="s">
        <v>486</v>
      </c>
      <c r="MQ6" t="s">
        <v>487</v>
      </c>
      <c r="MR6" t="s">
        <v>489</v>
      </c>
      <c r="MS6" t="s">
        <v>491</v>
      </c>
      <c r="MT6" t="s">
        <v>492</v>
      </c>
      <c r="MU6" t="s">
        <v>493</v>
      </c>
      <c r="MV6" t="s">
        <v>494</v>
      </c>
      <c r="MW6" t="s">
        <v>496</v>
      </c>
      <c r="MX6" t="s">
        <v>498</v>
      </c>
      <c r="MY6" t="s">
        <v>500</v>
      </c>
      <c r="MZ6" t="s">
        <v>502</v>
      </c>
      <c r="NA6" t="s">
        <v>503</v>
      </c>
      <c r="NB6" t="s">
        <v>505</v>
      </c>
      <c r="NC6" t="s">
        <v>508</v>
      </c>
      <c r="ND6" t="s">
        <v>509</v>
      </c>
      <c r="NE6" t="s">
        <v>511</v>
      </c>
      <c r="NF6" t="s">
        <v>512</v>
      </c>
      <c r="NG6" t="s">
        <v>514</v>
      </c>
      <c r="NH6" t="s">
        <v>516</v>
      </c>
      <c r="NI6" t="s">
        <v>517</v>
      </c>
      <c r="NJ6" t="s">
        <v>519</v>
      </c>
      <c r="NK6" t="s">
        <v>520</v>
      </c>
      <c r="NL6" t="s">
        <v>522</v>
      </c>
      <c r="NM6" t="s">
        <v>523</v>
      </c>
      <c r="NN6" t="s">
        <v>525</v>
      </c>
      <c r="NO6" t="s">
        <v>526</v>
      </c>
      <c r="NP6" t="s">
        <v>528</v>
      </c>
      <c r="NQ6" t="s">
        <v>529</v>
      </c>
      <c r="NR6" t="s">
        <v>531</v>
      </c>
      <c r="NS6" t="s">
        <v>532</v>
      </c>
      <c r="NT6" t="s">
        <v>534</v>
      </c>
      <c r="NU6" t="s">
        <v>536</v>
      </c>
      <c r="NV6" t="s">
        <v>537</v>
      </c>
      <c r="NW6" t="s">
        <v>368</v>
      </c>
      <c r="NX6" t="s">
        <v>539</v>
      </c>
      <c r="NY6" t="s">
        <v>541</v>
      </c>
      <c r="NZ6" t="s">
        <v>543</v>
      </c>
      <c r="OA6" t="s">
        <v>545</v>
      </c>
      <c r="OB6" t="s">
        <v>546</v>
      </c>
      <c r="OC6" t="s">
        <v>547</v>
      </c>
      <c r="OD6" t="s">
        <v>548</v>
      </c>
      <c r="OE6" t="s">
        <v>550</v>
      </c>
      <c r="OF6" t="s">
        <v>552</v>
      </c>
      <c r="OG6" t="s">
        <v>552</v>
      </c>
      <c r="OH6" t="s">
        <v>555</v>
      </c>
      <c r="OI6" t="s">
        <v>557</v>
      </c>
      <c r="OJ6" t="s">
        <v>558</v>
      </c>
      <c r="OK6" t="s">
        <v>559</v>
      </c>
      <c r="OL6" t="s">
        <v>560</v>
      </c>
      <c r="OM6" t="s">
        <v>561</v>
      </c>
      <c r="ON6" t="s">
        <v>563</v>
      </c>
      <c r="OO6" t="s">
        <v>564</v>
      </c>
      <c r="OP6" t="s">
        <v>565</v>
      </c>
      <c r="OQ6" t="s">
        <v>566</v>
      </c>
      <c r="OR6" t="s">
        <v>567</v>
      </c>
      <c r="OS6" t="s">
        <v>568</v>
      </c>
      <c r="OT6" t="s">
        <v>569</v>
      </c>
      <c r="OU6" t="s">
        <v>571</v>
      </c>
      <c r="OV6" t="s">
        <v>572</v>
      </c>
      <c r="OW6" t="s">
        <v>573</v>
      </c>
      <c r="OX6" t="s">
        <v>575</v>
      </c>
      <c r="OY6" t="s">
        <v>576</v>
      </c>
      <c r="OZ6" t="s">
        <v>577</v>
      </c>
      <c r="PA6" t="s">
        <v>578</v>
      </c>
      <c r="PB6" t="s">
        <v>580</v>
      </c>
      <c r="PC6" t="s">
        <v>580</v>
      </c>
      <c r="PD6" t="s">
        <v>582</v>
      </c>
      <c r="PE6" t="s">
        <v>121</v>
      </c>
      <c r="PF6" t="s">
        <v>585</v>
      </c>
      <c r="PG6" t="s">
        <v>586</v>
      </c>
      <c r="PH6" t="s">
        <v>586</v>
      </c>
      <c r="PI6" t="s">
        <v>587</v>
      </c>
      <c r="PJ6" t="s">
        <v>588</v>
      </c>
      <c r="PK6" t="s">
        <v>590</v>
      </c>
      <c r="PL6" t="s">
        <v>591</v>
      </c>
      <c r="PM6" t="s">
        <v>592</v>
      </c>
      <c r="PN6" t="s">
        <v>593</v>
      </c>
      <c r="PO6" t="s">
        <v>595</v>
      </c>
      <c r="PP6" t="s">
        <v>597</v>
      </c>
      <c r="PQ6" t="s">
        <v>598</v>
      </c>
      <c r="PR6" t="s">
        <v>599</v>
      </c>
      <c r="PS6" t="s">
        <v>600</v>
      </c>
      <c r="PT6" t="s">
        <v>601</v>
      </c>
      <c r="PU6" t="s">
        <v>602</v>
      </c>
      <c r="PV6" t="s">
        <v>604</v>
      </c>
      <c r="PW6" t="s">
        <v>65</v>
      </c>
      <c r="PX6" t="s">
        <v>605</v>
      </c>
      <c r="PY6" t="s">
        <v>606</v>
      </c>
      <c r="PZ6" t="s">
        <v>608</v>
      </c>
      <c r="QA6" t="s">
        <v>609</v>
      </c>
      <c r="QB6" t="s">
        <v>610</v>
      </c>
      <c r="QC6" t="s">
        <v>611</v>
      </c>
      <c r="QD6" t="s">
        <v>613</v>
      </c>
      <c r="QE6" t="s">
        <v>614</v>
      </c>
      <c r="QF6" t="s">
        <v>616</v>
      </c>
      <c r="QG6" t="s">
        <v>617</v>
      </c>
      <c r="QH6" t="s">
        <v>619</v>
      </c>
      <c r="QI6" t="s">
        <v>620</v>
      </c>
      <c r="QJ6" t="s">
        <v>621</v>
      </c>
      <c r="QK6" t="s">
        <v>623</v>
      </c>
      <c r="QL6" t="s">
        <v>624</v>
      </c>
      <c r="QM6" t="s">
        <v>625</v>
      </c>
      <c r="QN6" t="s">
        <v>627</v>
      </c>
      <c r="QO6" t="s">
        <v>629</v>
      </c>
      <c r="QP6" t="s">
        <v>630</v>
      </c>
      <c r="QQ6" t="s">
        <v>631</v>
      </c>
      <c r="QR6" t="s">
        <v>632</v>
      </c>
      <c r="QS6" t="s">
        <v>633</v>
      </c>
      <c r="QT6" t="s">
        <v>634</v>
      </c>
      <c r="QU6" t="s">
        <v>635</v>
      </c>
      <c r="QV6" t="s">
        <v>634</v>
      </c>
      <c r="QW6" t="s">
        <v>635</v>
      </c>
      <c r="QX6" t="s">
        <v>639</v>
      </c>
      <c r="QY6" t="s">
        <v>641</v>
      </c>
      <c r="QZ6" t="s">
        <v>643</v>
      </c>
      <c r="RA6" t="s">
        <v>645</v>
      </c>
      <c r="RB6" t="s">
        <v>647</v>
      </c>
      <c r="RC6" t="s">
        <v>648</v>
      </c>
      <c r="RD6" t="s">
        <v>649</v>
      </c>
      <c r="RE6" t="s">
        <v>652</v>
      </c>
      <c r="RF6" t="s">
        <v>650</v>
      </c>
      <c r="RG6" t="s">
        <v>655</v>
      </c>
      <c r="RH6" t="s">
        <v>656</v>
      </c>
      <c r="RI6" t="s">
        <v>658</v>
      </c>
      <c r="RJ6" t="s">
        <v>660</v>
      </c>
      <c r="RK6" t="s">
        <v>661</v>
      </c>
      <c r="RL6" t="s">
        <v>663</v>
      </c>
      <c r="RM6" t="s">
        <v>665</v>
      </c>
      <c r="RN6" t="s">
        <v>666</v>
      </c>
      <c r="RO6" t="s">
        <v>668</v>
      </c>
      <c r="RP6" t="s">
        <v>670</v>
      </c>
      <c r="RQ6" t="s">
        <v>672</v>
      </c>
      <c r="RR6" t="s">
        <v>673</v>
      </c>
      <c r="RS6" t="s">
        <v>674</v>
      </c>
      <c r="RT6" t="s">
        <v>676</v>
      </c>
      <c r="RU6" t="s">
        <v>679</v>
      </c>
      <c r="RV6" t="s">
        <v>680</v>
      </c>
      <c r="RW6" t="s">
        <v>681</v>
      </c>
      <c r="RX6" t="s">
        <v>683</v>
      </c>
      <c r="RY6" t="s">
        <v>684</v>
      </c>
      <c r="RZ6" t="s">
        <v>685</v>
      </c>
      <c r="SA6" t="s">
        <v>686</v>
      </c>
      <c r="SB6" t="s">
        <v>688</v>
      </c>
      <c r="SC6" t="s">
        <v>690</v>
      </c>
      <c r="SD6" t="s">
        <v>691</v>
      </c>
      <c r="SE6" t="s">
        <v>694</v>
      </c>
      <c r="SF6" t="s">
        <v>696</v>
      </c>
      <c r="SG6" t="s">
        <v>698</v>
      </c>
      <c r="SH6" t="s">
        <v>699</v>
      </c>
      <c r="SI6" t="s">
        <v>700</v>
      </c>
      <c r="SJ6" t="s">
        <v>702</v>
      </c>
      <c r="SK6" t="s">
        <v>703</v>
      </c>
      <c r="SL6" t="s">
        <v>704</v>
      </c>
      <c r="SM6" t="s">
        <v>705</v>
      </c>
      <c r="SN6" t="s">
        <v>706</v>
      </c>
      <c r="SO6" t="s">
        <v>707</v>
      </c>
      <c r="SP6" t="s">
        <v>709</v>
      </c>
      <c r="SQ6" t="s">
        <v>711</v>
      </c>
      <c r="SR6" t="s">
        <v>712</v>
      </c>
      <c r="SS6" t="s">
        <v>714</v>
      </c>
      <c r="ST6" t="s">
        <v>715</v>
      </c>
      <c r="SU6" t="s">
        <v>716</v>
      </c>
      <c r="SV6" t="s">
        <v>718</v>
      </c>
      <c r="SW6" t="s">
        <v>720</v>
      </c>
      <c r="SX6" t="s">
        <v>722</v>
      </c>
      <c r="SY6" t="s">
        <v>724</v>
      </c>
      <c r="SZ6" t="s">
        <v>726</v>
      </c>
      <c r="TA6" t="s">
        <v>728</v>
      </c>
      <c r="TB6" t="s">
        <v>729</v>
      </c>
      <c r="TC6" t="s">
        <v>731</v>
      </c>
      <c r="TD6" t="s">
        <v>733</v>
      </c>
      <c r="TE6" t="s">
        <v>735</v>
      </c>
      <c r="TF6" t="s">
        <v>737</v>
      </c>
      <c r="TG6" t="s">
        <v>738</v>
      </c>
      <c r="TH6" t="s">
        <v>740</v>
      </c>
      <c r="TI6" t="s">
        <v>742</v>
      </c>
      <c r="TJ6" t="s">
        <v>743</v>
      </c>
      <c r="TK6" t="s">
        <v>745</v>
      </c>
      <c r="TL6" t="s">
        <v>746</v>
      </c>
      <c r="TM6" t="s">
        <v>747</v>
      </c>
      <c r="TN6" t="s">
        <v>749</v>
      </c>
      <c r="TO6" t="s">
        <v>751</v>
      </c>
      <c r="TP6" t="s">
        <v>752</v>
      </c>
      <c r="TQ6" t="s">
        <v>754</v>
      </c>
      <c r="TR6" t="s">
        <v>756</v>
      </c>
      <c r="TS6" t="s">
        <v>758</v>
      </c>
      <c r="TT6" t="s">
        <v>760</v>
      </c>
      <c r="TU6" t="s">
        <v>763</v>
      </c>
      <c r="TV6" t="s">
        <v>765</v>
      </c>
      <c r="TW6" t="s">
        <v>767</v>
      </c>
      <c r="TX6" t="s">
        <v>769</v>
      </c>
      <c r="TY6" t="s">
        <v>770</v>
      </c>
      <c r="TZ6" t="s">
        <v>771</v>
      </c>
      <c r="UA6" t="s">
        <v>773</v>
      </c>
      <c r="UB6" t="s">
        <v>774</v>
      </c>
      <c r="UC6" t="s">
        <v>776</v>
      </c>
      <c r="UD6" t="s">
        <v>778</v>
      </c>
      <c r="UE6" t="s">
        <v>779</v>
      </c>
      <c r="UF6" t="s">
        <v>780</v>
      </c>
      <c r="UG6" t="s">
        <v>782</v>
      </c>
      <c r="UH6" t="s">
        <v>784</v>
      </c>
      <c r="UI6" t="s">
        <v>785</v>
      </c>
      <c r="UJ6" t="s">
        <v>786</v>
      </c>
      <c r="UK6" t="s">
        <v>788</v>
      </c>
      <c r="UL6" t="s">
        <v>790</v>
      </c>
      <c r="UM6" t="s">
        <v>790</v>
      </c>
      <c r="UN6" t="s">
        <v>791</v>
      </c>
      <c r="UO6" t="s">
        <v>792</v>
      </c>
      <c r="UP6" t="s">
        <v>793</v>
      </c>
      <c r="UQ6" t="s">
        <v>794</v>
      </c>
      <c r="UR6" t="s">
        <v>796</v>
      </c>
      <c r="US6" t="s">
        <v>798</v>
      </c>
      <c r="UT6" t="s">
        <v>799</v>
      </c>
      <c r="UU6" t="s">
        <v>801</v>
      </c>
      <c r="UV6" t="s">
        <v>802</v>
      </c>
      <c r="UW6" t="s">
        <v>804</v>
      </c>
      <c r="UX6" t="s">
        <v>805</v>
      </c>
      <c r="UY6" t="s">
        <v>806</v>
      </c>
      <c r="UZ6" t="s">
        <v>807</v>
      </c>
      <c r="VA6" t="s">
        <v>809</v>
      </c>
      <c r="VB6" t="s">
        <v>810</v>
      </c>
      <c r="VC6" t="s">
        <v>811</v>
      </c>
      <c r="VD6" t="s">
        <v>812</v>
      </c>
      <c r="VE6" t="s">
        <v>813</v>
      </c>
      <c r="VF6" t="s">
        <v>814</v>
      </c>
      <c r="VG6" t="s">
        <v>815</v>
      </c>
      <c r="VH6" t="s">
        <v>817</v>
      </c>
      <c r="VI6" t="s">
        <v>819</v>
      </c>
      <c r="VJ6" t="s">
        <v>820</v>
      </c>
      <c r="VK6" t="s">
        <v>821</v>
      </c>
      <c r="VL6" t="s">
        <v>823</v>
      </c>
      <c r="VM6" t="s">
        <v>824</v>
      </c>
      <c r="VN6" t="s">
        <v>826</v>
      </c>
      <c r="VO6" t="s">
        <v>828</v>
      </c>
      <c r="VP6" t="s">
        <v>829</v>
      </c>
      <c r="VQ6" t="s">
        <v>830</v>
      </c>
      <c r="VR6" t="s">
        <v>832</v>
      </c>
      <c r="VS6" t="s">
        <v>439</v>
      </c>
      <c r="VT6" t="s">
        <v>833</v>
      </c>
      <c r="VU6" t="s">
        <v>835</v>
      </c>
      <c r="VV6" t="s">
        <v>837</v>
      </c>
      <c r="VW6" t="s">
        <v>838</v>
      </c>
      <c r="VX6" t="s">
        <v>839</v>
      </c>
      <c r="VY6" t="s">
        <v>840</v>
      </c>
      <c r="VZ6" t="s">
        <v>842</v>
      </c>
      <c r="WA6" t="s">
        <v>843</v>
      </c>
      <c r="WB6" t="s">
        <v>191</v>
      </c>
      <c r="WC6" t="s">
        <v>845</v>
      </c>
      <c r="WD6" t="s">
        <v>847</v>
      </c>
      <c r="WE6" t="s">
        <v>846</v>
      </c>
      <c r="WF6" t="s">
        <v>848</v>
      </c>
      <c r="WG6" t="s">
        <v>849</v>
      </c>
      <c r="WH6" t="s">
        <v>850</v>
      </c>
      <c r="WI6" t="s">
        <v>850</v>
      </c>
      <c r="WJ6" t="s">
        <v>852</v>
      </c>
      <c r="WK6" t="s">
        <v>853</v>
      </c>
      <c r="WL6" t="s">
        <v>854</v>
      </c>
      <c r="WM6" t="s">
        <v>855</v>
      </c>
      <c r="WN6" t="s">
        <v>857</v>
      </c>
      <c r="WO6" t="s">
        <v>858</v>
      </c>
      <c r="WP6" t="s">
        <v>860</v>
      </c>
      <c r="WQ6" t="s">
        <v>862</v>
      </c>
      <c r="WR6" t="s">
        <v>863</v>
      </c>
      <c r="WS6" t="s">
        <v>865</v>
      </c>
      <c r="WT6" t="s">
        <v>866</v>
      </c>
      <c r="WU6" t="s">
        <v>868</v>
      </c>
      <c r="WV6" t="s">
        <v>870</v>
      </c>
      <c r="WW6" t="s">
        <v>872</v>
      </c>
      <c r="WX6" t="s">
        <v>874</v>
      </c>
      <c r="WY6" t="s">
        <v>875</v>
      </c>
      <c r="WZ6" t="s">
        <v>876</v>
      </c>
      <c r="XA6" t="s">
        <v>878</v>
      </c>
      <c r="XB6" t="s">
        <v>880</v>
      </c>
      <c r="XC6" t="s">
        <v>881</v>
      </c>
      <c r="XD6" t="s">
        <v>882</v>
      </c>
      <c r="XE6" t="s">
        <v>883</v>
      </c>
      <c r="XF6" t="s">
        <v>884</v>
      </c>
      <c r="XG6" t="s">
        <v>886</v>
      </c>
      <c r="XH6" t="s">
        <v>887</v>
      </c>
      <c r="XI6" t="s">
        <v>888</v>
      </c>
      <c r="XJ6" t="s">
        <v>889</v>
      </c>
      <c r="XK6" t="s">
        <v>890</v>
      </c>
      <c r="XL6" t="s">
        <v>891</v>
      </c>
      <c r="XM6" t="s">
        <v>893</v>
      </c>
      <c r="XN6" t="s">
        <v>894</v>
      </c>
      <c r="XO6" t="s">
        <v>895</v>
      </c>
      <c r="XP6" t="s">
        <v>897</v>
      </c>
      <c r="XQ6" t="s">
        <v>898</v>
      </c>
      <c r="XR6" t="s">
        <v>899</v>
      </c>
      <c r="XS6" t="s">
        <v>900</v>
      </c>
      <c r="XT6" t="s">
        <v>902</v>
      </c>
      <c r="XU6" t="s">
        <v>903</v>
      </c>
      <c r="XV6" t="s">
        <v>905</v>
      </c>
      <c r="XW6" t="s">
        <v>906</v>
      </c>
      <c r="XX6" t="s">
        <v>908</v>
      </c>
      <c r="XY6" t="s">
        <v>909</v>
      </c>
      <c r="XZ6" t="s">
        <v>911</v>
      </c>
      <c r="YA6" t="s">
        <v>912</v>
      </c>
      <c r="YB6" t="s">
        <v>914</v>
      </c>
      <c r="YC6" t="s">
        <v>915</v>
      </c>
      <c r="YD6" t="s">
        <v>916</v>
      </c>
      <c r="YE6" t="s">
        <v>918</v>
      </c>
      <c r="YF6" t="s">
        <v>919</v>
      </c>
      <c r="YG6" t="s">
        <v>920</v>
      </c>
      <c r="YH6" t="s">
        <v>921</v>
      </c>
      <c r="YI6" t="s">
        <v>922</v>
      </c>
      <c r="YJ6" t="s">
        <v>924</v>
      </c>
      <c r="YK6" t="s">
        <v>925</v>
      </c>
      <c r="YL6" t="s">
        <v>926</v>
      </c>
      <c r="YM6" t="s">
        <v>927</v>
      </c>
      <c r="YN6" t="s">
        <v>592</v>
      </c>
      <c r="YO6" t="s">
        <v>929</v>
      </c>
      <c r="YP6" t="s">
        <v>931</v>
      </c>
      <c r="YQ6" t="s">
        <v>932</v>
      </c>
      <c r="YR6" t="s">
        <v>934</v>
      </c>
      <c r="YS6" t="s">
        <v>935</v>
      </c>
      <c r="YT6" t="s">
        <v>937</v>
      </c>
      <c r="YU6" t="s">
        <v>938</v>
      </c>
      <c r="YV6" t="s">
        <v>939</v>
      </c>
      <c r="YW6" t="s">
        <v>940</v>
      </c>
      <c r="YX6" t="s">
        <v>942</v>
      </c>
      <c r="YY6" t="s">
        <v>943</v>
      </c>
      <c r="YZ6" t="s">
        <v>944</v>
      </c>
      <c r="ZA6" t="s">
        <v>947</v>
      </c>
      <c r="ZB6" t="s">
        <v>948</v>
      </c>
      <c r="ZC6" t="s">
        <v>948</v>
      </c>
      <c r="ZD6" t="s">
        <v>950</v>
      </c>
      <c r="ZE6" t="s">
        <v>951</v>
      </c>
      <c r="ZF6" t="s">
        <v>952</v>
      </c>
      <c r="ZG6" t="s">
        <v>953</v>
      </c>
      <c r="ZH6" t="s">
        <v>955</v>
      </c>
      <c r="ZI6" t="s">
        <v>14</v>
      </c>
      <c r="ZJ6" t="s">
        <v>957</v>
      </c>
      <c r="ZK6" t="s">
        <v>959</v>
      </c>
      <c r="ZL6" t="s">
        <v>961</v>
      </c>
      <c r="ZM6" t="s">
        <v>963</v>
      </c>
      <c r="ZN6" t="s">
        <v>964</v>
      </c>
      <c r="ZO6" t="s">
        <v>425</v>
      </c>
      <c r="ZP6" t="s">
        <v>427</v>
      </c>
      <c r="ZQ6" t="s">
        <v>967</v>
      </c>
      <c r="ZR6" t="s">
        <v>969</v>
      </c>
      <c r="ZS6" t="s">
        <v>970</v>
      </c>
      <c r="ZT6" t="s">
        <v>972</v>
      </c>
      <c r="ZU6" t="s">
        <v>973</v>
      </c>
      <c r="ZV6" t="s">
        <v>974</v>
      </c>
      <c r="ZW6" t="s">
        <v>975</v>
      </c>
      <c r="ZX6" t="s">
        <v>977</v>
      </c>
      <c r="ZY6" t="s">
        <v>978</v>
      </c>
      <c r="ZZ6" t="s">
        <v>979</v>
      </c>
      <c r="AAA6" t="s">
        <v>980</v>
      </c>
      <c r="AAB6" t="s">
        <v>982</v>
      </c>
      <c r="AAC6" t="s">
        <v>984</v>
      </c>
      <c r="AAD6" t="s">
        <v>985</v>
      </c>
      <c r="AAE6" t="s">
        <v>987</v>
      </c>
      <c r="AAF6" t="s">
        <v>988</v>
      </c>
      <c r="AAG6" t="s">
        <v>989</v>
      </c>
      <c r="AAH6" t="s">
        <v>990</v>
      </c>
      <c r="AAI6" t="s">
        <v>991</v>
      </c>
      <c r="AAJ6" t="s">
        <v>992</v>
      </c>
      <c r="AAK6" t="s">
        <v>993</v>
      </c>
      <c r="AAL6" t="s">
        <v>994</v>
      </c>
      <c r="AAM6" t="s">
        <v>995</v>
      </c>
      <c r="AAN6" t="s">
        <v>996</v>
      </c>
      <c r="AAO6" t="s">
        <v>997</v>
      </c>
      <c r="AAP6" t="s">
        <v>999</v>
      </c>
      <c r="AAQ6" t="s">
        <v>1000</v>
      </c>
      <c r="AAR6" t="s">
        <v>1001</v>
      </c>
      <c r="AAS6" t="s">
        <v>1002</v>
      </c>
      <c r="AAT6" t="s">
        <v>1004</v>
      </c>
      <c r="AAU6" t="s">
        <v>1005</v>
      </c>
      <c r="AAV6" t="s">
        <v>1006</v>
      </c>
      <c r="AAW6" t="s">
        <v>1007</v>
      </c>
      <c r="AAX6" t="s">
        <v>1008</v>
      </c>
      <c r="AAY6" t="s">
        <v>1009</v>
      </c>
      <c r="AAZ6" t="s">
        <v>1010</v>
      </c>
      <c r="ABA6" t="s">
        <v>1011</v>
      </c>
      <c r="ABB6" t="s">
        <v>1013</v>
      </c>
      <c r="ABC6" t="s">
        <v>1015</v>
      </c>
      <c r="ABD6" t="s">
        <v>1017</v>
      </c>
      <c r="ABE6" t="s">
        <v>1018</v>
      </c>
      <c r="ABF6" t="s">
        <v>1020</v>
      </c>
      <c r="ABG6" t="s">
        <v>1021</v>
      </c>
      <c r="ABH6" t="s">
        <v>1022</v>
      </c>
      <c r="ABI6" t="s">
        <v>1023</v>
      </c>
      <c r="ABJ6" t="s">
        <v>1024</v>
      </c>
      <c r="ABK6" t="s">
        <v>1025</v>
      </c>
      <c r="ABL6" t="s">
        <v>1026</v>
      </c>
      <c r="ABM6" t="s">
        <v>1028</v>
      </c>
      <c r="ABN6" t="s">
        <v>1029</v>
      </c>
      <c r="ABO6" t="s">
        <v>1031</v>
      </c>
      <c r="ABP6" t="s">
        <v>1032</v>
      </c>
      <c r="ABQ6" t="s">
        <v>1034</v>
      </c>
      <c r="ABR6" t="s">
        <v>1035</v>
      </c>
      <c r="ABS6" t="s">
        <v>1037</v>
      </c>
      <c r="ABT6" t="s">
        <v>1038</v>
      </c>
      <c r="ABU6" t="s">
        <v>1040</v>
      </c>
      <c r="ABV6" t="s">
        <v>1041</v>
      </c>
      <c r="ABW6" t="s">
        <v>1043</v>
      </c>
      <c r="ABX6" t="s">
        <v>1044</v>
      </c>
      <c r="ABY6" t="s">
        <v>1046</v>
      </c>
      <c r="ABZ6" t="s">
        <v>1047</v>
      </c>
      <c r="ACA6" t="s">
        <v>1048</v>
      </c>
      <c r="ACB6" t="s">
        <v>1049</v>
      </c>
      <c r="ACC6" t="s">
        <v>1051</v>
      </c>
      <c r="ACD6" t="s">
        <v>1052</v>
      </c>
      <c r="ACE6" t="s">
        <v>1054</v>
      </c>
      <c r="ACF6" t="s">
        <v>1055</v>
      </c>
      <c r="ACG6" t="s">
        <v>1057</v>
      </c>
      <c r="ACH6" t="s">
        <v>1058</v>
      </c>
      <c r="ACI6" t="s">
        <v>1059</v>
      </c>
      <c r="ACJ6" t="s">
        <v>1060</v>
      </c>
      <c r="ACK6" t="s">
        <v>1062</v>
      </c>
      <c r="ACL6" t="s">
        <v>1064</v>
      </c>
      <c r="ACM6" t="s">
        <v>1066</v>
      </c>
      <c r="ACN6" t="s">
        <v>1067</v>
      </c>
      <c r="ACO6" t="s">
        <v>1068</v>
      </c>
      <c r="ACP6" t="s">
        <v>1070</v>
      </c>
      <c r="ACQ6" t="s">
        <v>1071</v>
      </c>
      <c r="ACR6" t="s">
        <v>1072</v>
      </c>
      <c r="ACS6" t="s">
        <v>1074</v>
      </c>
      <c r="ACT6" t="s">
        <v>1076</v>
      </c>
      <c r="ACU6" t="s">
        <v>1078</v>
      </c>
      <c r="ACV6" t="s">
        <v>1079</v>
      </c>
      <c r="ACW6" t="s">
        <v>1080</v>
      </c>
      <c r="ACX6" t="s">
        <v>1081</v>
      </c>
      <c r="ACY6" t="s">
        <v>1082</v>
      </c>
      <c r="ACZ6" t="s">
        <v>1083</v>
      </c>
      <c r="ADA6" t="s">
        <v>1084</v>
      </c>
      <c r="ADB6" t="s">
        <v>1086</v>
      </c>
      <c r="ADC6" t="s">
        <v>1087</v>
      </c>
      <c r="ADD6" t="s">
        <v>1089</v>
      </c>
      <c r="ADE6" t="s">
        <v>1090</v>
      </c>
      <c r="ADF6" t="s">
        <v>1091</v>
      </c>
      <c r="ADG6" t="s">
        <v>1093</v>
      </c>
      <c r="ADH6" t="s">
        <v>1094</v>
      </c>
      <c r="ADI6" t="s">
        <v>1095</v>
      </c>
      <c r="ADJ6" t="s">
        <v>1096</v>
      </c>
      <c r="ADK6" t="s">
        <v>1098</v>
      </c>
      <c r="ADL6" t="s">
        <v>1100</v>
      </c>
      <c r="ADM6" t="s">
        <v>1101</v>
      </c>
      <c r="ADN6" t="s">
        <v>1102</v>
      </c>
      <c r="ADO6" t="s">
        <v>1103</v>
      </c>
      <c r="ADP6" t="s">
        <v>1104</v>
      </c>
      <c r="ADQ6" t="s">
        <v>1106</v>
      </c>
      <c r="ADR6" t="s">
        <v>1107</v>
      </c>
      <c r="ADS6" t="s">
        <v>1054</v>
      </c>
      <c r="ADT6" t="s">
        <v>1109</v>
      </c>
      <c r="ADU6" t="s">
        <v>1055</v>
      </c>
      <c r="ADV6" t="s">
        <v>1111</v>
      </c>
      <c r="ADW6" t="s">
        <v>1112</v>
      </c>
      <c r="ADX6" t="s">
        <v>1113</v>
      </c>
      <c r="ADY6" t="s">
        <v>1114</v>
      </c>
      <c r="ADZ6" t="s">
        <v>1115</v>
      </c>
      <c r="AEA6" t="s">
        <v>1116</v>
      </c>
      <c r="AEB6" t="s">
        <v>1117</v>
      </c>
      <c r="AEC6" t="s">
        <v>1119</v>
      </c>
      <c r="AED6" t="s">
        <v>1121</v>
      </c>
      <c r="AEE6" t="s">
        <v>1123</v>
      </c>
      <c r="AEF6" t="s">
        <v>1124</v>
      </c>
      <c r="AEG6" t="s">
        <v>1125</v>
      </c>
      <c r="AEH6" t="s">
        <v>1127</v>
      </c>
      <c r="AEI6" t="s">
        <v>1128</v>
      </c>
      <c r="AEJ6" t="s">
        <v>1130</v>
      </c>
      <c r="AEK6" t="s">
        <v>1005</v>
      </c>
      <c r="AEL6" t="s">
        <v>1132</v>
      </c>
      <c r="AEM6" t="s">
        <v>1133</v>
      </c>
      <c r="AEN6" t="s">
        <v>1134</v>
      </c>
      <c r="AEO6" t="s">
        <v>1135</v>
      </c>
      <c r="AEP6" t="s">
        <v>1136</v>
      </c>
      <c r="AEQ6" t="s">
        <v>1137</v>
      </c>
      <c r="AER6" t="s">
        <v>1139</v>
      </c>
      <c r="AES6" t="s">
        <v>1140</v>
      </c>
      <c r="AET6" t="s">
        <v>1141</v>
      </c>
      <c r="AEU6" t="s">
        <v>1142</v>
      </c>
      <c r="AEV6" t="s">
        <v>1143</v>
      </c>
      <c r="AEW6" t="s">
        <v>1145</v>
      </c>
      <c r="AEX6" t="s">
        <v>1146</v>
      </c>
      <c r="AEY6" t="s">
        <v>1147</v>
      </c>
      <c r="AEZ6" t="s">
        <v>1148</v>
      </c>
      <c r="AFA6" t="s">
        <v>1149</v>
      </c>
      <c r="AFB6" t="s">
        <v>1152</v>
      </c>
      <c r="AFC6" t="s">
        <v>1153</v>
      </c>
      <c r="AFD6" t="s">
        <v>1155</v>
      </c>
      <c r="AFE6" t="s">
        <v>1157</v>
      </c>
      <c r="AFF6" t="s">
        <v>1159</v>
      </c>
      <c r="AFG6" t="s">
        <v>1161</v>
      </c>
      <c r="AFH6" t="s">
        <v>1163</v>
      </c>
      <c r="AFI6" t="s">
        <v>1164</v>
      </c>
      <c r="AFJ6" t="s">
        <v>1166</v>
      </c>
      <c r="AFK6" t="s">
        <v>1168</v>
      </c>
      <c r="AFL6" t="s">
        <v>1169</v>
      </c>
      <c r="AFM6" t="s">
        <v>1172</v>
      </c>
      <c r="AFN6" t="s">
        <v>1174</v>
      </c>
      <c r="AFO6" t="s">
        <v>1175</v>
      </c>
      <c r="AFP6" t="s">
        <v>1177</v>
      </c>
      <c r="AFQ6" t="s">
        <v>1177</v>
      </c>
      <c r="AFR6" t="s">
        <v>1178</v>
      </c>
      <c r="AFS6" t="s">
        <v>1179</v>
      </c>
      <c r="AFT6" t="s">
        <v>1180</v>
      </c>
      <c r="AFU6" t="s">
        <v>1181</v>
      </c>
      <c r="AFV6" t="s">
        <v>1182</v>
      </c>
      <c r="AFW6" t="s">
        <v>1184</v>
      </c>
      <c r="AFX6" t="s">
        <v>1185</v>
      </c>
      <c r="AFY6" t="s">
        <v>1186</v>
      </c>
      <c r="AFZ6" t="s">
        <v>1189</v>
      </c>
      <c r="AGA6" t="s">
        <v>1191</v>
      </c>
      <c r="AGB6" t="s">
        <v>1193</v>
      </c>
      <c r="AGC6" t="s">
        <v>1194</v>
      </c>
      <c r="AGD6" t="s">
        <v>1195</v>
      </c>
      <c r="AGE6" t="s">
        <v>1196</v>
      </c>
      <c r="AGF6" t="s">
        <v>1198</v>
      </c>
      <c r="AGG6" t="s">
        <v>1064</v>
      </c>
      <c r="AGH6" t="s">
        <v>1200</v>
      </c>
      <c r="AGI6" t="s">
        <v>1202</v>
      </c>
      <c r="AGJ6" t="s">
        <v>1203</v>
      </c>
      <c r="AGK6" t="s">
        <v>1204</v>
      </c>
      <c r="AGL6" t="s">
        <v>1206</v>
      </c>
      <c r="AGM6" t="s">
        <v>1207</v>
      </c>
      <c r="AGN6" t="s">
        <v>1206</v>
      </c>
      <c r="AGO6" t="s">
        <v>1209</v>
      </c>
      <c r="AGP6" t="s">
        <v>1211</v>
      </c>
      <c r="AGQ6" t="s">
        <v>1212</v>
      </c>
      <c r="AGR6" t="s">
        <v>1213</v>
      </c>
      <c r="AGS6" t="s">
        <v>1215</v>
      </c>
      <c r="AGT6" t="s">
        <v>1216</v>
      </c>
      <c r="AGU6" t="s">
        <v>1217</v>
      </c>
      <c r="AGV6" t="s">
        <v>1218</v>
      </c>
      <c r="AGW6" t="s">
        <v>1219</v>
      </c>
      <c r="AGX6" t="s">
        <v>1220</v>
      </c>
      <c r="AGY6" t="s">
        <v>1221</v>
      </c>
      <c r="AGZ6" t="s">
        <v>1223</v>
      </c>
      <c r="AHA6" t="s">
        <v>1224</v>
      </c>
      <c r="AHB6" t="s">
        <v>1226</v>
      </c>
      <c r="AHC6" t="s">
        <v>1228</v>
      </c>
      <c r="AHD6" t="s">
        <v>1229</v>
      </c>
      <c r="AHE6" t="s">
        <v>1230</v>
      </c>
      <c r="AHF6" t="s">
        <v>1231</v>
      </c>
      <c r="AHG6" t="s">
        <v>1234</v>
      </c>
      <c r="AHH6" t="s">
        <v>1006</v>
      </c>
      <c r="AHI6" t="s">
        <v>1235</v>
      </c>
      <c r="AHJ6" t="s">
        <v>1236</v>
      </c>
      <c r="AHK6" t="s">
        <v>1237</v>
      </c>
      <c r="AHL6" t="s">
        <v>1238</v>
      </c>
      <c r="AHM6" t="s">
        <v>1239</v>
      </c>
      <c r="AHN6" t="s">
        <v>1240</v>
      </c>
      <c r="AHO6" t="s">
        <v>1241</v>
      </c>
      <c r="AHP6" t="s">
        <v>1242</v>
      </c>
      <c r="AHQ6" t="s">
        <v>1243</v>
      </c>
      <c r="AHR6" t="s">
        <v>1244</v>
      </c>
      <c r="AHS6" t="s">
        <v>1245</v>
      </c>
      <c r="AHT6" t="s">
        <v>1246</v>
      </c>
      <c r="AHU6" t="s">
        <v>1247</v>
      </c>
      <c r="AHV6" t="s">
        <v>1248</v>
      </c>
      <c r="AHW6" t="s">
        <v>1249</v>
      </c>
      <c r="AHX6" t="s">
        <v>1250</v>
      </c>
      <c r="AHY6" t="s">
        <v>1251</v>
      </c>
      <c r="AHZ6" t="s">
        <v>1254</v>
      </c>
      <c r="AIA6" t="s">
        <v>1255</v>
      </c>
      <c r="AIB6" t="s">
        <v>1257</v>
      </c>
      <c r="AIC6" t="s">
        <v>1259</v>
      </c>
      <c r="AID6" t="s">
        <v>1261</v>
      </c>
      <c r="AIE6" t="s">
        <v>1262</v>
      </c>
      <c r="AIF6" t="s">
        <v>1265</v>
      </c>
      <c r="AIG6" t="s">
        <v>1267</v>
      </c>
      <c r="AIH6" t="s">
        <v>1269</v>
      </c>
      <c r="AII6" t="s">
        <v>180</v>
      </c>
      <c r="AIJ6" t="s">
        <v>1271</v>
      </c>
      <c r="AIK6" t="s">
        <v>1273</v>
      </c>
      <c r="AIL6" t="s">
        <v>1274</v>
      </c>
      <c r="AIM6" t="s">
        <v>1275</v>
      </c>
      <c r="AIN6" t="s">
        <v>1276</v>
      </c>
      <c r="AIO6" t="s">
        <v>1277</v>
      </c>
      <c r="AIP6" t="s">
        <v>1279</v>
      </c>
      <c r="AIQ6" t="s">
        <v>1280</v>
      </c>
      <c r="AIR6" t="s">
        <v>1281</v>
      </c>
      <c r="AIS6" t="s">
        <v>1282</v>
      </c>
      <c r="AIT6" t="s">
        <v>1284</v>
      </c>
      <c r="AIU6" t="s">
        <v>1286</v>
      </c>
      <c r="AIV6" t="s">
        <v>1288</v>
      </c>
      <c r="AIW6" t="s">
        <v>1289</v>
      </c>
      <c r="AIX6" t="s">
        <v>1290</v>
      </c>
      <c r="AIY6" t="s">
        <v>1291</v>
      </c>
      <c r="AIZ6" t="s">
        <v>1293</v>
      </c>
      <c r="AJA6" t="s">
        <v>1295</v>
      </c>
      <c r="AJB6" t="s">
        <v>1297</v>
      </c>
      <c r="AJC6" t="s">
        <v>1298</v>
      </c>
      <c r="AJD6" t="s">
        <v>1299</v>
      </c>
      <c r="AJE6" t="s">
        <v>1300</v>
      </c>
      <c r="AJF6" t="s">
        <v>1300</v>
      </c>
      <c r="AJG6" t="s">
        <v>1302</v>
      </c>
      <c r="AJH6" t="s">
        <v>1304</v>
      </c>
      <c r="AJI6" t="s">
        <v>571</v>
      </c>
      <c r="AJJ6" t="s">
        <v>1307</v>
      </c>
      <c r="AJK6" t="s">
        <v>1308</v>
      </c>
      <c r="AJL6" t="s">
        <v>1311</v>
      </c>
      <c r="AJM6" t="s">
        <v>1313</v>
      </c>
      <c r="AJN6" t="s">
        <v>1315</v>
      </c>
      <c r="AJO6" t="s">
        <v>1316</v>
      </c>
      <c r="AJP6" t="s">
        <v>1317</v>
      </c>
      <c r="AJQ6" t="s">
        <v>1318</v>
      </c>
      <c r="AJR6" t="s">
        <v>1319</v>
      </c>
      <c r="AJS6" t="s">
        <v>1320</v>
      </c>
      <c r="AJT6" t="s">
        <v>1322</v>
      </c>
      <c r="AJU6" t="s">
        <v>1323</v>
      </c>
      <c r="AJV6" t="s">
        <v>1325</v>
      </c>
      <c r="AJW6" t="s">
        <v>1327</v>
      </c>
      <c r="AJX6" t="s">
        <v>1261</v>
      </c>
      <c r="AJY6" t="s">
        <v>1329</v>
      </c>
      <c r="AJZ6" t="s">
        <v>1330</v>
      </c>
      <c r="AKA6" t="s">
        <v>1332</v>
      </c>
      <c r="AKB6" t="s">
        <v>1334</v>
      </c>
      <c r="AKC6" t="s">
        <v>1335</v>
      </c>
      <c r="AKD6" t="s">
        <v>1336</v>
      </c>
      <c r="AKE6" t="s">
        <v>1337</v>
      </c>
      <c r="AKF6" t="s">
        <v>1338</v>
      </c>
      <c r="AKG6" t="s">
        <v>1340</v>
      </c>
      <c r="AKH6" t="s">
        <v>1341</v>
      </c>
      <c r="AKI6" t="s">
        <v>1342</v>
      </c>
      <c r="AKJ6" t="s">
        <v>1343</v>
      </c>
      <c r="AKK6" t="s">
        <v>1345</v>
      </c>
      <c r="AKL6" t="s">
        <v>1347</v>
      </c>
      <c r="AKM6" t="s">
        <v>1348</v>
      </c>
      <c r="AKN6" t="s">
        <v>1349</v>
      </c>
      <c r="AKO6" t="s">
        <v>1350</v>
      </c>
      <c r="AKP6" t="s">
        <v>1352</v>
      </c>
      <c r="AKQ6" t="s">
        <v>482</v>
      </c>
      <c r="AKR6" t="s">
        <v>483</v>
      </c>
      <c r="AKS6" t="s">
        <v>1353</v>
      </c>
      <c r="AKT6" t="s">
        <v>1355</v>
      </c>
      <c r="AKU6" t="s">
        <v>1356</v>
      </c>
      <c r="AKV6" t="s">
        <v>1357</v>
      </c>
      <c r="AKW6" t="s">
        <v>1359</v>
      </c>
      <c r="AKX6" t="s">
        <v>1360</v>
      </c>
      <c r="AKY6" t="s">
        <v>1361</v>
      </c>
      <c r="AKZ6" t="s">
        <v>1362</v>
      </c>
      <c r="ALA6" t="s">
        <v>1364</v>
      </c>
      <c r="ALB6" t="s">
        <v>1366</v>
      </c>
      <c r="ALC6" t="s">
        <v>1367</v>
      </c>
      <c r="ALD6" t="s">
        <v>1369</v>
      </c>
      <c r="ALE6" t="s">
        <v>1370</v>
      </c>
      <c r="ALF6" t="s">
        <v>1371</v>
      </c>
      <c r="ALG6" t="s">
        <v>1372</v>
      </c>
      <c r="ALH6" t="s">
        <v>1373</v>
      </c>
      <c r="ALI6" t="s">
        <v>1373</v>
      </c>
      <c r="ALJ6" t="s">
        <v>1372</v>
      </c>
      <c r="ALK6" t="s">
        <v>1240</v>
      </c>
      <c r="ALL6" t="s">
        <v>1241</v>
      </c>
      <c r="ALM6" t="s">
        <v>1374</v>
      </c>
      <c r="ALN6" t="s">
        <v>1244</v>
      </c>
      <c r="ALO6" t="s">
        <v>1375</v>
      </c>
      <c r="ALP6" t="s">
        <v>1376</v>
      </c>
      <c r="ALQ6" t="s">
        <v>1377</v>
      </c>
      <c r="ALR6" t="s">
        <v>1379</v>
      </c>
      <c r="ALS6" t="s">
        <v>1381</v>
      </c>
      <c r="ALT6" t="s">
        <v>1382</v>
      </c>
      <c r="ALU6" t="s">
        <v>1383</v>
      </c>
      <c r="ALV6" t="s">
        <v>1384</v>
      </c>
      <c r="ALW6" t="s">
        <v>1386</v>
      </c>
      <c r="ALX6" t="s">
        <v>1387</v>
      </c>
      <c r="ALY6" t="s">
        <v>1388</v>
      </c>
      <c r="ALZ6" t="s">
        <v>1389</v>
      </c>
      <c r="AMA6" t="s">
        <v>1391</v>
      </c>
      <c r="AMB6" t="s">
        <v>1392</v>
      </c>
      <c r="AMC6" t="s">
        <v>1394</v>
      </c>
      <c r="AMD6" t="s">
        <v>1396</v>
      </c>
      <c r="AME6" t="s">
        <v>1397</v>
      </c>
      <c r="AMF6" t="s">
        <v>1399</v>
      </c>
      <c r="AMG6" t="s">
        <v>1401</v>
      </c>
      <c r="AMH6" t="s">
        <v>1402</v>
      </c>
      <c r="AMI6" t="s">
        <v>1403</v>
      </c>
      <c r="AMJ6" t="s">
        <v>1404</v>
      </c>
      <c r="AMK6" t="s">
        <v>1406</v>
      </c>
      <c r="AML6" t="s">
        <v>1407</v>
      </c>
      <c r="AMM6" t="s">
        <v>1408</v>
      </c>
      <c r="AMN6" t="s">
        <v>1409</v>
      </c>
      <c r="AMO6" t="s">
        <v>1411</v>
      </c>
      <c r="AMP6" t="s">
        <v>1413</v>
      </c>
      <c r="AMQ6" t="s">
        <v>1414</v>
      </c>
      <c r="AMR6" t="s">
        <v>1416</v>
      </c>
      <c r="AMS6" t="s">
        <v>1417</v>
      </c>
      <c r="AMT6" t="s">
        <v>1418</v>
      </c>
      <c r="AMU6" t="s">
        <v>1418</v>
      </c>
      <c r="AMV6" t="s">
        <v>1419</v>
      </c>
      <c r="AMW6" t="s">
        <v>1421</v>
      </c>
      <c r="AMX6" t="s">
        <v>1422</v>
      </c>
      <c r="AMY6" t="s">
        <v>1424</v>
      </c>
      <c r="AMZ6" t="s">
        <v>1425</v>
      </c>
      <c r="ANA6" t="s">
        <v>1427</v>
      </c>
      <c r="ANB6" t="s">
        <v>1428</v>
      </c>
      <c r="ANC6" t="s">
        <v>1429</v>
      </c>
      <c r="AND6" t="s">
        <v>1431</v>
      </c>
      <c r="ANE6" t="s">
        <v>1433</v>
      </c>
      <c r="ANF6" t="s">
        <v>1434</v>
      </c>
      <c r="ANG6" t="s">
        <v>1436</v>
      </c>
      <c r="ANH6" t="s">
        <v>1437</v>
      </c>
      <c r="ANI6" t="s">
        <v>1438</v>
      </c>
      <c r="ANJ6" t="s">
        <v>1439</v>
      </c>
      <c r="ANK6" t="s">
        <v>1440</v>
      </c>
      <c r="ANL6" t="s">
        <v>1441</v>
      </c>
      <c r="ANM6" t="s">
        <v>330</v>
      </c>
      <c r="ANN6" t="s">
        <v>1442</v>
      </c>
      <c r="ANO6" t="s">
        <v>1443</v>
      </c>
      <c r="ANP6" t="s">
        <v>1444</v>
      </c>
      <c r="ANQ6" t="s">
        <v>1445</v>
      </c>
      <c r="ANR6" t="s">
        <v>1446</v>
      </c>
      <c r="ANS6" t="s">
        <v>1448</v>
      </c>
      <c r="ANT6" t="s">
        <v>1449</v>
      </c>
      <c r="ANU6" t="s">
        <v>1450</v>
      </c>
      <c r="ANV6" t="s">
        <v>1451</v>
      </c>
      <c r="ANW6" t="s">
        <v>1452</v>
      </c>
      <c r="ANX6" t="s">
        <v>1454</v>
      </c>
      <c r="ANY6" t="s">
        <v>1455</v>
      </c>
      <c r="ANZ6" t="s">
        <v>1457</v>
      </c>
      <c r="AOA6" t="s">
        <v>1459</v>
      </c>
      <c r="AOB6" t="s">
        <v>1460</v>
      </c>
      <c r="AOC6" t="s">
        <v>1461</v>
      </c>
      <c r="AOD6" t="s">
        <v>1462</v>
      </c>
      <c r="AOE6" t="s">
        <v>1463</v>
      </c>
      <c r="AOF6" t="s">
        <v>1465</v>
      </c>
      <c r="AOG6" t="s">
        <v>1468</v>
      </c>
      <c r="AOH6" t="s">
        <v>1470</v>
      </c>
      <c r="AOI6" t="s">
        <v>1472</v>
      </c>
      <c r="AOJ6" t="s">
        <v>1474</v>
      </c>
      <c r="AOK6" t="s">
        <v>1475</v>
      </c>
      <c r="AOL6" t="s">
        <v>1476</v>
      </c>
      <c r="AOM6" t="s">
        <v>1477</v>
      </c>
      <c r="AON6" t="s">
        <v>1479</v>
      </c>
      <c r="AOO6" t="s">
        <v>1480</v>
      </c>
      <c r="AOP6" t="s">
        <v>1481</v>
      </c>
      <c r="AOQ6" t="s">
        <v>1482</v>
      </c>
      <c r="AOR6" t="s">
        <v>1484</v>
      </c>
      <c r="AOS6" t="s">
        <v>1484</v>
      </c>
      <c r="AOT6" t="s">
        <v>1486</v>
      </c>
      <c r="AOU6" t="s">
        <v>1488</v>
      </c>
      <c r="AOV6" t="s">
        <v>1490</v>
      </c>
      <c r="AOW6" t="s">
        <v>1491</v>
      </c>
      <c r="AOX6" t="s">
        <v>1492</v>
      </c>
      <c r="AOY6" t="s">
        <v>563</v>
      </c>
      <c r="AOZ6" t="s">
        <v>1496</v>
      </c>
      <c r="APA6" t="s">
        <v>1499</v>
      </c>
      <c r="APB6" t="s">
        <v>1500</v>
      </c>
      <c r="APC6" t="s">
        <v>1499</v>
      </c>
      <c r="APD6" t="s">
        <v>1502</v>
      </c>
      <c r="APE6" t="s">
        <v>1503</v>
      </c>
      <c r="APF6" t="s">
        <v>1505</v>
      </c>
      <c r="APG6" t="s">
        <v>1506</v>
      </c>
      <c r="APH6" t="s">
        <v>1507</v>
      </c>
      <c r="API6" t="s">
        <v>1508</v>
      </c>
      <c r="APJ6" t="s">
        <v>1509</v>
      </c>
      <c r="APK6" t="s">
        <v>1511</v>
      </c>
      <c r="APL6" t="s">
        <v>1513</v>
      </c>
      <c r="APM6" t="s">
        <v>1514</v>
      </c>
      <c r="APN6" t="s">
        <v>1515</v>
      </c>
      <c r="APO6" t="s">
        <v>1516</v>
      </c>
      <c r="APP6" t="s">
        <v>1517</v>
      </c>
      <c r="APQ6" t="s">
        <v>1518</v>
      </c>
      <c r="APR6" t="s">
        <v>1519</v>
      </c>
      <c r="APS6" t="s">
        <v>1520</v>
      </c>
      <c r="APT6" t="s">
        <v>1522</v>
      </c>
      <c r="APU6" t="s">
        <v>1524</v>
      </c>
      <c r="APV6" t="s">
        <v>1525</v>
      </c>
      <c r="APW6" t="s">
        <v>1526</v>
      </c>
      <c r="APX6" t="s">
        <v>1528</v>
      </c>
      <c r="APY6" t="s">
        <v>1530</v>
      </c>
      <c r="APZ6" t="s">
        <v>1531</v>
      </c>
      <c r="AQA6" t="s">
        <v>1532</v>
      </c>
      <c r="AQB6" t="s">
        <v>1534</v>
      </c>
      <c r="AQC6" t="s">
        <v>1536</v>
      </c>
      <c r="AQD6" t="s">
        <v>1537</v>
      </c>
      <c r="AQE6" t="s">
        <v>1538</v>
      </c>
      <c r="AQF6" t="s">
        <v>1540</v>
      </c>
      <c r="AQG6" t="s">
        <v>1542</v>
      </c>
      <c r="AQH6" t="s">
        <v>1543</v>
      </c>
      <c r="AQI6" t="s">
        <v>1546</v>
      </c>
      <c r="AQJ6" t="s">
        <v>1547</v>
      </c>
      <c r="AQK6" t="s">
        <v>1550</v>
      </c>
      <c r="AQL6" t="s">
        <v>1551</v>
      </c>
      <c r="AQM6" t="s">
        <v>1552</v>
      </c>
      <c r="AQN6" t="s">
        <v>1554</v>
      </c>
      <c r="AQO6" t="s">
        <v>1556</v>
      </c>
      <c r="AQP6" t="s">
        <v>1558</v>
      </c>
      <c r="AQQ6" t="s">
        <v>1559</v>
      </c>
      <c r="AQR6" t="s">
        <v>1560</v>
      </c>
      <c r="AQS6" t="s">
        <v>1561</v>
      </c>
      <c r="AQT6" t="s">
        <v>1562</v>
      </c>
      <c r="AQU6" t="s">
        <v>1563</v>
      </c>
      <c r="AQV6" t="s">
        <v>1564</v>
      </c>
      <c r="AQW6" t="s">
        <v>1565</v>
      </c>
      <c r="AQX6" t="s">
        <v>906</v>
      </c>
      <c r="AQY6" t="s">
        <v>1567</v>
      </c>
      <c r="AQZ6" t="s">
        <v>1568</v>
      </c>
      <c r="ARA6" t="s">
        <v>1569</v>
      </c>
      <c r="ARB6" t="s">
        <v>1570</v>
      </c>
      <c r="ARC6" t="s">
        <v>1571</v>
      </c>
      <c r="ARD6" t="s">
        <v>1573</v>
      </c>
      <c r="ARE6" t="s">
        <v>1574</v>
      </c>
      <c r="ARF6" t="s">
        <v>1575</v>
      </c>
      <c r="ARG6" t="s">
        <v>1576</v>
      </c>
      <c r="ARH6" t="s">
        <v>1578</v>
      </c>
      <c r="ARI6" t="s">
        <v>1579</v>
      </c>
      <c r="ARJ6" t="s">
        <v>1580</v>
      </c>
      <c r="ARK6" t="s">
        <v>1582</v>
      </c>
      <c r="ARL6" t="s">
        <v>1584</v>
      </c>
      <c r="ARM6" t="s">
        <v>1585</v>
      </c>
      <c r="ARN6" t="s">
        <v>1586</v>
      </c>
      <c r="ARO6" t="s">
        <v>1589</v>
      </c>
      <c r="ARP6" t="s">
        <v>1591</v>
      </c>
      <c r="ARQ6" t="s">
        <v>1592</v>
      </c>
      <c r="ARR6" t="s">
        <v>1594</v>
      </c>
      <c r="ARS6" t="s">
        <v>1596</v>
      </c>
      <c r="ART6" t="s">
        <v>1597</v>
      </c>
      <c r="ARU6" t="s">
        <v>1598</v>
      </c>
      <c r="ARV6" t="s">
        <v>1600</v>
      </c>
      <c r="ARW6" t="s">
        <v>1601</v>
      </c>
      <c r="ARX6" t="s">
        <v>1603</v>
      </c>
      <c r="ARY6" t="s">
        <v>1606</v>
      </c>
      <c r="ARZ6" t="s">
        <v>1607</v>
      </c>
      <c r="ASA6" t="s">
        <v>1608</v>
      </c>
      <c r="ASB6" t="s">
        <v>1609</v>
      </c>
      <c r="ASC6" t="s">
        <v>1610</v>
      </c>
      <c r="ASD6" t="s">
        <v>1611</v>
      </c>
      <c r="ASE6" t="s">
        <v>1612</v>
      </c>
      <c r="ASF6" t="s">
        <v>1613</v>
      </c>
      <c r="ASG6" t="s">
        <v>1615</v>
      </c>
      <c r="ASH6" t="s">
        <v>1616</v>
      </c>
      <c r="ASI6" t="s">
        <v>1617</v>
      </c>
      <c r="ASJ6" t="s">
        <v>1619</v>
      </c>
      <c r="ASK6" t="s">
        <v>1620</v>
      </c>
      <c r="ASL6" t="s">
        <v>1621</v>
      </c>
      <c r="ASM6" t="s">
        <v>1622</v>
      </c>
      <c r="ASN6" t="s">
        <v>1623</v>
      </c>
      <c r="ASO6" t="s">
        <v>1624</v>
      </c>
      <c r="ASP6" t="s">
        <v>1626</v>
      </c>
      <c r="ASQ6" t="s">
        <v>1627</v>
      </c>
      <c r="ASR6" t="s">
        <v>1628</v>
      </c>
      <c r="ASS6" t="s">
        <v>1629</v>
      </c>
      <c r="AST6" t="s">
        <v>1631</v>
      </c>
      <c r="ASU6" t="s">
        <v>1632</v>
      </c>
      <c r="ASV6" t="s">
        <v>1633</v>
      </c>
      <c r="ASW6" t="s">
        <v>1635</v>
      </c>
      <c r="ASX6" t="s">
        <v>1636</v>
      </c>
      <c r="ASY6" t="s">
        <v>95</v>
      </c>
      <c r="ASZ6" t="s">
        <v>1637</v>
      </c>
      <c r="ATA6" t="s">
        <v>1638</v>
      </c>
      <c r="ATB6" t="s">
        <v>1639</v>
      </c>
      <c r="ATC6" t="s">
        <v>1640</v>
      </c>
      <c r="ATD6" t="s">
        <v>1641</v>
      </c>
      <c r="ATE6" t="s">
        <v>1642</v>
      </c>
      <c r="ATF6" t="s">
        <v>1643</v>
      </c>
      <c r="ATG6" t="s">
        <v>1645</v>
      </c>
      <c r="ATH6" t="s">
        <v>269</v>
      </c>
      <c r="ATI6" t="s">
        <v>1646</v>
      </c>
      <c r="ATJ6" t="s">
        <v>99</v>
      </c>
      <c r="ATK6" t="s">
        <v>1647</v>
      </c>
      <c r="ATL6" t="s">
        <v>1650</v>
      </c>
      <c r="ATM6" t="s">
        <v>1651</v>
      </c>
      <c r="ATN6" t="s">
        <v>1654</v>
      </c>
      <c r="ATO6" t="s">
        <v>1655</v>
      </c>
      <c r="ATP6" t="s">
        <v>1656</v>
      </c>
      <c r="ATQ6" t="s">
        <v>1657</v>
      </c>
      <c r="ATR6" t="s">
        <v>1658</v>
      </c>
      <c r="ATS6" t="s">
        <v>1660</v>
      </c>
      <c r="ATT6" t="s">
        <v>1661</v>
      </c>
      <c r="ATU6" t="s">
        <v>1662</v>
      </c>
      <c r="ATV6" t="s">
        <v>1663</v>
      </c>
      <c r="ATW6" t="s">
        <v>1664</v>
      </c>
      <c r="ATX6" t="s">
        <v>1665</v>
      </c>
      <c r="ATY6" t="s">
        <v>1667</v>
      </c>
      <c r="ATZ6" t="s">
        <v>1668</v>
      </c>
      <c r="AUA6" t="s">
        <v>1670</v>
      </c>
      <c r="AUB6" t="s">
        <v>1673</v>
      </c>
      <c r="AUC6" t="s">
        <v>649</v>
      </c>
      <c r="AUD6" t="s">
        <v>1675</v>
      </c>
      <c r="AUE6" t="s">
        <v>1676</v>
      </c>
      <c r="AUF6" t="s">
        <v>1677</v>
      </c>
      <c r="AUG6" t="s">
        <v>1679</v>
      </c>
      <c r="AUH6" t="s">
        <v>1680</v>
      </c>
      <c r="AUI6" t="s">
        <v>1682</v>
      </c>
      <c r="AUJ6" t="s">
        <v>1684</v>
      </c>
      <c r="AUK6" t="s">
        <v>1685</v>
      </c>
      <c r="AUL6" t="s">
        <v>1686</v>
      </c>
      <c r="AUM6" t="s">
        <v>1687</v>
      </c>
      <c r="AUN6" t="s">
        <v>1688</v>
      </c>
      <c r="AUO6" t="s">
        <v>1689</v>
      </c>
      <c r="AUP6" t="s">
        <v>1690</v>
      </c>
      <c r="AUQ6" t="s">
        <v>1691</v>
      </c>
      <c r="AUR6" t="s">
        <v>1689</v>
      </c>
      <c r="AUS6" t="s">
        <v>1692</v>
      </c>
      <c r="AUT6" t="s">
        <v>1695</v>
      </c>
      <c r="AUU6" t="s">
        <v>1697</v>
      </c>
      <c r="AUV6" t="s">
        <v>1698</v>
      </c>
      <c r="AUW6" t="s">
        <v>1699</v>
      </c>
      <c r="AUX6" t="s">
        <v>1701</v>
      </c>
      <c r="AUY6" t="s">
        <v>1703</v>
      </c>
      <c r="AUZ6" t="s">
        <v>1705</v>
      </c>
      <c r="AVA6" t="s">
        <v>1706</v>
      </c>
      <c r="AVB6" t="s">
        <v>1708</v>
      </c>
      <c r="AVC6" t="s">
        <v>1710</v>
      </c>
      <c r="AVD6" t="s">
        <v>1711</v>
      </c>
      <c r="AVE6" t="s">
        <v>1713</v>
      </c>
      <c r="AVF6" t="s">
        <v>1714</v>
      </c>
      <c r="AVG6" t="s">
        <v>1715</v>
      </c>
      <c r="AVH6" t="s">
        <v>1716</v>
      </c>
      <c r="AVI6" t="s">
        <v>1717</v>
      </c>
      <c r="AVJ6" t="s">
        <v>1718</v>
      </c>
      <c r="AVK6" t="s">
        <v>1719</v>
      </c>
      <c r="AVL6" t="s">
        <v>1720</v>
      </c>
      <c r="AVM6" t="s">
        <v>1721</v>
      </c>
      <c r="AVN6" t="s">
        <v>1723</v>
      </c>
      <c r="AVO6" t="s">
        <v>858</v>
      </c>
      <c r="AVP6" t="s">
        <v>1725</v>
      </c>
      <c r="AVQ6" t="s">
        <v>1727</v>
      </c>
      <c r="AVR6" t="s">
        <v>1728</v>
      </c>
      <c r="AVS6" t="s">
        <v>1730</v>
      </c>
      <c r="AVT6" t="s">
        <v>1731</v>
      </c>
      <c r="AVU6" t="s">
        <v>1732</v>
      </c>
      <c r="AVV6" t="s">
        <v>1733</v>
      </c>
      <c r="AVW6" t="s">
        <v>1734</v>
      </c>
      <c r="AVX6" t="s">
        <v>1735</v>
      </c>
      <c r="AVY6" t="s">
        <v>1736</v>
      </c>
      <c r="AVZ6" t="s">
        <v>1737</v>
      </c>
      <c r="AWA6" t="s">
        <v>1739</v>
      </c>
      <c r="AWB6" t="s">
        <v>1740</v>
      </c>
      <c r="AWC6" t="s">
        <v>1741</v>
      </c>
      <c r="AWD6" t="s">
        <v>1744</v>
      </c>
      <c r="AWE6" t="s">
        <v>1744</v>
      </c>
      <c r="AWF6" t="s">
        <v>1746</v>
      </c>
      <c r="AWG6" t="s">
        <v>1747</v>
      </c>
      <c r="AWH6" t="s">
        <v>1748</v>
      </c>
      <c r="AWI6" t="s">
        <v>1750</v>
      </c>
      <c r="AWJ6" t="s">
        <v>1753</v>
      </c>
      <c r="AWK6" t="s">
        <v>1754</v>
      </c>
      <c r="AWL6" t="s">
        <v>1756</v>
      </c>
      <c r="AWM6" t="s">
        <v>1758</v>
      </c>
      <c r="AWN6" t="s">
        <v>1759</v>
      </c>
      <c r="AWO6" t="s">
        <v>1760</v>
      </c>
      <c r="AWP6" t="s">
        <v>1762</v>
      </c>
      <c r="AWQ6" t="s">
        <v>1763</v>
      </c>
      <c r="AWR6" t="s">
        <v>1764</v>
      </c>
      <c r="AWS6" t="s">
        <v>1765</v>
      </c>
      <c r="AWT6" t="s">
        <v>1767</v>
      </c>
      <c r="AWU6" t="s">
        <v>1768</v>
      </c>
      <c r="AWV6" t="s">
        <v>1770</v>
      </c>
      <c r="AWW6" t="s">
        <v>1771</v>
      </c>
      <c r="AWX6" t="s">
        <v>1773</v>
      </c>
      <c r="AWY6" t="s">
        <v>1775</v>
      </c>
      <c r="AWZ6" t="s">
        <v>1777</v>
      </c>
      <c r="AXA6" t="s">
        <v>1778</v>
      </c>
      <c r="AXB6" t="s">
        <v>1779</v>
      </c>
      <c r="AXC6" t="s">
        <v>1780</v>
      </c>
      <c r="AXD6" t="s">
        <v>1781</v>
      </c>
      <c r="AXE6" t="s">
        <v>1782</v>
      </c>
      <c r="AXF6" t="s">
        <v>1784</v>
      </c>
      <c r="AXG6" t="s">
        <v>1785</v>
      </c>
      <c r="AXH6" t="s">
        <v>1787</v>
      </c>
      <c r="AXI6" t="s">
        <v>1789</v>
      </c>
      <c r="AXJ6" t="s">
        <v>1790</v>
      </c>
      <c r="AXK6" t="s">
        <v>1792</v>
      </c>
      <c r="AXL6" t="s">
        <v>1794</v>
      </c>
      <c r="AXM6" t="s">
        <v>1796</v>
      </c>
      <c r="AXN6" t="s">
        <v>1797</v>
      </c>
      <c r="AXO6" t="s">
        <v>1799</v>
      </c>
      <c r="AXP6" t="s">
        <v>1800</v>
      </c>
      <c r="AXQ6" t="s">
        <v>1801</v>
      </c>
      <c r="AXR6" t="s">
        <v>1803</v>
      </c>
      <c r="AXS6" t="s">
        <v>1804</v>
      </c>
      <c r="AXT6" t="s">
        <v>1805</v>
      </c>
      <c r="AXU6" t="s">
        <v>1806</v>
      </c>
      <c r="AXV6" t="s">
        <v>1808</v>
      </c>
      <c r="AXW6" t="s">
        <v>1809</v>
      </c>
      <c r="AXX6" t="s">
        <v>1811</v>
      </c>
      <c r="AXY6" t="s">
        <v>1812</v>
      </c>
      <c r="AXZ6" t="s">
        <v>1813</v>
      </c>
      <c r="AYA6" t="s">
        <v>1815</v>
      </c>
      <c r="AYB6" t="s">
        <v>1817</v>
      </c>
      <c r="AYC6" t="s">
        <v>1819</v>
      </c>
      <c r="AYD6" t="s">
        <v>1820</v>
      </c>
      <c r="AYE6" t="s">
        <v>1821</v>
      </c>
      <c r="AYF6" t="s">
        <v>1822</v>
      </c>
      <c r="AYG6" t="s">
        <v>1823</v>
      </c>
      <c r="AYH6" t="s">
        <v>1824</v>
      </c>
      <c r="AYI6" t="s">
        <v>1825</v>
      </c>
      <c r="AYJ6" t="s">
        <v>700</v>
      </c>
      <c r="AYK6" t="s">
        <v>1826</v>
      </c>
      <c r="AYL6" t="s">
        <v>1827</v>
      </c>
      <c r="AYM6" t="s">
        <v>1828</v>
      </c>
      <c r="AYN6" t="s">
        <v>1829</v>
      </c>
      <c r="AYO6" t="s">
        <v>1830</v>
      </c>
      <c r="AYP6" t="s">
        <v>1831</v>
      </c>
      <c r="AYQ6" t="s">
        <v>1829</v>
      </c>
      <c r="AYR6" t="s">
        <v>1832</v>
      </c>
      <c r="AYS6" t="s">
        <v>1834</v>
      </c>
      <c r="AYT6" t="s">
        <v>1835</v>
      </c>
      <c r="AYU6" t="s">
        <v>1836</v>
      </c>
      <c r="AYV6" t="s">
        <v>1838</v>
      </c>
      <c r="AYW6" t="s">
        <v>1839</v>
      </c>
      <c r="AYX6" t="s">
        <v>1841</v>
      </c>
      <c r="AYY6" t="s">
        <v>1842</v>
      </c>
      <c r="AYZ6" t="s">
        <v>1843</v>
      </c>
      <c r="AZA6" t="s">
        <v>1844</v>
      </c>
      <c r="AZB6" t="s">
        <v>1846</v>
      </c>
      <c r="AZC6" t="s">
        <v>1848</v>
      </c>
      <c r="AZD6" t="s">
        <v>1849</v>
      </c>
      <c r="AZE6" t="s">
        <v>318</v>
      </c>
      <c r="AZF6" t="s">
        <v>1851</v>
      </c>
      <c r="AZG6" t="s">
        <v>1852</v>
      </c>
      <c r="AZH6" t="s">
        <v>1854</v>
      </c>
      <c r="AZI6" t="s">
        <v>1855</v>
      </c>
      <c r="AZJ6" t="s">
        <v>1857</v>
      </c>
      <c r="AZK6" t="s">
        <v>1858</v>
      </c>
      <c r="AZL6" t="s">
        <v>1861</v>
      </c>
      <c r="AZM6" t="s">
        <v>1862</v>
      </c>
      <c r="AZN6" t="s">
        <v>1864</v>
      </c>
      <c r="AZO6" t="s">
        <v>1866</v>
      </c>
      <c r="AZP6" t="s">
        <v>1868</v>
      </c>
      <c r="AZQ6" t="s">
        <v>1869</v>
      </c>
      <c r="AZR6" t="s">
        <v>1871</v>
      </c>
      <c r="AZS6" t="s">
        <v>1872</v>
      </c>
      <c r="AZT6" t="s">
        <v>1873</v>
      </c>
      <c r="AZU6" t="s">
        <v>1874</v>
      </c>
      <c r="AZV6" t="s">
        <v>1875</v>
      </c>
      <c r="AZW6" t="s">
        <v>1876</v>
      </c>
      <c r="AZX6" t="s">
        <v>1877</v>
      </c>
      <c r="AZY6" t="s">
        <v>1878</v>
      </c>
      <c r="AZZ6" t="s">
        <v>1879</v>
      </c>
      <c r="BAA6" t="s">
        <v>1880</v>
      </c>
      <c r="BAB6" t="s">
        <v>1881</v>
      </c>
      <c r="BAC6" t="s">
        <v>1882</v>
      </c>
      <c r="BAD6" t="s">
        <v>1883</v>
      </c>
      <c r="BAE6" t="s">
        <v>1884</v>
      </c>
      <c r="BAF6" t="s">
        <v>1885</v>
      </c>
      <c r="BAG6" t="s">
        <v>1886</v>
      </c>
      <c r="BAH6" t="s">
        <v>1888</v>
      </c>
      <c r="BAI6" t="s">
        <v>1889</v>
      </c>
      <c r="BAJ6" t="s">
        <v>1890</v>
      </c>
      <c r="BAK6" t="s">
        <v>1891</v>
      </c>
      <c r="BAL6" t="s">
        <v>1892</v>
      </c>
      <c r="BAM6" t="s">
        <v>1894</v>
      </c>
      <c r="BAN6" t="s">
        <v>1895</v>
      </c>
      <c r="BAO6" t="s">
        <v>1897</v>
      </c>
      <c r="BAP6" t="s">
        <v>1898</v>
      </c>
      <c r="BAQ6" t="s">
        <v>1899</v>
      </c>
      <c r="BAR6" t="s">
        <v>1901</v>
      </c>
      <c r="BAS6" t="s">
        <v>1903</v>
      </c>
      <c r="BAT6" t="s">
        <v>1906</v>
      </c>
      <c r="BAU6" t="s">
        <v>1907</v>
      </c>
      <c r="BAV6" t="s">
        <v>1909</v>
      </c>
      <c r="BAW6" t="s">
        <v>1910</v>
      </c>
      <c r="BAX6" t="s">
        <v>1912</v>
      </c>
      <c r="BAY6" t="s">
        <v>1913</v>
      </c>
      <c r="BAZ6" t="s">
        <v>1915</v>
      </c>
      <c r="BBA6" t="s">
        <v>1916</v>
      </c>
      <c r="BBB6" t="s">
        <v>1917</v>
      </c>
      <c r="BBC6" t="s">
        <v>1918</v>
      </c>
      <c r="BBD6" t="s">
        <v>1920</v>
      </c>
      <c r="BBE6" t="s">
        <v>1922</v>
      </c>
      <c r="BBF6" t="s">
        <v>1924</v>
      </c>
      <c r="BBG6" t="s">
        <v>1927</v>
      </c>
      <c r="BBH6" t="s">
        <v>1928</v>
      </c>
      <c r="BBI6" t="s">
        <v>1929</v>
      </c>
      <c r="BBJ6" t="s">
        <v>1930</v>
      </c>
      <c r="BBK6" t="s">
        <v>1932</v>
      </c>
      <c r="BBL6" t="s">
        <v>1570</v>
      </c>
      <c r="BBM6" t="s">
        <v>1569</v>
      </c>
      <c r="BBN6" t="s">
        <v>1569</v>
      </c>
      <c r="BBO6" t="s">
        <v>1934</v>
      </c>
      <c r="BBP6" t="s">
        <v>1936</v>
      </c>
      <c r="BBQ6" t="s">
        <v>1451</v>
      </c>
      <c r="BBR6" t="s">
        <v>1938</v>
      </c>
      <c r="BBS6" t="s">
        <v>1939</v>
      </c>
      <c r="BBT6" t="s">
        <v>1940</v>
      </c>
      <c r="BBU6" t="s">
        <v>1941</v>
      </c>
      <c r="BBV6" t="s">
        <v>164</v>
      </c>
      <c r="BBW6" t="s">
        <v>1943</v>
      </c>
      <c r="BBX6" t="s">
        <v>1944</v>
      </c>
      <c r="BBY6" t="s">
        <v>1945</v>
      </c>
      <c r="BBZ6" t="s">
        <v>1946</v>
      </c>
      <c r="BCA6" t="s">
        <v>1948</v>
      </c>
      <c r="BCB6" t="s">
        <v>1949</v>
      </c>
      <c r="BCC6" t="s">
        <v>1950</v>
      </c>
      <c r="BCD6" t="s">
        <v>1951</v>
      </c>
      <c r="BCE6" t="s">
        <v>1952</v>
      </c>
      <c r="BCF6" t="s">
        <v>1953</v>
      </c>
      <c r="BCG6" t="s">
        <v>1955</v>
      </c>
      <c r="BCH6" t="s">
        <v>1957</v>
      </c>
      <c r="BCI6" t="s">
        <v>1958</v>
      </c>
      <c r="BCJ6" t="s">
        <v>1959</v>
      </c>
      <c r="BCK6" t="s">
        <v>1960</v>
      </c>
      <c r="BCL6" t="s">
        <v>1961</v>
      </c>
      <c r="BCM6" t="s">
        <v>1962</v>
      </c>
      <c r="BCN6" t="s">
        <v>1963</v>
      </c>
      <c r="BCO6" t="s">
        <v>1964</v>
      </c>
      <c r="BCP6" t="s">
        <v>1965</v>
      </c>
      <c r="BCQ6" t="s">
        <v>1966</v>
      </c>
      <c r="BCR6" t="s">
        <v>1967</v>
      </c>
      <c r="BCS6" t="s">
        <v>1968</v>
      </c>
      <c r="BCT6" t="s">
        <v>1970</v>
      </c>
      <c r="BCU6" t="s">
        <v>1971</v>
      </c>
      <c r="BCV6" t="s">
        <v>1972</v>
      </c>
      <c r="BCW6" t="s">
        <v>1973</v>
      </c>
      <c r="BCX6" t="s">
        <v>1974</v>
      </c>
      <c r="BCY6" t="s">
        <v>1976</v>
      </c>
      <c r="BCZ6" t="s">
        <v>1978</v>
      </c>
      <c r="BDA6" t="s">
        <v>1980</v>
      </c>
      <c r="BDB6" t="s">
        <v>1982</v>
      </c>
      <c r="BDC6" t="s">
        <v>1984</v>
      </c>
      <c r="BDD6" t="s">
        <v>1985</v>
      </c>
      <c r="BDE6" t="s">
        <v>1986</v>
      </c>
      <c r="BDF6" t="s">
        <v>1988</v>
      </c>
      <c r="BDG6" t="s">
        <v>1990</v>
      </c>
      <c r="BDH6" t="s">
        <v>1992</v>
      </c>
      <c r="BDI6" t="s">
        <v>1993</v>
      </c>
      <c r="BDJ6" t="s">
        <v>1994</v>
      </c>
      <c r="BDK6" t="s">
        <v>1995</v>
      </c>
      <c r="BDL6" t="s">
        <v>1996</v>
      </c>
      <c r="BDM6" t="s">
        <v>1998</v>
      </c>
      <c r="BDN6" t="s">
        <v>2000</v>
      </c>
      <c r="BDO6" t="s">
        <v>2001</v>
      </c>
      <c r="BDP6" t="s">
        <v>2002</v>
      </c>
      <c r="BDQ6" t="s">
        <v>2003</v>
      </c>
      <c r="BDR6" t="s">
        <v>2004</v>
      </c>
      <c r="BDS6" t="s">
        <v>2005</v>
      </c>
      <c r="BDT6" t="s">
        <v>2006</v>
      </c>
      <c r="BDU6" t="s">
        <v>2007</v>
      </c>
      <c r="BDV6" t="s">
        <v>2008</v>
      </c>
      <c r="BDW6" t="s">
        <v>2009</v>
      </c>
      <c r="BDX6" t="s">
        <v>2011</v>
      </c>
      <c r="BDY6" t="s">
        <v>2012</v>
      </c>
      <c r="BDZ6" t="s">
        <v>2015</v>
      </c>
      <c r="BEA6" t="s">
        <v>2016</v>
      </c>
      <c r="BEB6" t="s">
        <v>2017</v>
      </c>
      <c r="BEC6" t="s">
        <v>2018</v>
      </c>
      <c r="BED6" t="s">
        <v>2019</v>
      </c>
      <c r="BEE6" t="s">
        <v>2018</v>
      </c>
      <c r="BEF6" t="s">
        <v>2020</v>
      </c>
      <c r="BEG6" t="s">
        <v>2021</v>
      </c>
      <c r="BEH6" t="s">
        <v>2022</v>
      </c>
      <c r="BEI6" t="s">
        <v>2023</v>
      </c>
      <c r="BEJ6" t="s">
        <v>2024</v>
      </c>
      <c r="BEK6" t="s">
        <v>2025</v>
      </c>
      <c r="BEL6" t="s">
        <v>2027</v>
      </c>
      <c r="BEM6" t="s">
        <v>2027</v>
      </c>
      <c r="BEN6" t="s">
        <v>2029</v>
      </c>
      <c r="BEO6" t="s">
        <v>2030</v>
      </c>
      <c r="BEP6" t="s">
        <v>2031</v>
      </c>
      <c r="BEQ6" t="s">
        <v>2033</v>
      </c>
      <c r="BER6" t="s">
        <v>2035</v>
      </c>
      <c r="BES6" t="s">
        <v>2037</v>
      </c>
      <c r="BET6" t="s">
        <v>2039</v>
      </c>
      <c r="BEU6" t="s">
        <v>2040</v>
      </c>
      <c r="BEV6" t="s">
        <v>2042</v>
      </c>
      <c r="BEW6" t="s">
        <v>2043</v>
      </c>
      <c r="BEX6" t="s">
        <v>2045</v>
      </c>
      <c r="BEY6" t="s">
        <v>2046</v>
      </c>
      <c r="BEZ6" t="s">
        <v>2047</v>
      </c>
      <c r="BFA6" t="s">
        <v>2048</v>
      </c>
      <c r="BFB6" t="s">
        <v>2051</v>
      </c>
      <c r="BFC6" t="s">
        <v>2052</v>
      </c>
      <c r="BFD6" t="s">
        <v>2054</v>
      </c>
      <c r="BFE6" t="s">
        <v>2055</v>
      </c>
      <c r="BFF6" t="s">
        <v>2056</v>
      </c>
      <c r="BFG6" t="s">
        <v>2058</v>
      </c>
      <c r="BFH6" t="s">
        <v>2060</v>
      </c>
      <c r="BFI6" t="s">
        <v>2062</v>
      </c>
      <c r="BFJ6" t="s">
        <v>2063</v>
      </c>
      <c r="BFK6" t="s">
        <v>2064</v>
      </c>
      <c r="BFL6" t="s">
        <v>2067</v>
      </c>
      <c r="BFM6" t="s">
        <v>2068</v>
      </c>
      <c r="BFN6" t="s">
        <v>2067</v>
      </c>
      <c r="BFO6" t="s">
        <v>2071</v>
      </c>
      <c r="BFP6" t="s">
        <v>2073</v>
      </c>
      <c r="BFQ6" t="s">
        <v>2075</v>
      </c>
      <c r="BFR6" t="s">
        <v>2076</v>
      </c>
      <c r="BFS6" t="s">
        <v>2077</v>
      </c>
      <c r="BFT6" t="s">
        <v>2078</v>
      </c>
      <c r="BFU6" t="s">
        <v>2079</v>
      </c>
      <c r="BFV6" t="s">
        <v>2080</v>
      </c>
      <c r="BFW6" t="s">
        <v>2081</v>
      </c>
      <c r="BFX6" t="s">
        <v>2081</v>
      </c>
      <c r="BFY6" t="s">
        <v>2083</v>
      </c>
      <c r="BFZ6" t="s">
        <v>2084</v>
      </c>
      <c r="BGA6" t="s">
        <v>2086</v>
      </c>
      <c r="BGB6" t="s">
        <v>2088</v>
      </c>
      <c r="BGC6" t="s">
        <v>2089</v>
      </c>
      <c r="BGD6" t="s">
        <v>2091</v>
      </c>
      <c r="BGE6" t="s">
        <v>2092</v>
      </c>
      <c r="BGF6" t="s">
        <v>2093</v>
      </c>
      <c r="BGG6" t="s">
        <v>2094</v>
      </c>
      <c r="BGH6" t="s">
        <v>2095</v>
      </c>
      <c r="BGI6" t="s">
        <v>2096</v>
      </c>
      <c r="BGJ6" t="s">
        <v>2098</v>
      </c>
      <c r="BGK6" t="s">
        <v>2099</v>
      </c>
      <c r="BGL6" t="s">
        <v>2100</v>
      </c>
      <c r="BGM6" t="s">
        <v>2101</v>
      </c>
      <c r="BGN6" t="s">
        <v>2102</v>
      </c>
      <c r="BGO6" t="s">
        <v>2104</v>
      </c>
      <c r="BGP6" t="s">
        <v>2105</v>
      </c>
      <c r="BGQ6" t="s">
        <v>2106</v>
      </c>
      <c r="BGR6" t="s">
        <v>2107</v>
      </c>
      <c r="BGS6" t="s">
        <v>2108</v>
      </c>
      <c r="BGT6" t="s">
        <v>2109</v>
      </c>
      <c r="BGU6" t="s">
        <v>2110</v>
      </c>
      <c r="BGV6" t="s">
        <v>2111</v>
      </c>
      <c r="BGW6" t="s">
        <v>2113</v>
      </c>
      <c r="BGX6" t="s">
        <v>2116</v>
      </c>
      <c r="BGY6" t="s">
        <v>2118</v>
      </c>
    </row>
    <row r="7" spans="1:1559" x14ac:dyDescent="0.25">
      <c r="A7" t="str">
        <f t="shared" si="0"/>
        <v xml:space="preserve">RST </v>
      </c>
      <c r="B7" t="s">
        <v>12</v>
      </c>
      <c r="C7" t="s">
        <v>10</v>
      </c>
      <c r="D7" t="s">
        <v>15</v>
      </c>
      <c r="E7" s="2">
        <v>193847</v>
      </c>
      <c r="H7" t="s">
        <v>2190</v>
      </c>
      <c r="I7">
        <v>358146</v>
      </c>
      <c r="J7">
        <v>358146</v>
      </c>
      <c r="K7">
        <v>268614</v>
      </c>
      <c r="L7">
        <v>268614</v>
      </c>
      <c r="M7">
        <v>193847</v>
      </c>
      <c r="N7">
        <v>193847</v>
      </c>
      <c r="O7">
        <v>168926</v>
      </c>
      <c r="P7">
        <v>168926</v>
      </c>
      <c r="Q7">
        <v>152560</v>
      </c>
      <c r="R7">
        <v>128362</v>
      </c>
      <c r="S7">
        <v>105272</v>
      </c>
      <c r="T7">
        <v>105272</v>
      </c>
      <c r="U7">
        <v>96451</v>
      </c>
      <c r="V7">
        <v>96451</v>
      </c>
      <c r="W7">
        <v>96451</v>
      </c>
      <c r="X7">
        <v>82594</v>
      </c>
      <c r="Y7">
        <v>82594</v>
      </c>
      <c r="Z7">
        <v>67975</v>
      </c>
      <c r="AA7">
        <v>67975</v>
      </c>
      <c r="AB7">
        <v>65424</v>
      </c>
      <c r="AC7">
        <v>65424</v>
      </c>
      <c r="AD7">
        <v>65424</v>
      </c>
      <c r="AE7">
        <v>65424</v>
      </c>
      <c r="AF7">
        <v>65424</v>
      </c>
      <c r="AG7">
        <v>64154</v>
      </c>
      <c r="AH7">
        <v>63893</v>
      </c>
      <c r="AI7">
        <v>63546</v>
      </c>
      <c r="AJ7">
        <v>63546</v>
      </c>
      <c r="AK7">
        <v>63546</v>
      </c>
      <c r="AL7">
        <v>63546</v>
      </c>
      <c r="AM7">
        <v>63546</v>
      </c>
      <c r="AN7">
        <v>61895</v>
      </c>
      <c r="AO7">
        <v>61895</v>
      </c>
      <c r="AP7">
        <v>61895</v>
      </c>
      <c r="AQ7">
        <v>61128</v>
      </c>
      <c r="AR7">
        <v>61128</v>
      </c>
      <c r="AS7">
        <v>61128</v>
      </c>
      <c r="AT7">
        <v>61128</v>
      </c>
      <c r="AU7">
        <v>60773</v>
      </c>
      <c r="AV7">
        <v>60002</v>
      </c>
      <c r="AW7">
        <v>60002</v>
      </c>
      <c r="AX7">
        <v>59154</v>
      </c>
      <c r="AY7">
        <v>59154</v>
      </c>
      <c r="AZ7">
        <v>59154</v>
      </c>
      <c r="BA7">
        <v>50308</v>
      </c>
      <c r="BB7">
        <v>50308</v>
      </c>
      <c r="BC7">
        <v>49527</v>
      </c>
      <c r="BD7">
        <v>49527</v>
      </c>
      <c r="BE7">
        <v>49527</v>
      </c>
      <c r="BF7">
        <v>49527</v>
      </c>
      <c r="BG7">
        <v>49527</v>
      </c>
      <c r="BH7">
        <v>49527</v>
      </c>
      <c r="BI7">
        <v>49527</v>
      </c>
      <c r="BJ7">
        <v>48308</v>
      </c>
      <c r="BK7">
        <v>48293</v>
      </c>
      <c r="BL7">
        <v>46936</v>
      </c>
      <c r="BM7">
        <v>46936</v>
      </c>
      <c r="BN7">
        <v>46936</v>
      </c>
      <c r="BO7">
        <v>46936</v>
      </c>
      <c r="BP7">
        <v>46936</v>
      </c>
      <c r="BQ7">
        <v>46936</v>
      </c>
      <c r="BR7">
        <v>45462</v>
      </c>
      <c r="BS7">
        <v>43617</v>
      </c>
      <c r="BT7">
        <v>43617</v>
      </c>
      <c r="BU7">
        <v>43617</v>
      </c>
      <c r="BV7">
        <v>43022</v>
      </c>
      <c r="BW7">
        <v>43022</v>
      </c>
      <c r="BX7">
        <v>43022</v>
      </c>
      <c r="BY7">
        <v>43022</v>
      </c>
      <c r="BZ7">
        <v>43022</v>
      </c>
      <c r="CA7">
        <v>43022</v>
      </c>
      <c r="CB7">
        <v>43022</v>
      </c>
      <c r="CC7">
        <v>40160</v>
      </c>
      <c r="CD7">
        <v>40160</v>
      </c>
      <c r="CE7">
        <v>40160</v>
      </c>
      <c r="CF7">
        <v>40160</v>
      </c>
      <c r="CG7">
        <v>40037</v>
      </c>
      <c r="CH7">
        <v>38652</v>
      </c>
      <c r="CI7">
        <v>38652</v>
      </c>
      <c r="CJ7">
        <v>38652</v>
      </c>
      <c r="CK7">
        <v>38652</v>
      </c>
      <c r="CL7">
        <v>38652</v>
      </c>
      <c r="CM7">
        <v>38652</v>
      </c>
      <c r="CN7">
        <v>38652</v>
      </c>
      <c r="CO7">
        <v>38083</v>
      </c>
      <c r="CP7">
        <v>35762</v>
      </c>
      <c r="CQ7">
        <v>35762</v>
      </c>
      <c r="CR7">
        <v>35261</v>
      </c>
      <c r="CS7">
        <v>35261</v>
      </c>
      <c r="CT7">
        <v>34908</v>
      </c>
      <c r="CU7">
        <v>34908</v>
      </c>
      <c r="CV7">
        <v>34908</v>
      </c>
      <c r="CW7">
        <v>34659</v>
      </c>
      <c r="CX7">
        <v>34659</v>
      </c>
      <c r="CY7">
        <v>34659</v>
      </c>
      <c r="CZ7">
        <v>34659</v>
      </c>
      <c r="DA7">
        <v>34659</v>
      </c>
      <c r="DB7">
        <v>34659</v>
      </c>
      <c r="DC7">
        <v>34659</v>
      </c>
      <c r="DD7">
        <v>34308</v>
      </c>
      <c r="DE7">
        <v>34276</v>
      </c>
      <c r="DF7">
        <v>34154</v>
      </c>
      <c r="DG7">
        <v>33628</v>
      </c>
      <c r="DH7">
        <v>33628</v>
      </c>
      <c r="DI7">
        <v>33628</v>
      </c>
      <c r="DJ7">
        <v>33418</v>
      </c>
      <c r="DK7">
        <v>33418</v>
      </c>
      <c r="DL7">
        <v>33418</v>
      </c>
      <c r="DM7">
        <v>32683</v>
      </c>
      <c r="DN7">
        <v>32683</v>
      </c>
      <c r="DO7">
        <v>32683</v>
      </c>
      <c r="DP7">
        <v>31714</v>
      </c>
      <c r="DQ7">
        <v>31714</v>
      </c>
      <c r="DR7">
        <v>30693</v>
      </c>
      <c r="DS7">
        <v>30308</v>
      </c>
      <c r="DT7">
        <v>30308</v>
      </c>
      <c r="DU7">
        <v>29486</v>
      </c>
      <c r="DV7">
        <v>29486</v>
      </c>
      <c r="DW7">
        <v>29296</v>
      </c>
      <c r="DX7">
        <v>29296</v>
      </c>
      <c r="DY7">
        <v>29296</v>
      </c>
      <c r="DZ7">
        <v>29296</v>
      </c>
      <c r="EA7">
        <v>29296</v>
      </c>
      <c r="EB7">
        <v>28888</v>
      </c>
      <c r="EC7">
        <v>28304</v>
      </c>
      <c r="ED7">
        <v>28125</v>
      </c>
      <c r="EE7">
        <v>28125</v>
      </c>
      <c r="EF7">
        <v>28072</v>
      </c>
      <c r="EG7">
        <v>25945</v>
      </c>
      <c r="EH7">
        <v>24473</v>
      </c>
      <c r="EI7">
        <v>24473</v>
      </c>
      <c r="EJ7">
        <v>24183</v>
      </c>
      <c r="EK7">
        <v>24183</v>
      </c>
      <c r="EL7">
        <v>23751</v>
      </c>
      <c r="EM7">
        <v>22990</v>
      </c>
      <c r="EN7">
        <v>22990</v>
      </c>
      <c r="EO7">
        <v>22775</v>
      </c>
      <c r="EP7">
        <v>22775</v>
      </c>
      <c r="EQ7">
        <v>22775</v>
      </c>
      <c r="ER7">
        <v>22083</v>
      </c>
      <c r="ES7">
        <v>22083</v>
      </c>
      <c r="ET7">
        <v>22083</v>
      </c>
      <c r="EU7">
        <v>22083</v>
      </c>
      <c r="EV7">
        <v>21790</v>
      </c>
      <c r="EW7">
        <v>21459</v>
      </c>
      <c r="EX7">
        <v>21103</v>
      </c>
      <c r="EY7">
        <v>20892</v>
      </c>
      <c r="EZ7">
        <v>20797</v>
      </c>
      <c r="FA7">
        <v>20797</v>
      </c>
      <c r="FB7">
        <v>20778</v>
      </c>
      <c r="FC7">
        <v>20777</v>
      </c>
      <c r="FD7">
        <v>20777</v>
      </c>
      <c r="FE7">
        <v>20401</v>
      </c>
      <c r="FF7">
        <v>20401</v>
      </c>
      <c r="FG7">
        <v>20401</v>
      </c>
      <c r="FH7">
        <v>20236</v>
      </c>
      <c r="FI7">
        <v>20236</v>
      </c>
      <c r="FJ7">
        <v>19879</v>
      </c>
      <c r="FK7">
        <v>19879</v>
      </c>
      <c r="FL7">
        <v>19879</v>
      </c>
      <c r="FM7">
        <v>19571</v>
      </c>
      <c r="FN7">
        <v>19571</v>
      </c>
      <c r="FO7">
        <v>19546</v>
      </c>
      <c r="FP7">
        <v>19501</v>
      </c>
      <c r="FQ7">
        <v>19501</v>
      </c>
      <c r="FR7">
        <v>19319</v>
      </c>
      <c r="FS7">
        <v>19319</v>
      </c>
      <c r="FT7">
        <v>19090</v>
      </c>
      <c r="FU7">
        <v>19090</v>
      </c>
      <c r="FV7">
        <v>19090</v>
      </c>
      <c r="FW7">
        <v>18974</v>
      </c>
      <c r="FX7">
        <v>18974</v>
      </c>
      <c r="FY7">
        <v>18974</v>
      </c>
      <c r="FZ7">
        <v>18715</v>
      </c>
      <c r="GA7">
        <v>18263</v>
      </c>
      <c r="GB7">
        <v>18263</v>
      </c>
      <c r="GC7">
        <v>18263</v>
      </c>
      <c r="GD7">
        <v>18030</v>
      </c>
      <c r="GE7">
        <v>18030</v>
      </c>
      <c r="GF7">
        <v>17584</v>
      </c>
      <c r="GG7">
        <v>17399</v>
      </c>
      <c r="GH7">
        <v>17076</v>
      </c>
      <c r="GI7">
        <v>17076</v>
      </c>
      <c r="GJ7">
        <v>17010</v>
      </c>
      <c r="GK7">
        <v>16992</v>
      </c>
      <c r="GL7">
        <v>16992</v>
      </c>
      <c r="GM7">
        <v>16992</v>
      </c>
      <c r="GN7">
        <v>16992</v>
      </c>
      <c r="GO7">
        <v>16087</v>
      </c>
      <c r="GP7">
        <v>15877</v>
      </c>
      <c r="GQ7">
        <v>15572</v>
      </c>
      <c r="GR7">
        <v>15246</v>
      </c>
      <c r="GS7">
        <v>15049</v>
      </c>
      <c r="GT7">
        <v>14833</v>
      </c>
      <c r="GU7">
        <v>14627</v>
      </c>
      <c r="GV7">
        <v>14627</v>
      </c>
      <c r="GW7">
        <v>14401</v>
      </c>
      <c r="GX7">
        <v>14401</v>
      </c>
      <c r="GY7">
        <v>14265</v>
      </c>
      <c r="GZ7">
        <v>14156</v>
      </c>
      <c r="HA7">
        <v>14156</v>
      </c>
      <c r="HB7">
        <v>14156</v>
      </c>
      <c r="HC7">
        <v>14156</v>
      </c>
      <c r="HD7">
        <v>14131</v>
      </c>
      <c r="HE7">
        <v>14131</v>
      </c>
      <c r="HF7">
        <v>14015</v>
      </c>
      <c r="HG7">
        <v>13724</v>
      </c>
      <c r="HH7">
        <v>13180</v>
      </c>
      <c r="HI7">
        <v>13180</v>
      </c>
      <c r="HJ7">
        <v>13180</v>
      </c>
      <c r="HK7">
        <v>13180</v>
      </c>
      <c r="HL7">
        <v>13180</v>
      </c>
      <c r="HM7">
        <v>12575</v>
      </c>
      <c r="HN7">
        <v>12575</v>
      </c>
      <c r="HO7">
        <v>12539</v>
      </c>
      <c r="HP7">
        <v>12539</v>
      </c>
      <c r="HQ7">
        <v>12284</v>
      </c>
      <c r="HR7">
        <v>12079</v>
      </c>
      <c r="HS7">
        <v>11833</v>
      </c>
      <c r="HT7">
        <v>11833</v>
      </c>
      <c r="HU7">
        <v>11833</v>
      </c>
      <c r="HV7">
        <v>11789</v>
      </c>
      <c r="HW7">
        <v>11696</v>
      </c>
      <c r="HX7">
        <v>11696</v>
      </c>
      <c r="HY7">
        <v>11696</v>
      </c>
      <c r="HZ7">
        <v>11664</v>
      </c>
      <c r="IA7">
        <v>11664</v>
      </c>
      <c r="IB7">
        <v>11664</v>
      </c>
      <c r="IC7">
        <v>11664</v>
      </c>
      <c r="ID7">
        <v>11648</v>
      </c>
      <c r="IE7">
        <v>11594</v>
      </c>
      <c r="IF7">
        <v>11560</v>
      </c>
      <c r="IG7">
        <v>11560</v>
      </c>
      <c r="IH7">
        <v>11532</v>
      </c>
      <c r="II7">
        <v>11532</v>
      </c>
      <c r="IJ7">
        <v>11532</v>
      </c>
      <c r="IK7">
        <v>11178</v>
      </c>
      <c r="IL7">
        <v>11052</v>
      </c>
      <c r="IM7">
        <v>11052</v>
      </c>
      <c r="IN7">
        <v>11052</v>
      </c>
      <c r="IO7">
        <v>11046</v>
      </c>
      <c r="IP7">
        <v>11046</v>
      </c>
      <c r="IQ7">
        <v>11046</v>
      </c>
      <c r="IR7">
        <v>11028</v>
      </c>
      <c r="IS7">
        <v>10916</v>
      </c>
      <c r="IT7">
        <v>10735</v>
      </c>
      <c r="IU7">
        <v>10720</v>
      </c>
      <c r="IV7">
        <v>10682</v>
      </c>
      <c r="IW7">
        <v>10682</v>
      </c>
      <c r="IX7">
        <v>10461</v>
      </c>
      <c r="IY7">
        <v>10445</v>
      </c>
      <c r="IZ7">
        <v>10396</v>
      </c>
      <c r="JA7">
        <v>10387</v>
      </c>
      <c r="JB7">
        <v>10387</v>
      </c>
      <c r="JC7">
        <v>10385</v>
      </c>
      <c r="JD7">
        <v>10384</v>
      </c>
      <c r="JE7">
        <v>10384</v>
      </c>
      <c r="JF7">
        <v>10292</v>
      </c>
      <c r="JG7">
        <v>10292</v>
      </c>
      <c r="JH7">
        <v>10292</v>
      </c>
      <c r="JI7">
        <v>10292</v>
      </c>
      <c r="JJ7">
        <v>10187</v>
      </c>
      <c r="JK7">
        <v>10187</v>
      </c>
      <c r="JL7">
        <v>10187</v>
      </c>
      <c r="JM7">
        <v>10187</v>
      </c>
      <c r="JN7">
        <v>10187</v>
      </c>
      <c r="JO7">
        <v>10187</v>
      </c>
      <c r="JP7">
        <v>10102</v>
      </c>
      <c r="JQ7">
        <v>9982</v>
      </c>
      <c r="JR7">
        <v>9942</v>
      </c>
      <c r="JS7">
        <v>9942</v>
      </c>
      <c r="JT7">
        <v>9936</v>
      </c>
      <c r="JU7">
        <v>9899</v>
      </c>
      <c r="JV7">
        <v>9872</v>
      </c>
      <c r="JW7">
        <v>9848</v>
      </c>
      <c r="JX7">
        <v>9848</v>
      </c>
      <c r="JY7">
        <v>9848</v>
      </c>
      <c r="JZ7">
        <v>9775</v>
      </c>
      <c r="KA7">
        <v>9775</v>
      </c>
      <c r="KB7">
        <v>9775</v>
      </c>
      <c r="KC7">
        <v>9765</v>
      </c>
      <c r="KD7">
        <v>9765</v>
      </c>
      <c r="KE7">
        <v>9718</v>
      </c>
      <c r="KF7">
        <v>9709</v>
      </c>
      <c r="KG7">
        <v>9647</v>
      </c>
      <c r="KH7">
        <v>9647</v>
      </c>
      <c r="KI7">
        <v>9647</v>
      </c>
      <c r="KJ7">
        <v>9647</v>
      </c>
      <c r="KK7">
        <v>9621</v>
      </c>
      <c r="KL7">
        <v>9621</v>
      </c>
      <c r="KM7">
        <v>9621</v>
      </c>
      <c r="KN7">
        <v>9621</v>
      </c>
      <c r="KO7">
        <v>9587</v>
      </c>
      <c r="KP7">
        <v>9569</v>
      </c>
      <c r="KQ7">
        <v>9569</v>
      </c>
      <c r="KR7">
        <v>9569</v>
      </c>
      <c r="KS7">
        <v>9564</v>
      </c>
      <c r="KT7">
        <v>9564</v>
      </c>
      <c r="KU7">
        <v>9530</v>
      </c>
      <c r="KV7">
        <v>9520</v>
      </c>
      <c r="KW7">
        <v>9520</v>
      </c>
      <c r="KX7">
        <v>9520</v>
      </c>
      <c r="KY7">
        <v>9427</v>
      </c>
      <c r="KZ7">
        <v>9427</v>
      </c>
      <c r="LA7">
        <v>9427</v>
      </c>
      <c r="LB7">
        <v>9427</v>
      </c>
      <c r="LC7">
        <v>9427</v>
      </c>
      <c r="LD7">
        <v>9327</v>
      </c>
      <c r="LE7">
        <v>9327</v>
      </c>
      <c r="LF7">
        <v>9327</v>
      </c>
      <c r="LG7">
        <v>9298</v>
      </c>
      <c r="LH7">
        <v>9188</v>
      </c>
      <c r="LI7">
        <v>9188</v>
      </c>
      <c r="LJ7">
        <v>9174</v>
      </c>
      <c r="LK7">
        <v>9174</v>
      </c>
      <c r="LL7">
        <v>9174</v>
      </c>
      <c r="LM7">
        <v>9174</v>
      </c>
      <c r="LN7">
        <v>9173</v>
      </c>
      <c r="LO7">
        <v>9173</v>
      </c>
      <c r="LP7">
        <v>9173</v>
      </c>
      <c r="LQ7">
        <v>9070</v>
      </c>
      <c r="LR7">
        <v>9066</v>
      </c>
      <c r="LS7">
        <v>9066</v>
      </c>
      <c r="LT7">
        <v>9028</v>
      </c>
      <c r="LU7">
        <v>9022</v>
      </c>
      <c r="LV7">
        <v>8917</v>
      </c>
      <c r="LW7">
        <v>8911</v>
      </c>
      <c r="LX7">
        <v>8911</v>
      </c>
      <c r="LY7">
        <v>8880</v>
      </c>
      <c r="LZ7">
        <v>8880</v>
      </c>
      <c r="MA7">
        <v>8782</v>
      </c>
      <c r="MB7">
        <v>8680</v>
      </c>
      <c r="MC7">
        <v>8680</v>
      </c>
      <c r="MD7">
        <v>8680</v>
      </c>
      <c r="ME7">
        <v>8668</v>
      </c>
      <c r="MF7">
        <v>8668</v>
      </c>
      <c r="MG7">
        <v>8667</v>
      </c>
      <c r="MH7">
        <v>8519</v>
      </c>
      <c r="MI7">
        <v>8498</v>
      </c>
      <c r="MJ7">
        <v>8498</v>
      </c>
      <c r="MK7">
        <v>8498</v>
      </c>
      <c r="ML7">
        <v>8498</v>
      </c>
      <c r="MM7">
        <v>8430</v>
      </c>
      <c r="MN7">
        <v>8430</v>
      </c>
      <c r="MO7">
        <v>8430</v>
      </c>
      <c r="MP7">
        <v>8347</v>
      </c>
      <c r="MQ7">
        <v>8347</v>
      </c>
      <c r="MR7">
        <v>8280</v>
      </c>
      <c r="MS7">
        <v>8218</v>
      </c>
      <c r="MT7">
        <v>8009</v>
      </c>
      <c r="MU7">
        <v>8009</v>
      </c>
      <c r="MV7">
        <v>8009</v>
      </c>
      <c r="MW7">
        <v>7979</v>
      </c>
      <c r="MX7">
        <v>7968</v>
      </c>
      <c r="MY7">
        <v>7968</v>
      </c>
      <c r="MZ7">
        <v>7880</v>
      </c>
      <c r="NA7">
        <v>7880</v>
      </c>
      <c r="NB7">
        <v>7861</v>
      </c>
      <c r="NC7">
        <v>7742</v>
      </c>
      <c r="ND7">
        <v>7729</v>
      </c>
      <c r="NE7">
        <v>7729</v>
      </c>
      <c r="NF7">
        <v>7725</v>
      </c>
      <c r="NG7">
        <v>7587</v>
      </c>
      <c r="NH7">
        <v>7566</v>
      </c>
      <c r="NI7">
        <v>7566</v>
      </c>
      <c r="NJ7">
        <v>7561</v>
      </c>
      <c r="NK7">
        <v>7561</v>
      </c>
      <c r="NL7">
        <v>7541</v>
      </c>
      <c r="NM7">
        <v>7541</v>
      </c>
      <c r="NN7">
        <v>7518</v>
      </c>
      <c r="NO7">
        <v>7518</v>
      </c>
      <c r="NP7">
        <v>7517</v>
      </c>
      <c r="NQ7">
        <v>7517</v>
      </c>
      <c r="NR7">
        <v>7294</v>
      </c>
      <c r="NS7">
        <v>7294</v>
      </c>
      <c r="NT7">
        <v>7285</v>
      </c>
      <c r="NU7">
        <v>7217</v>
      </c>
      <c r="NV7">
        <v>7217</v>
      </c>
      <c r="NW7">
        <v>7212</v>
      </c>
      <c r="NX7">
        <v>7212</v>
      </c>
      <c r="NY7">
        <v>7154</v>
      </c>
      <c r="NZ7">
        <v>7154</v>
      </c>
      <c r="OA7">
        <v>7028</v>
      </c>
      <c r="OB7">
        <v>6998</v>
      </c>
      <c r="OC7">
        <v>6998</v>
      </c>
      <c r="OD7">
        <v>6998</v>
      </c>
      <c r="OE7">
        <v>6970</v>
      </c>
      <c r="OF7">
        <v>6970</v>
      </c>
      <c r="OG7">
        <v>6970</v>
      </c>
      <c r="OH7">
        <v>6741</v>
      </c>
      <c r="OI7">
        <v>6697</v>
      </c>
      <c r="OJ7">
        <v>6697</v>
      </c>
      <c r="OK7">
        <v>6684</v>
      </c>
      <c r="OL7">
        <v>6620</v>
      </c>
      <c r="OM7">
        <v>6620</v>
      </c>
      <c r="ON7">
        <v>6616</v>
      </c>
      <c r="OO7">
        <v>6616</v>
      </c>
      <c r="OP7">
        <v>6616</v>
      </c>
      <c r="OQ7">
        <v>6616</v>
      </c>
      <c r="OR7">
        <v>6587</v>
      </c>
      <c r="OS7">
        <v>6587</v>
      </c>
      <c r="OT7">
        <v>6587</v>
      </c>
      <c r="OU7">
        <v>6558</v>
      </c>
      <c r="OV7">
        <v>6558</v>
      </c>
      <c r="OW7">
        <v>6544</v>
      </c>
      <c r="OX7">
        <v>6539</v>
      </c>
      <c r="OY7">
        <v>6539</v>
      </c>
      <c r="OZ7">
        <v>6419</v>
      </c>
      <c r="PA7">
        <v>6419</v>
      </c>
      <c r="PB7">
        <v>6345</v>
      </c>
      <c r="PC7">
        <v>6345</v>
      </c>
      <c r="PD7">
        <v>6345</v>
      </c>
      <c r="PE7">
        <v>6319</v>
      </c>
      <c r="PF7">
        <v>6317</v>
      </c>
      <c r="PG7">
        <v>6310</v>
      </c>
      <c r="PH7">
        <v>6310</v>
      </c>
      <c r="PI7">
        <v>6310</v>
      </c>
      <c r="PJ7">
        <v>6281</v>
      </c>
      <c r="PK7">
        <v>6281</v>
      </c>
      <c r="PL7">
        <v>6281</v>
      </c>
      <c r="PM7">
        <v>6274</v>
      </c>
      <c r="PN7">
        <v>6255</v>
      </c>
      <c r="PO7">
        <v>6069</v>
      </c>
      <c r="PP7">
        <v>6067</v>
      </c>
      <c r="PQ7">
        <v>6067</v>
      </c>
      <c r="PR7">
        <v>6067</v>
      </c>
      <c r="PS7">
        <v>6046</v>
      </c>
      <c r="PT7">
        <v>6046</v>
      </c>
      <c r="PU7">
        <v>6038</v>
      </c>
      <c r="PV7">
        <v>5933</v>
      </c>
      <c r="PW7">
        <v>5933</v>
      </c>
      <c r="PX7">
        <v>5933</v>
      </c>
      <c r="PY7">
        <v>5933</v>
      </c>
      <c r="PZ7">
        <v>5920</v>
      </c>
      <c r="QA7">
        <v>5920</v>
      </c>
      <c r="QB7">
        <v>5920</v>
      </c>
      <c r="QC7">
        <v>5920</v>
      </c>
      <c r="QD7">
        <v>5914</v>
      </c>
      <c r="QE7">
        <v>5914</v>
      </c>
      <c r="QF7">
        <v>5870</v>
      </c>
      <c r="QG7">
        <v>5870</v>
      </c>
      <c r="QH7">
        <v>5832</v>
      </c>
      <c r="QI7">
        <v>5708</v>
      </c>
      <c r="QJ7">
        <v>5708</v>
      </c>
      <c r="QK7">
        <v>5667</v>
      </c>
      <c r="QL7">
        <v>5645</v>
      </c>
      <c r="QM7">
        <v>5645</v>
      </c>
      <c r="QN7">
        <v>5639</v>
      </c>
      <c r="QO7">
        <v>5594</v>
      </c>
      <c r="QP7">
        <v>5534</v>
      </c>
      <c r="QQ7">
        <v>5508</v>
      </c>
      <c r="QR7">
        <v>5508</v>
      </c>
      <c r="QS7">
        <v>5508</v>
      </c>
      <c r="QT7">
        <v>5508</v>
      </c>
      <c r="QU7">
        <v>5508</v>
      </c>
      <c r="QV7">
        <v>5508</v>
      </c>
      <c r="QW7">
        <v>5508</v>
      </c>
      <c r="QX7">
        <v>5454</v>
      </c>
      <c r="QY7">
        <v>5416</v>
      </c>
      <c r="QZ7">
        <v>5406</v>
      </c>
      <c r="RA7">
        <v>5393</v>
      </c>
      <c r="RB7">
        <v>5372</v>
      </c>
      <c r="RC7">
        <v>5372</v>
      </c>
      <c r="RD7">
        <v>5372</v>
      </c>
      <c r="RE7">
        <v>5360</v>
      </c>
      <c r="RF7">
        <v>5360</v>
      </c>
      <c r="RG7">
        <v>5330</v>
      </c>
      <c r="RH7">
        <v>5270</v>
      </c>
      <c r="RI7">
        <v>5260</v>
      </c>
      <c r="RJ7">
        <v>5259</v>
      </c>
      <c r="RK7">
        <v>5259</v>
      </c>
      <c r="RL7">
        <v>5226</v>
      </c>
      <c r="RM7">
        <v>5225</v>
      </c>
      <c r="RN7">
        <v>5225</v>
      </c>
      <c r="RO7">
        <v>5214</v>
      </c>
      <c r="RP7">
        <v>5210</v>
      </c>
      <c r="RQ7">
        <v>5208</v>
      </c>
      <c r="RR7">
        <v>5208</v>
      </c>
      <c r="RS7">
        <v>5208</v>
      </c>
      <c r="RT7">
        <v>5176</v>
      </c>
      <c r="RU7">
        <v>5169</v>
      </c>
      <c r="RV7">
        <v>5169</v>
      </c>
      <c r="RW7">
        <v>5169</v>
      </c>
      <c r="RX7">
        <v>5169</v>
      </c>
      <c r="RY7">
        <v>5133</v>
      </c>
      <c r="RZ7">
        <v>5133</v>
      </c>
      <c r="SA7">
        <v>5133</v>
      </c>
      <c r="SB7">
        <v>5118</v>
      </c>
      <c r="SC7">
        <v>5104</v>
      </c>
      <c r="SD7">
        <v>5104</v>
      </c>
      <c r="SE7">
        <v>5099</v>
      </c>
      <c r="SF7">
        <v>5086</v>
      </c>
      <c r="SG7">
        <v>5076</v>
      </c>
      <c r="SH7">
        <v>5076</v>
      </c>
      <c r="SI7">
        <v>5068</v>
      </c>
      <c r="SJ7">
        <v>5065</v>
      </c>
      <c r="SK7">
        <v>5065</v>
      </c>
      <c r="SL7">
        <v>5065</v>
      </c>
      <c r="SM7">
        <v>5065</v>
      </c>
      <c r="SN7">
        <v>5065</v>
      </c>
      <c r="SO7">
        <v>5058</v>
      </c>
      <c r="SP7">
        <v>5025</v>
      </c>
      <c r="SQ7">
        <v>5014</v>
      </c>
      <c r="SR7">
        <v>5014</v>
      </c>
      <c r="SS7">
        <v>4989</v>
      </c>
      <c r="ST7">
        <v>4976</v>
      </c>
      <c r="SU7">
        <v>4976</v>
      </c>
      <c r="SV7">
        <v>4970</v>
      </c>
      <c r="SW7">
        <v>4966</v>
      </c>
      <c r="SX7">
        <v>4965</v>
      </c>
      <c r="SY7">
        <v>4965</v>
      </c>
      <c r="SZ7">
        <v>4962</v>
      </c>
      <c r="TA7">
        <v>4959</v>
      </c>
      <c r="TB7">
        <v>4959</v>
      </c>
      <c r="TC7">
        <v>4947</v>
      </c>
      <c r="TD7">
        <v>4936</v>
      </c>
      <c r="TE7">
        <v>4929</v>
      </c>
      <c r="TF7">
        <v>4929</v>
      </c>
      <c r="TG7">
        <v>4929</v>
      </c>
      <c r="TH7">
        <v>4921</v>
      </c>
      <c r="TI7">
        <v>4921</v>
      </c>
      <c r="TJ7">
        <v>4921</v>
      </c>
      <c r="TK7">
        <v>4919</v>
      </c>
      <c r="TL7">
        <v>4919</v>
      </c>
      <c r="TM7">
        <v>4919</v>
      </c>
      <c r="TN7">
        <v>4917</v>
      </c>
      <c r="TO7">
        <v>4915</v>
      </c>
      <c r="TP7">
        <v>4910</v>
      </c>
      <c r="TQ7">
        <v>4904</v>
      </c>
      <c r="TR7">
        <v>4892</v>
      </c>
      <c r="TS7">
        <v>4891</v>
      </c>
      <c r="TT7">
        <v>4881</v>
      </c>
      <c r="TU7">
        <v>4880</v>
      </c>
      <c r="TV7">
        <v>4876</v>
      </c>
      <c r="TW7">
        <v>4857</v>
      </c>
      <c r="TX7">
        <v>4840</v>
      </c>
      <c r="TY7">
        <v>4840</v>
      </c>
      <c r="TZ7">
        <v>4840</v>
      </c>
      <c r="UA7">
        <v>4840</v>
      </c>
      <c r="UB7">
        <v>4840</v>
      </c>
      <c r="UC7">
        <v>4822</v>
      </c>
      <c r="UD7">
        <v>4815</v>
      </c>
      <c r="UE7">
        <v>4815</v>
      </c>
      <c r="UF7">
        <v>4807</v>
      </c>
      <c r="UG7">
        <v>4807</v>
      </c>
      <c r="UH7">
        <v>4788</v>
      </c>
      <c r="UI7">
        <v>4788</v>
      </c>
      <c r="UJ7">
        <v>4786</v>
      </c>
      <c r="UK7">
        <v>4785</v>
      </c>
      <c r="UL7">
        <v>4767</v>
      </c>
      <c r="UM7">
        <v>4767</v>
      </c>
      <c r="UN7">
        <v>4765</v>
      </c>
      <c r="UO7">
        <v>4752</v>
      </c>
      <c r="UP7">
        <v>4752</v>
      </c>
      <c r="UQ7">
        <v>4752</v>
      </c>
      <c r="UR7">
        <v>4743</v>
      </c>
      <c r="US7">
        <v>4743</v>
      </c>
      <c r="UT7">
        <v>4743</v>
      </c>
      <c r="UU7">
        <v>4732</v>
      </c>
      <c r="UV7">
        <v>4722</v>
      </c>
      <c r="UW7">
        <v>4713</v>
      </c>
      <c r="UX7">
        <v>4713</v>
      </c>
      <c r="UY7">
        <v>4713</v>
      </c>
      <c r="UZ7">
        <v>4710</v>
      </c>
      <c r="VA7">
        <v>4705</v>
      </c>
      <c r="VB7">
        <v>4705</v>
      </c>
      <c r="VC7">
        <v>4705</v>
      </c>
      <c r="VD7">
        <v>4705</v>
      </c>
      <c r="VE7">
        <v>4705</v>
      </c>
      <c r="VF7">
        <v>4705</v>
      </c>
      <c r="VG7">
        <v>4705</v>
      </c>
      <c r="VH7">
        <v>4705</v>
      </c>
      <c r="VI7">
        <v>4693</v>
      </c>
      <c r="VJ7">
        <v>4693</v>
      </c>
      <c r="VK7">
        <v>4693</v>
      </c>
      <c r="VL7">
        <v>4681</v>
      </c>
      <c r="VM7">
        <v>4681</v>
      </c>
      <c r="VN7">
        <v>4676</v>
      </c>
      <c r="VO7">
        <v>4675</v>
      </c>
      <c r="VP7">
        <v>4675</v>
      </c>
      <c r="VQ7">
        <v>4674</v>
      </c>
      <c r="VR7">
        <v>4662</v>
      </c>
      <c r="VS7">
        <v>4661</v>
      </c>
      <c r="VT7">
        <v>4661</v>
      </c>
      <c r="VU7">
        <v>4656</v>
      </c>
      <c r="VV7">
        <v>4630</v>
      </c>
      <c r="VW7">
        <v>4630</v>
      </c>
      <c r="VX7">
        <v>4630</v>
      </c>
      <c r="VY7">
        <v>4563</v>
      </c>
      <c r="VZ7">
        <v>4525</v>
      </c>
      <c r="WA7">
        <v>4525</v>
      </c>
      <c r="WB7">
        <v>4520</v>
      </c>
      <c r="WC7">
        <v>4520</v>
      </c>
      <c r="WD7">
        <v>4500</v>
      </c>
      <c r="WE7">
        <v>4500</v>
      </c>
      <c r="WF7">
        <v>4500</v>
      </c>
      <c r="WG7">
        <v>4500</v>
      </c>
      <c r="WH7">
        <v>4489</v>
      </c>
      <c r="WI7">
        <v>4489</v>
      </c>
      <c r="WJ7">
        <v>4479</v>
      </c>
      <c r="WK7">
        <v>4468</v>
      </c>
      <c r="WL7">
        <v>4468</v>
      </c>
      <c r="WM7">
        <v>4468</v>
      </c>
      <c r="WN7">
        <v>4449</v>
      </c>
      <c r="WO7">
        <v>4449</v>
      </c>
      <c r="WP7">
        <v>4421</v>
      </c>
      <c r="WQ7">
        <v>4415</v>
      </c>
      <c r="WR7">
        <v>4415</v>
      </c>
      <c r="WS7">
        <v>4394</v>
      </c>
      <c r="WT7">
        <v>4394</v>
      </c>
      <c r="WU7">
        <v>4380</v>
      </c>
      <c r="WV7">
        <v>4368</v>
      </c>
      <c r="WW7">
        <v>4352</v>
      </c>
      <c r="WX7">
        <v>4338</v>
      </c>
      <c r="WY7">
        <v>4338</v>
      </c>
      <c r="WZ7">
        <v>4338</v>
      </c>
      <c r="XA7">
        <v>4337</v>
      </c>
      <c r="XB7">
        <v>4335</v>
      </c>
      <c r="XC7">
        <v>4335</v>
      </c>
      <c r="XD7">
        <v>4335</v>
      </c>
      <c r="XE7">
        <v>4325</v>
      </c>
      <c r="XF7">
        <v>4325</v>
      </c>
      <c r="XG7">
        <v>4324</v>
      </c>
      <c r="XH7">
        <v>4320</v>
      </c>
      <c r="XI7">
        <v>4320</v>
      </c>
      <c r="XJ7">
        <v>4320</v>
      </c>
      <c r="XK7">
        <v>4320</v>
      </c>
      <c r="XL7">
        <v>4259</v>
      </c>
      <c r="XM7">
        <v>4245</v>
      </c>
      <c r="XN7">
        <v>4245</v>
      </c>
      <c r="XO7">
        <v>4245</v>
      </c>
      <c r="XP7">
        <v>4225</v>
      </c>
      <c r="XQ7">
        <v>4214</v>
      </c>
      <c r="XR7">
        <v>4214</v>
      </c>
      <c r="XS7">
        <v>4214</v>
      </c>
      <c r="XT7">
        <v>4214</v>
      </c>
      <c r="XU7">
        <v>4214</v>
      </c>
      <c r="XV7">
        <v>4200</v>
      </c>
      <c r="XW7">
        <v>4200</v>
      </c>
      <c r="XX7">
        <v>4192</v>
      </c>
      <c r="XY7">
        <v>4192</v>
      </c>
      <c r="XZ7">
        <v>4190</v>
      </c>
      <c r="YA7">
        <v>4190</v>
      </c>
      <c r="YB7">
        <v>4186</v>
      </c>
      <c r="YC7">
        <v>4186</v>
      </c>
      <c r="YD7">
        <v>4186</v>
      </c>
      <c r="YE7">
        <v>4175</v>
      </c>
      <c r="YF7">
        <v>4175</v>
      </c>
      <c r="YG7">
        <v>4175</v>
      </c>
      <c r="YH7">
        <v>4175</v>
      </c>
      <c r="YI7">
        <v>4175</v>
      </c>
      <c r="YJ7">
        <v>4164</v>
      </c>
      <c r="YK7">
        <v>4164</v>
      </c>
      <c r="YL7">
        <v>4164</v>
      </c>
      <c r="YM7">
        <v>4164</v>
      </c>
      <c r="YN7">
        <v>4164</v>
      </c>
      <c r="YO7">
        <v>4154</v>
      </c>
      <c r="YP7">
        <v>4152</v>
      </c>
      <c r="YQ7">
        <v>4152</v>
      </c>
      <c r="YR7">
        <v>4142</v>
      </c>
      <c r="YS7">
        <v>4137</v>
      </c>
      <c r="YT7">
        <v>4107</v>
      </c>
      <c r="YU7">
        <v>4107</v>
      </c>
      <c r="YV7">
        <v>4107</v>
      </c>
      <c r="YW7">
        <v>4095</v>
      </c>
      <c r="YX7">
        <v>4090</v>
      </c>
      <c r="YY7">
        <v>4090</v>
      </c>
      <c r="YZ7">
        <v>4090</v>
      </c>
      <c r="ZA7">
        <v>4081</v>
      </c>
      <c r="ZB7">
        <v>4077</v>
      </c>
      <c r="ZC7">
        <v>4077</v>
      </c>
      <c r="ZD7">
        <v>4070</v>
      </c>
      <c r="ZE7">
        <v>4070</v>
      </c>
      <c r="ZF7">
        <v>4053</v>
      </c>
      <c r="ZG7">
        <v>4053</v>
      </c>
      <c r="ZH7">
        <v>4048</v>
      </c>
      <c r="ZI7">
        <v>4039</v>
      </c>
      <c r="ZJ7">
        <v>4039</v>
      </c>
      <c r="ZK7">
        <v>4022</v>
      </c>
      <c r="ZL7">
        <v>4018</v>
      </c>
      <c r="ZM7">
        <v>4011</v>
      </c>
      <c r="ZN7">
        <v>4011</v>
      </c>
      <c r="ZO7">
        <v>3983</v>
      </c>
      <c r="ZP7">
        <v>3983</v>
      </c>
      <c r="ZQ7">
        <v>3982</v>
      </c>
      <c r="ZR7">
        <v>3956</v>
      </c>
      <c r="ZS7">
        <v>3956</v>
      </c>
      <c r="ZT7">
        <v>3955</v>
      </c>
      <c r="ZU7">
        <v>3930</v>
      </c>
      <c r="ZV7">
        <v>3930</v>
      </c>
      <c r="ZW7">
        <v>3930</v>
      </c>
      <c r="ZX7">
        <v>3925</v>
      </c>
      <c r="ZY7">
        <v>3925</v>
      </c>
      <c r="ZZ7">
        <v>3925</v>
      </c>
      <c r="AAA7">
        <v>3923</v>
      </c>
      <c r="AAB7">
        <v>3905</v>
      </c>
      <c r="AAC7">
        <v>3902</v>
      </c>
      <c r="AAD7">
        <v>3902</v>
      </c>
      <c r="AAE7">
        <v>3885</v>
      </c>
      <c r="AAF7">
        <v>3885</v>
      </c>
      <c r="AAG7">
        <v>3884</v>
      </c>
      <c r="AAH7">
        <v>3884</v>
      </c>
      <c r="AAI7">
        <v>3884</v>
      </c>
      <c r="AAJ7">
        <v>3884</v>
      </c>
      <c r="AAK7">
        <v>3868</v>
      </c>
      <c r="AAL7">
        <v>3868</v>
      </c>
      <c r="AAM7">
        <v>3868</v>
      </c>
      <c r="AAN7">
        <v>3860</v>
      </c>
      <c r="AAO7">
        <v>3853</v>
      </c>
      <c r="AAP7">
        <v>3840</v>
      </c>
      <c r="AAQ7">
        <v>3840</v>
      </c>
      <c r="AAR7">
        <v>3840</v>
      </c>
      <c r="AAS7">
        <v>3837</v>
      </c>
      <c r="AAT7">
        <v>3835</v>
      </c>
      <c r="AAU7">
        <v>3833</v>
      </c>
      <c r="AAV7">
        <v>3826</v>
      </c>
      <c r="AAW7">
        <v>3826</v>
      </c>
      <c r="AAX7">
        <v>3826</v>
      </c>
      <c r="AAY7">
        <v>3820</v>
      </c>
      <c r="AAZ7">
        <v>3820</v>
      </c>
      <c r="ABA7">
        <v>3820</v>
      </c>
      <c r="ABB7">
        <v>3820</v>
      </c>
      <c r="ABC7">
        <v>3815</v>
      </c>
      <c r="ABD7">
        <v>3814</v>
      </c>
      <c r="ABE7">
        <v>3814</v>
      </c>
      <c r="ABF7">
        <v>3806</v>
      </c>
      <c r="ABG7">
        <v>3806</v>
      </c>
      <c r="ABH7">
        <v>3806</v>
      </c>
      <c r="ABI7">
        <v>3795</v>
      </c>
      <c r="ABJ7">
        <v>3795</v>
      </c>
      <c r="ABK7">
        <v>3792</v>
      </c>
      <c r="ABL7">
        <v>3783</v>
      </c>
      <c r="ABM7">
        <v>3779</v>
      </c>
      <c r="ABN7">
        <v>3779</v>
      </c>
      <c r="ABO7">
        <v>3776</v>
      </c>
      <c r="ABP7">
        <v>3776</v>
      </c>
      <c r="ABQ7">
        <v>3774</v>
      </c>
      <c r="ABR7">
        <v>3774</v>
      </c>
      <c r="ABS7">
        <v>3768</v>
      </c>
      <c r="ABT7">
        <v>3768</v>
      </c>
      <c r="ABU7">
        <v>3766</v>
      </c>
      <c r="ABV7">
        <v>3766</v>
      </c>
      <c r="ABW7">
        <v>3750</v>
      </c>
      <c r="ABX7">
        <v>3750</v>
      </c>
      <c r="ABY7">
        <v>3743</v>
      </c>
      <c r="ABZ7">
        <v>3743</v>
      </c>
      <c r="ACA7">
        <v>3734</v>
      </c>
      <c r="ACB7">
        <v>3734</v>
      </c>
      <c r="ACC7">
        <v>3720</v>
      </c>
      <c r="ACD7">
        <v>3718</v>
      </c>
      <c r="ACE7">
        <v>3711</v>
      </c>
      <c r="ACF7">
        <v>3711</v>
      </c>
      <c r="ACG7">
        <v>3703</v>
      </c>
      <c r="ACH7">
        <v>3700</v>
      </c>
      <c r="ACI7">
        <v>3700</v>
      </c>
      <c r="ACJ7">
        <v>3676</v>
      </c>
      <c r="ACK7">
        <v>3664</v>
      </c>
      <c r="ACL7">
        <v>3654</v>
      </c>
      <c r="ACM7">
        <v>3619</v>
      </c>
      <c r="ACN7">
        <v>3619</v>
      </c>
      <c r="ACO7">
        <v>3619</v>
      </c>
      <c r="ACP7">
        <v>3595</v>
      </c>
      <c r="ACQ7">
        <v>3595</v>
      </c>
      <c r="ACR7">
        <v>3595</v>
      </c>
      <c r="ACS7">
        <v>3593</v>
      </c>
      <c r="ACT7">
        <v>3590</v>
      </c>
      <c r="ACU7">
        <v>3584</v>
      </c>
      <c r="ACV7">
        <v>3582</v>
      </c>
      <c r="ACW7">
        <v>3582</v>
      </c>
      <c r="ACX7">
        <v>3582</v>
      </c>
      <c r="ACY7">
        <v>3582</v>
      </c>
      <c r="ACZ7">
        <v>3556</v>
      </c>
      <c r="ADA7">
        <v>3556</v>
      </c>
      <c r="ADB7">
        <v>3544</v>
      </c>
      <c r="ADC7">
        <v>3544</v>
      </c>
      <c r="ADD7">
        <v>3539</v>
      </c>
      <c r="ADE7">
        <v>3539</v>
      </c>
      <c r="ADF7">
        <v>3539</v>
      </c>
      <c r="ADG7">
        <v>3536</v>
      </c>
      <c r="ADH7">
        <v>3536</v>
      </c>
      <c r="ADI7">
        <v>3536</v>
      </c>
      <c r="ADJ7">
        <v>3536</v>
      </c>
      <c r="ADK7">
        <v>3534</v>
      </c>
      <c r="ADL7">
        <v>3525</v>
      </c>
      <c r="ADM7">
        <v>3525</v>
      </c>
      <c r="ADN7">
        <v>3525</v>
      </c>
      <c r="ADO7">
        <v>3525</v>
      </c>
      <c r="ADP7">
        <v>3525</v>
      </c>
      <c r="ADQ7">
        <v>3520</v>
      </c>
      <c r="ADR7">
        <v>3520</v>
      </c>
      <c r="ADS7">
        <v>3519</v>
      </c>
      <c r="ADT7">
        <v>3519</v>
      </c>
      <c r="ADU7">
        <v>3519</v>
      </c>
      <c r="ADV7">
        <v>3505</v>
      </c>
      <c r="ADW7">
        <v>3505</v>
      </c>
      <c r="ADX7">
        <v>3501</v>
      </c>
      <c r="ADY7">
        <v>3470</v>
      </c>
      <c r="ADZ7">
        <v>3470</v>
      </c>
      <c r="AEA7">
        <v>3470</v>
      </c>
      <c r="AEB7">
        <v>3442</v>
      </c>
      <c r="AEC7">
        <v>3437</v>
      </c>
      <c r="AED7">
        <v>3436</v>
      </c>
      <c r="AEE7">
        <v>3429</v>
      </c>
      <c r="AEF7">
        <v>3408</v>
      </c>
      <c r="AEG7">
        <v>3408</v>
      </c>
      <c r="AEH7">
        <v>3386</v>
      </c>
      <c r="AEI7">
        <v>3386</v>
      </c>
      <c r="AEJ7">
        <v>3384</v>
      </c>
      <c r="AEK7">
        <v>3382</v>
      </c>
      <c r="AEL7">
        <v>3374</v>
      </c>
      <c r="AEM7">
        <v>3374</v>
      </c>
      <c r="AEN7">
        <v>3374</v>
      </c>
      <c r="AEO7">
        <v>3374</v>
      </c>
      <c r="AEP7">
        <v>3361</v>
      </c>
      <c r="AEQ7">
        <v>3361</v>
      </c>
      <c r="AER7">
        <v>3358</v>
      </c>
      <c r="AES7">
        <v>3358</v>
      </c>
      <c r="AET7">
        <v>3358</v>
      </c>
      <c r="AEU7">
        <v>3358</v>
      </c>
      <c r="AEV7">
        <v>3358</v>
      </c>
      <c r="AEW7">
        <v>3356</v>
      </c>
      <c r="AEX7">
        <v>3356</v>
      </c>
      <c r="AEY7">
        <v>3356</v>
      </c>
      <c r="AEZ7">
        <v>3356</v>
      </c>
      <c r="AFA7">
        <v>3356</v>
      </c>
      <c r="AFB7">
        <v>3346</v>
      </c>
      <c r="AFC7">
        <v>3346</v>
      </c>
      <c r="AFD7">
        <v>3346</v>
      </c>
      <c r="AFE7">
        <v>3346</v>
      </c>
      <c r="AFF7">
        <v>3346</v>
      </c>
      <c r="AFG7">
        <v>3346</v>
      </c>
      <c r="AFH7">
        <v>3337</v>
      </c>
      <c r="AFI7">
        <v>3334</v>
      </c>
      <c r="AFJ7">
        <v>3324</v>
      </c>
      <c r="AFK7">
        <v>3318</v>
      </c>
      <c r="AFL7">
        <v>3318</v>
      </c>
      <c r="AFM7">
        <v>3309</v>
      </c>
      <c r="AFN7">
        <v>3296</v>
      </c>
      <c r="AFO7">
        <v>3296</v>
      </c>
      <c r="AFP7">
        <v>3293</v>
      </c>
      <c r="AFQ7">
        <v>3293</v>
      </c>
      <c r="AFR7">
        <v>3293</v>
      </c>
      <c r="AFS7">
        <v>3293</v>
      </c>
      <c r="AFT7">
        <v>3293</v>
      </c>
      <c r="AFU7">
        <v>3293</v>
      </c>
      <c r="AFV7">
        <v>3293</v>
      </c>
      <c r="AFW7">
        <v>3287</v>
      </c>
      <c r="AFX7">
        <v>3287</v>
      </c>
      <c r="AFY7">
        <v>3287</v>
      </c>
      <c r="AFZ7">
        <v>3280</v>
      </c>
      <c r="AGA7">
        <v>3278</v>
      </c>
      <c r="AGB7">
        <v>3276</v>
      </c>
      <c r="AGC7">
        <v>3276</v>
      </c>
      <c r="AGD7">
        <v>3276</v>
      </c>
      <c r="AGE7">
        <v>3276</v>
      </c>
      <c r="AGF7">
        <v>3259</v>
      </c>
      <c r="AGG7">
        <v>3259</v>
      </c>
      <c r="AGH7">
        <v>3258</v>
      </c>
      <c r="AGI7">
        <v>3256</v>
      </c>
      <c r="AGJ7">
        <v>3247</v>
      </c>
      <c r="AGK7">
        <v>3247</v>
      </c>
      <c r="AGL7">
        <v>3247</v>
      </c>
      <c r="AGM7">
        <v>3247</v>
      </c>
      <c r="AGN7">
        <v>3247</v>
      </c>
      <c r="AGO7">
        <v>3247</v>
      </c>
      <c r="AGP7">
        <v>3221</v>
      </c>
      <c r="AGQ7">
        <v>3218</v>
      </c>
      <c r="AGR7">
        <v>3218</v>
      </c>
      <c r="AGS7">
        <v>3198</v>
      </c>
      <c r="AGT7">
        <v>3198</v>
      </c>
      <c r="AGU7">
        <v>3198</v>
      </c>
      <c r="AGV7">
        <v>3197</v>
      </c>
      <c r="AGW7">
        <v>3189</v>
      </c>
      <c r="AGX7">
        <v>3189</v>
      </c>
      <c r="AGY7">
        <v>3189</v>
      </c>
      <c r="AGZ7">
        <v>3184</v>
      </c>
      <c r="AHA7">
        <v>3184</v>
      </c>
      <c r="AHB7">
        <v>3167</v>
      </c>
      <c r="AHC7">
        <v>3162</v>
      </c>
      <c r="AHD7">
        <v>3162</v>
      </c>
      <c r="AHE7">
        <v>3152</v>
      </c>
      <c r="AHF7">
        <v>3152</v>
      </c>
      <c r="AHG7">
        <v>3127</v>
      </c>
      <c r="AHH7">
        <v>3124</v>
      </c>
      <c r="AHI7">
        <v>3124</v>
      </c>
      <c r="AHJ7">
        <v>3124</v>
      </c>
      <c r="AHK7">
        <v>3124</v>
      </c>
      <c r="AHL7">
        <v>3124</v>
      </c>
      <c r="AHM7">
        <v>3124</v>
      </c>
      <c r="AHN7">
        <v>3093</v>
      </c>
      <c r="AHO7">
        <v>3093</v>
      </c>
      <c r="AHP7">
        <v>3093</v>
      </c>
      <c r="AHQ7">
        <v>3093</v>
      </c>
      <c r="AHR7">
        <v>3093</v>
      </c>
      <c r="AHS7">
        <v>3081</v>
      </c>
      <c r="AHT7">
        <v>3081</v>
      </c>
      <c r="AHU7">
        <v>3081</v>
      </c>
      <c r="AHV7">
        <v>3081</v>
      </c>
      <c r="AHW7">
        <v>3079</v>
      </c>
      <c r="AHX7">
        <v>3078</v>
      </c>
      <c r="AHY7">
        <v>3078</v>
      </c>
      <c r="AHZ7">
        <v>3067</v>
      </c>
      <c r="AIA7">
        <v>3067</v>
      </c>
      <c r="AIB7">
        <v>3044</v>
      </c>
      <c r="AIC7">
        <v>3017</v>
      </c>
      <c r="AID7">
        <v>3010</v>
      </c>
      <c r="AIE7">
        <v>3010</v>
      </c>
      <c r="AIF7">
        <v>3005</v>
      </c>
      <c r="AIG7">
        <v>3000</v>
      </c>
      <c r="AIH7">
        <v>2997</v>
      </c>
      <c r="AII7">
        <v>2997</v>
      </c>
      <c r="AIJ7">
        <v>2995</v>
      </c>
      <c r="AIK7">
        <v>2994</v>
      </c>
      <c r="AIL7">
        <v>2994</v>
      </c>
      <c r="AIM7">
        <v>2994</v>
      </c>
      <c r="AIN7">
        <v>2981</v>
      </c>
      <c r="AIO7">
        <v>2981</v>
      </c>
      <c r="AIP7">
        <v>2963</v>
      </c>
      <c r="AIQ7">
        <v>2960</v>
      </c>
      <c r="AIR7">
        <v>2960</v>
      </c>
      <c r="AIS7">
        <v>2958</v>
      </c>
      <c r="AIT7">
        <v>2952</v>
      </c>
      <c r="AIU7">
        <v>2945</v>
      </c>
      <c r="AIV7">
        <v>2932</v>
      </c>
      <c r="AIW7">
        <v>2927</v>
      </c>
      <c r="AIX7">
        <v>2927</v>
      </c>
      <c r="AIY7">
        <v>2927</v>
      </c>
      <c r="AIZ7">
        <v>2927</v>
      </c>
      <c r="AJA7">
        <v>2924</v>
      </c>
      <c r="AJB7">
        <v>2923</v>
      </c>
      <c r="AJC7">
        <v>2911</v>
      </c>
      <c r="AJD7">
        <v>2911</v>
      </c>
      <c r="AJE7">
        <v>2909</v>
      </c>
      <c r="AJF7">
        <v>2909</v>
      </c>
      <c r="AJG7">
        <v>2891</v>
      </c>
      <c r="AJH7">
        <v>2866</v>
      </c>
      <c r="AJI7">
        <v>2863</v>
      </c>
      <c r="AJJ7">
        <v>2860</v>
      </c>
      <c r="AJK7">
        <v>2860</v>
      </c>
      <c r="AJL7">
        <v>2851</v>
      </c>
      <c r="AJM7">
        <v>2850</v>
      </c>
      <c r="AJN7">
        <v>2846</v>
      </c>
      <c r="AJO7">
        <v>2846</v>
      </c>
      <c r="AJP7">
        <v>2826</v>
      </c>
      <c r="AJQ7">
        <v>2822</v>
      </c>
      <c r="AJR7">
        <v>2822</v>
      </c>
      <c r="AJS7">
        <v>2822</v>
      </c>
      <c r="AJT7">
        <v>2802</v>
      </c>
      <c r="AJU7">
        <v>2802</v>
      </c>
      <c r="AJV7">
        <v>2795</v>
      </c>
      <c r="AJW7">
        <v>2790</v>
      </c>
      <c r="AJX7">
        <v>2790</v>
      </c>
      <c r="AJY7">
        <v>2790</v>
      </c>
      <c r="AJZ7">
        <v>2790</v>
      </c>
      <c r="AKA7">
        <v>2788</v>
      </c>
      <c r="AKB7">
        <v>2788</v>
      </c>
      <c r="AKC7">
        <v>2786</v>
      </c>
      <c r="AKD7">
        <v>2786</v>
      </c>
      <c r="AKE7">
        <v>2786</v>
      </c>
      <c r="AKF7">
        <v>2786</v>
      </c>
      <c r="AKG7">
        <v>2786</v>
      </c>
      <c r="AKH7">
        <v>2778</v>
      </c>
      <c r="AKI7">
        <v>2778</v>
      </c>
      <c r="AKJ7">
        <v>2778</v>
      </c>
      <c r="AKK7">
        <v>2774</v>
      </c>
      <c r="AKL7">
        <v>2763</v>
      </c>
      <c r="AKM7">
        <v>2722</v>
      </c>
      <c r="AKN7">
        <v>2722</v>
      </c>
      <c r="AKO7">
        <v>2722</v>
      </c>
      <c r="AKP7">
        <v>2722</v>
      </c>
      <c r="AKQ7">
        <v>2694</v>
      </c>
      <c r="AKR7">
        <v>2694</v>
      </c>
      <c r="AKS7">
        <v>2683</v>
      </c>
      <c r="AKT7">
        <v>2678</v>
      </c>
      <c r="AKU7">
        <v>2656</v>
      </c>
      <c r="AKV7">
        <v>2656</v>
      </c>
      <c r="AKW7">
        <v>2654</v>
      </c>
      <c r="AKX7">
        <v>2654</v>
      </c>
      <c r="AKY7">
        <v>2652</v>
      </c>
      <c r="AKZ7">
        <v>2640</v>
      </c>
      <c r="ALA7">
        <v>2640</v>
      </c>
      <c r="ALB7">
        <v>2629</v>
      </c>
      <c r="ALC7">
        <v>2629</v>
      </c>
      <c r="ALD7">
        <v>2614</v>
      </c>
      <c r="ALE7">
        <v>2614</v>
      </c>
      <c r="ALF7">
        <v>2614</v>
      </c>
      <c r="ALG7">
        <v>2576</v>
      </c>
      <c r="ALH7">
        <v>2576</v>
      </c>
      <c r="ALI7">
        <v>2576</v>
      </c>
      <c r="ALJ7">
        <v>2576</v>
      </c>
      <c r="ALK7">
        <v>2575</v>
      </c>
      <c r="ALL7">
        <v>2575</v>
      </c>
      <c r="ALM7">
        <v>2575</v>
      </c>
      <c r="ALN7">
        <v>2575</v>
      </c>
      <c r="ALO7">
        <v>2571</v>
      </c>
      <c r="ALP7">
        <v>2571</v>
      </c>
      <c r="ALQ7">
        <v>2570</v>
      </c>
      <c r="ALR7">
        <v>2569</v>
      </c>
      <c r="ALS7">
        <v>2565</v>
      </c>
      <c r="ALT7">
        <v>2565</v>
      </c>
      <c r="ALU7">
        <v>2565</v>
      </c>
      <c r="ALV7">
        <v>2565</v>
      </c>
      <c r="ALW7">
        <v>2563</v>
      </c>
      <c r="ALX7">
        <v>2563</v>
      </c>
      <c r="ALY7">
        <v>2563</v>
      </c>
      <c r="ALZ7">
        <v>2563</v>
      </c>
      <c r="AMA7">
        <v>2557</v>
      </c>
      <c r="AMB7">
        <v>2557</v>
      </c>
      <c r="AMC7">
        <v>2553</v>
      </c>
      <c r="AMD7">
        <v>2542</v>
      </c>
      <c r="AME7">
        <v>2542</v>
      </c>
      <c r="AMF7">
        <v>2541</v>
      </c>
      <c r="AMG7">
        <v>2532</v>
      </c>
      <c r="AMH7">
        <v>2532</v>
      </c>
      <c r="AMI7">
        <v>2528</v>
      </c>
      <c r="AMJ7">
        <v>2528</v>
      </c>
      <c r="AMK7">
        <v>2523</v>
      </c>
      <c r="AML7">
        <v>2500</v>
      </c>
      <c r="AMM7">
        <v>2500</v>
      </c>
      <c r="AMN7">
        <v>2500</v>
      </c>
      <c r="AMO7">
        <v>2498</v>
      </c>
      <c r="AMP7">
        <v>2490</v>
      </c>
      <c r="AMQ7">
        <v>2481</v>
      </c>
      <c r="AMR7">
        <v>2479</v>
      </c>
      <c r="AMS7">
        <v>2478</v>
      </c>
      <c r="AMT7">
        <v>2468</v>
      </c>
      <c r="AMU7">
        <v>2468</v>
      </c>
      <c r="AMV7">
        <v>2468</v>
      </c>
      <c r="AMW7">
        <v>2467</v>
      </c>
      <c r="AMX7">
        <v>2466</v>
      </c>
      <c r="AMY7">
        <v>2456</v>
      </c>
      <c r="AMZ7">
        <v>2456</v>
      </c>
      <c r="ANA7">
        <v>2451</v>
      </c>
      <c r="ANB7">
        <v>2451</v>
      </c>
      <c r="ANC7">
        <v>2451</v>
      </c>
      <c r="AND7">
        <v>2435</v>
      </c>
      <c r="ANE7">
        <v>2433</v>
      </c>
      <c r="ANF7">
        <v>2427</v>
      </c>
      <c r="ANG7">
        <v>2420</v>
      </c>
      <c r="ANH7">
        <v>2415</v>
      </c>
      <c r="ANI7">
        <v>2415</v>
      </c>
      <c r="ANJ7">
        <v>2415</v>
      </c>
      <c r="ANK7">
        <v>2412</v>
      </c>
      <c r="ANL7">
        <v>2412</v>
      </c>
      <c r="ANM7">
        <v>2405</v>
      </c>
      <c r="ANN7">
        <v>2405</v>
      </c>
      <c r="ANO7">
        <v>2405</v>
      </c>
      <c r="ANP7">
        <v>2393</v>
      </c>
      <c r="ANQ7">
        <v>2393</v>
      </c>
      <c r="ANR7">
        <v>2393</v>
      </c>
      <c r="ANS7">
        <v>2393</v>
      </c>
      <c r="ANT7">
        <v>2391</v>
      </c>
      <c r="ANU7">
        <v>2391</v>
      </c>
      <c r="ANV7">
        <v>2386</v>
      </c>
      <c r="ANW7">
        <v>2385</v>
      </c>
      <c r="ANX7">
        <v>2377</v>
      </c>
      <c r="ANY7">
        <v>2377</v>
      </c>
      <c r="ANZ7">
        <v>2365</v>
      </c>
      <c r="AOA7">
        <v>2361</v>
      </c>
      <c r="AOB7">
        <v>2361</v>
      </c>
      <c r="AOC7">
        <v>2360</v>
      </c>
      <c r="AOD7">
        <v>2355</v>
      </c>
      <c r="AOE7">
        <v>2355</v>
      </c>
      <c r="AOF7">
        <v>2347</v>
      </c>
      <c r="AOG7">
        <v>2344</v>
      </c>
      <c r="AOH7">
        <v>2344</v>
      </c>
      <c r="AOI7">
        <v>2344</v>
      </c>
      <c r="AOJ7">
        <v>2343</v>
      </c>
      <c r="AOK7">
        <v>2342</v>
      </c>
      <c r="AOL7">
        <v>2342</v>
      </c>
      <c r="AOM7">
        <v>2342</v>
      </c>
      <c r="AON7">
        <v>2342</v>
      </c>
      <c r="AOO7">
        <v>2341</v>
      </c>
      <c r="AOP7">
        <v>2341</v>
      </c>
      <c r="AOQ7">
        <v>2338</v>
      </c>
      <c r="AOR7">
        <v>2335</v>
      </c>
      <c r="AOS7">
        <v>2335</v>
      </c>
      <c r="AOT7">
        <v>2324</v>
      </c>
      <c r="AOU7">
        <v>2316</v>
      </c>
      <c r="AOV7">
        <v>2297</v>
      </c>
      <c r="AOW7">
        <v>2297</v>
      </c>
      <c r="AOX7">
        <v>2297</v>
      </c>
      <c r="AOY7">
        <v>2287</v>
      </c>
      <c r="AOZ7">
        <v>2284</v>
      </c>
      <c r="APA7">
        <v>2283</v>
      </c>
      <c r="APB7">
        <v>2283</v>
      </c>
      <c r="APC7">
        <v>2283</v>
      </c>
      <c r="APD7">
        <v>2259</v>
      </c>
      <c r="APE7">
        <v>2259</v>
      </c>
      <c r="APF7">
        <v>2254</v>
      </c>
      <c r="APG7">
        <v>2254</v>
      </c>
      <c r="APH7">
        <v>2248</v>
      </c>
      <c r="API7">
        <v>2248</v>
      </c>
      <c r="APJ7">
        <v>2248</v>
      </c>
      <c r="APK7">
        <v>2241</v>
      </c>
      <c r="APL7">
        <v>2224</v>
      </c>
      <c r="APM7">
        <v>2224</v>
      </c>
      <c r="APN7">
        <v>2224</v>
      </c>
      <c r="APO7">
        <v>2224</v>
      </c>
      <c r="APP7">
        <v>2214</v>
      </c>
      <c r="APQ7">
        <v>2214</v>
      </c>
      <c r="APR7">
        <v>2214</v>
      </c>
      <c r="APS7">
        <v>2214</v>
      </c>
      <c r="APT7">
        <v>2214</v>
      </c>
      <c r="APU7">
        <v>2211</v>
      </c>
      <c r="APV7">
        <v>2203</v>
      </c>
      <c r="APW7">
        <v>2203</v>
      </c>
      <c r="APX7">
        <v>2188</v>
      </c>
      <c r="APY7">
        <v>2179</v>
      </c>
      <c r="APZ7">
        <v>2179</v>
      </c>
      <c r="AQA7">
        <v>2179</v>
      </c>
      <c r="AQB7">
        <v>2178</v>
      </c>
      <c r="AQC7">
        <v>2165</v>
      </c>
      <c r="AQD7">
        <v>2165</v>
      </c>
      <c r="AQE7">
        <v>2165</v>
      </c>
      <c r="AQF7">
        <v>2160</v>
      </c>
      <c r="AQG7">
        <v>2158</v>
      </c>
      <c r="AQH7">
        <v>2158</v>
      </c>
      <c r="AQI7">
        <v>2155</v>
      </c>
      <c r="AQJ7">
        <v>2155</v>
      </c>
      <c r="AQK7">
        <v>2153</v>
      </c>
      <c r="AQL7">
        <v>2153</v>
      </c>
      <c r="AQM7">
        <v>2153</v>
      </c>
      <c r="AQN7">
        <v>2153</v>
      </c>
      <c r="AQO7">
        <v>2153</v>
      </c>
      <c r="AQP7">
        <v>2153</v>
      </c>
      <c r="AQQ7">
        <v>2149</v>
      </c>
      <c r="AQR7">
        <v>2149</v>
      </c>
      <c r="AQS7">
        <v>2149</v>
      </c>
      <c r="AQT7">
        <v>2147</v>
      </c>
      <c r="AQU7">
        <v>2147</v>
      </c>
      <c r="AQV7">
        <v>2147</v>
      </c>
      <c r="AQW7">
        <v>2146</v>
      </c>
      <c r="AQX7">
        <v>2145</v>
      </c>
      <c r="AQY7">
        <v>2145</v>
      </c>
      <c r="AQZ7">
        <v>2143</v>
      </c>
      <c r="ARA7">
        <v>2143</v>
      </c>
      <c r="ARB7">
        <v>2143</v>
      </c>
      <c r="ARC7">
        <v>2143</v>
      </c>
      <c r="ARD7">
        <v>2143</v>
      </c>
      <c r="ARE7">
        <v>2143</v>
      </c>
      <c r="ARF7">
        <v>2143</v>
      </c>
      <c r="ARG7">
        <v>2140</v>
      </c>
      <c r="ARH7">
        <v>2132</v>
      </c>
      <c r="ARI7">
        <v>2132</v>
      </c>
      <c r="ARJ7">
        <v>2132</v>
      </c>
      <c r="ARK7">
        <v>2132</v>
      </c>
      <c r="ARL7">
        <v>2128</v>
      </c>
      <c r="ARM7">
        <v>2128</v>
      </c>
      <c r="ARN7">
        <v>2128</v>
      </c>
      <c r="ARO7">
        <v>2116</v>
      </c>
      <c r="ARP7">
        <v>2106</v>
      </c>
      <c r="ARQ7">
        <v>2106</v>
      </c>
      <c r="ARR7">
        <v>2087</v>
      </c>
      <c r="ARS7">
        <v>2087</v>
      </c>
      <c r="ART7">
        <v>2076</v>
      </c>
      <c r="ARU7">
        <v>2076</v>
      </c>
      <c r="ARV7">
        <v>2074</v>
      </c>
      <c r="ARW7">
        <v>2074</v>
      </c>
      <c r="ARX7">
        <v>2074</v>
      </c>
      <c r="ARY7">
        <v>2056</v>
      </c>
      <c r="ARZ7">
        <v>2056</v>
      </c>
      <c r="ASA7">
        <v>2050</v>
      </c>
      <c r="ASB7">
        <v>2050</v>
      </c>
      <c r="ASC7">
        <v>2040</v>
      </c>
      <c r="ASD7">
        <v>2040</v>
      </c>
      <c r="ASE7">
        <v>2040</v>
      </c>
      <c r="ASF7">
        <v>2036</v>
      </c>
      <c r="ASG7">
        <v>2031</v>
      </c>
      <c r="ASH7">
        <v>2031</v>
      </c>
      <c r="ASI7">
        <v>2031</v>
      </c>
      <c r="ASJ7">
        <v>2019</v>
      </c>
      <c r="ASK7">
        <v>2017</v>
      </c>
      <c r="ASL7">
        <v>2017</v>
      </c>
      <c r="ASM7">
        <v>2017</v>
      </c>
      <c r="ASN7">
        <v>2017</v>
      </c>
      <c r="ASO7">
        <v>2000</v>
      </c>
      <c r="ASP7">
        <v>1992</v>
      </c>
      <c r="ASQ7">
        <v>1992</v>
      </c>
      <c r="ASR7">
        <v>1987</v>
      </c>
      <c r="ASS7">
        <v>1987</v>
      </c>
      <c r="AST7">
        <v>1986</v>
      </c>
      <c r="ASU7">
        <v>1986</v>
      </c>
      <c r="ASV7">
        <v>1986</v>
      </c>
      <c r="ASW7">
        <v>1985</v>
      </c>
      <c r="ASX7">
        <v>1985</v>
      </c>
      <c r="ASY7">
        <v>1978</v>
      </c>
      <c r="ASZ7">
        <v>1975</v>
      </c>
      <c r="ATA7">
        <v>1975</v>
      </c>
      <c r="ATB7">
        <v>1975</v>
      </c>
      <c r="ATC7">
        <v>1975</v>
      </c>
      <c r="ATD7">
        <v>1975</v>
      </c>
      <c r="ATE7">
        <v>1971</v>
      </c>
      <c r="ATF7">
        <v>1971</v>
      </c>
      <c r="ATG7">
        <v>1971</v>
      </c>
      <c r="ATH7">
        <v>1970</v>
      </c>
      <c r="ATI7">
        <v>1970</v>
      </c>
      <c r="ATJ7">
        <v>1970</v>
      </c>
      <c r="ATK7">
        <v>1968</v>
      </c>
      <c r="ATL7">
        <v>1965</v>
      </c>
      <c r="ATM7">
        <v>1965</v>
      </c>
      <c r="ATN7">
        <v>1960</v>
      </c>
      <c r="ATO7">
        <v>1958</v>
      </c>
      <c r="ATP7">
        <v>1958</v>
      </c>
      <c r="ATQ7">
        <v>1958</v>
      </c>
      <c r="ATR7">
        <v>1958</v>
      </c>
      <c r="ATS7">
        <v>1957</v>
      </c>
      <c r="ATT7">
        <v>1957</v>
      </c>
      <c r="ATU7">
        <v>1957</v>
      </c>
      <c r="ATV7">
        <v>1957</v>
      </c>
      <c r="ATW7">
        <v>1950</v>
      </c>
      <c r="ATX7">
        <v>1950</v>
      </c>
      <c r="ATY7">
        <v>1941</v>
      </c>
      <c r="ATZ7">
        <v>1941</v>
      </c>
      <c r="AUA7">
        <v>1941</v>
      </c>
      <c r="AUB7">
        <v>1935</v>
      </c>
      <c r="AUC7">
        <v>1931</v>
      </c>
      <c r="AUD7">
        <v>1926</v>
      </c>
      <c r="AUE7">
        <v>1926</v>
      </c>
      <c r="AUF7">
        <v>1926</v>
      </c>
      <c r="AUG7">
        <v>1926</v>
      </c>
      <c r="AUH7">
        <v>1926</v>
      </c>
      <c r="AUI7">
        <v>1926</v>
      </c>
      <c r="AUJ7">
        <v>1926</v>
      </c>
      <c r="AUK7">
        <v>1923</v>
      </c>
      <c r="AUL7">
        <v>1923</v>
      </c>
      <c r="AUM7">
        <v>1923</v>
      </c>
      <c r="AUN7">
        <v>1923</v>
      </c>
      <c r="AUO7">
        <v>1923</v>
      </c>
      <c r="AUP7">
        <v>1923</v>
      </c>
      <c r="AUQ7">
        <v>1923</v>
      </c>
      <c r="AUR7">
        <v>1923</v>
      </c>
      <c r="AUS7">
        <v>1923</v>
      </c>
      <c r="AUT7">
        <v>1915</v>
      </c>
      <c r="AUU7">
        <v>1913</v>
      </c>
      <c r="AUV7">
        <v>1913</v>
      </c>
      <c r="AUW7">
        <v>1912</v>
      </c>
      <c r="AUX7">
        <v>1902</v>
      </c>
      <c r="AUY7">
        <v>1902</v>
      </c>
      <c r="AUZ7">
        <v>1902</v>
      </c>
      <c r="AVA7">
        <v>1902</v>
      </c>
      <c r="AVB7">
        <v>1902</v>
      </c>
      <c r="AVC7">
        <v>1888</v>
      </c>
      <c r="AVD7">
        <v>1888</v>
      </c>
      <c r="AVE7">
        <v>1883</v>
      </c>
      <c r="AVF7">
        <v>1883</v>
      </c>
      <c r="AVG7">
        <v>1883</v>
      </c>
      <c r="AVH7">
        <v>1883</v>
      </c>
      <c r="AVI7">
        <v>1883</v>
      </c>
      <c r="AVJ7">
        <v>1883</v>
      </c>
      <c r="AVK7">
        <v>1876</v>
      </c>
      <c r="AVL7">
        <v>1876</v>
      </c>
      <c r="AVM7">
        <v>1860</v>
      </c>
      <c r="AVN7">
        <v>1860</v>
      </c>
      <c r="AVO7">
        <v>1856</v>
      </c>
      <c r="AVP7">
        <v>1856</v>
      </c>
      <c r="AVQ7">
        <v>1848</v>
      </c>
      <c r="AVR7">
        <v>1848</v>
      </c>
      <c r="AVS7">
        <v>1844</v>
      </c>
      <c r="AVT7">
        <v>1844</v>
      </c>
      <c r="AVU7">
        <v>1844</v>
      </c>
      <c r="AVV7">
        <v>1844</v>
      </c>
      <c r="AVW7">
        <v>1842</v>
      </c>
      <c r="AVX7">
        <v>1842</v>
      </c>
      <c r="AVY7">
        <v>1833</v>
      </c>
      <c r="AVZ7">
        <v>1833</v>
      </c>
      <c r="AWA7">
        <v>1832</v>
      </c>
      <c r="AWB7">
        <v>1826</v>
      </c>
      <c r="AWC7">
        <v>1820</v>
      </c>
      <c r="AWD7">
        <v>1814</v>
      </c>
      <c r="AWE7">
        <v>1814</v>
      </c>
      <c r="AWF7">
        <v>1814</v>
      </c>
      <c r="AWG7">
        <v>1805</v>
      </c>
      <c r="AWH7">
        <v>1805</v>
      </c>
      <c r="AWI7">
        <v>1801</v>
      </c>
      <c r="AWJ7">
        <v>1800</v>
      </c>
      <c r="AWK7">
        <v>1800</v>
      </c>
      <c r="AWL7">
        <v>1793</v>
      </c>
      <c r="AWM7">
        <v>1785</v>
      </c>
      <c r="AWN7">
        <v>1785</v>
      </c>
      <c r="AWO7">
        <v>1784</v>
      </c>
      <c r="AWP7">
        <v>1783</v>
      </c>
      <c r="AWQ7">
        <v>1783</v>
      </c>
      <c r="AWR7">
        <v>1783</v>
      </c>
      <c r="AWS7">
        <v>1783</v>
      </c>
      <c r="AWT7">
        <v>1779</v>
      </c>
      <c r="AWU7">
        <v>1766</v>
      </c>
      <c r="AWV7">
        <v>1750</v>
      </c>
      <c r="AWW7">
        <v>1750</v>
      </c>
      <c r="AWX7">
        <v>1743</v>
      </c>
      <c r="AWY7">
        <v>1739</v>
      </c>
      <c r="AWZ7">
        <v>1730</v>
      </c>
      <c r="AXA7">
        <v>1730</v>
      </c>
      <c r="AXB7">
        <v>1730</v>
      </c>
      <c r="AXC7">
        <v>1729</v>
      </c>
      <c r="AXD7">
        <v>1729</v>
      </c>
      <c r="AXE7">
        <v>1729</v>
      </c>
      <c r="AXF7">
        <v>1729</v>
      </c>
      <c r="AXG7">
        <v>1722</v>
      </c>
      <c r="AXH7">
        <v>1721</v>
      </c>
      <c r="AXI7">
        <v>1719</v>
      </c>
      <c r="AXJ7">
        <v>1719</v>
      </c>
      <c r="AXK7">
        <v>1709</v>
      </c>
      <c r="AXL7">
        <v>1703</v>
      </c>
      <c r="AXM7">
        <v>1700</v>
      </c>
      <c r="AXN7">
        <v>1700</v>
      </c>
      <c r="AXO7">
        <v>1689</v>
      </c>
      <c r="AXP7">
        <v>1689</v>
      </c>
      <c r="AXQ7">
        <v>1680</v>
      </c>
      <c r="AXR7">
        <v>1678</v>
      </c>
      <c r="AXS7">
        <v>1678</v>
      </c>
      <c r="AXT7">
        <v>1668</v>
      </c>
      <c r="AXU7">
        <v>1668</v>
      </c>
      <c r="AXV7">
        <v>1655</v>
      </c>
      <c r="AXW7">
        <v>1651</v>
      </c>
      <c r="AXX7">
        <v>1644</v>
      </c>
      <c r="AXY7">
        <v>1644</v>
      </c>
      <c r="AXZ7">
        <v>1644</v>
      </c>
      <c r="AYA7">
        <v>1641</v>
      </c>
      <c r="AYB7">
        <v>1637</v>
      </c>
      <c r="AYC7">
        <v>1636</v>
      </c>
      <c r="AYD7">
        <v>1636</v>
      </c>
      <c r="AYE7">
        <v>1636</v>
      </c>
      <c r="AYF7">
        <v>1636</v>
      </c>
      <c r="AYG7">
        <v>1636</v>
      </c>
      <c r="AYH7">
        <v>1634</v>
      </c>
      <c r="AYI7">
        <v>1634</v>
      </c>
      <c r="AYJ7">
        <v>1634</v>
      </c>
      <c r="AYK7">
        <v>1634</v>
      </c>
      <c r="AYL7">
        <v>1632</v>
      </c>
      <c r="AYM7">
        <v>1632</v>
      </c>
      <c r="AYN7">
        <v>1632</v>
      </c>
      <c r="AYO7">
        <v>1632</v>
      </c>
      <c r="AYP7">
        <v>1632</v>
      </c>
      <c r="AYQ7">
        <v>1632</v>
      </c>
      <c r="AYR7">
        <v>1624</v>
      </c>
      <c r="AYS7">
        <v>1611</v>
      </c>
      <c r="AYT7">
        <v>1611</v>
      </c>
      <c r="AYU7">
        <v>1603</v>
      </c>
      <c r="AYV7">
        <v>1599</v>
      </c>
      <c r="AYW7">
        <v>1599</v>
      </c>
      <c r="AYX7">
        <v>1599</v>
      </c>
      <c r="AYY7">
        <v>1599</v>
      </c>
      <c r="AYZ7">
        <v>1599</v>
      </c>
      <c r="AZA7">
        <v>1598</v>
      </c>
      <c r="AZB7">
        <v>1590</v>
      </c>
      <c r="AZC7">
        <v>1582</v>
      </c>
      <c r="AZD7">
        <v>1582</v>
      </c>
      <c r="AZE7">
        <v>1575</v>
      </c>
      <c r="AZF7">
        <v>1575</v>
      </c>
      <c r="AZG7">
        <v>1575</v>
      </c>
      <c r="AZH7">
        <v>1568</v>
      </c>
      <c r="AZI7">
        <v>1568</v>
      </c>
      <c r="AZJ7">
        <v>1561</v>
      </c>
      <c r="AZK7">
        <v>1561</v>
      </c>
      <c r="AZL7">
        <v>1546</v>
      </c>
      <c r="AZM7">
        <v>1546</v>
      </c>
      <c r="AZN7">
        <v>1545</v>
      </c>
      <c r="AZO7">
        <v>1545</v>
      </c>
      <c r="AZP7">
        <v>1538</v>
      </c>
      <c r="AZQ7">
        <v>1538</v>
      </c>
      <c r="AZR7">
        <v>1519</v>
      </c>
      <c r="AZS7">
        <v>1519</v>
      </c>
      <c r="AZT7">
        <v>1519</v>
      </c>
      <c r="AZU7">
        <v>1517</v>
      </c>
      <c r="AZV7">
        <v>1512</v>
      </c>
      <c r="AZW7">
        <v>1512</v>
      </c>
      <c r="AZX7">
        <v>1512</v>
      </c>
      <c r="AZY7">
        <v>1512</v>
      </c>
      <c r="AZZ7">
        <v>1507</v>
      </c>
      <c r="BAA7">
        <v>1507</v>
      </c>
      <c r="BAB7">
        <v>1495</v>
      </c>
      <c r="BAC7">
        <v>1495</v>
      </c>
      <c r="BAD7">
        <v>1495</v>
      </c>
      <c r="BAE7">
        <v>1495</v>
      </c>
      <c r="BAF7">
        <v>1487</v>
      </c>
      <c r="BAG7">
        <v>1487</v>
      </c>
      <c r="BAH7">
        <v>1481</v>
      </c>
      <c r="BAI7">
        <v>1452</v>
      </c>
      <c r="BAJ7">
        <v>1452</v>
      </c>
      <c r="BAK7">
        <v>1452</v>
      </c>
      <c r="BAL7">
        <v>1446</v>
      </c>
      <c r="BAM7">
        <v>1432</v>
      </c>
      <c r="BAN7">
        <v>1419</v>
      </c>
      <c r="BAO7">
        <v>1417</v>
      </c>
      <c r="BAP7">
        <v>1417</v>
      </c>
      <c r="BAQ7">
        <v>1417</v>
      </c>
      <c r="BAR7">
        <v>1414</v>
      </c>
      <c r="BAS7">
        <v>1413</v>
      </c>
      <c r="BAT7">
        <v>1412</v>
      </c>
      <c r="BAU7">
        <v>1412</v>
      </c>
      <c r="BAV7">
        <v>1412</v>
      </c>
      <c r="BAW7">
        <v>1406</v>
      </c>
      <c r="BAX7">
        <v>1406</v>
      </c>
      <c r="BAY7">
        <v>1406</v>
      </c>
      <c r="BAZ7">
        <v>1406</v>
      </c>
      <c r="BBA7">
        <v>1406</v>
      </c>
      <c r="BBB7">
        <v>1406</v>
      </c>
      <c r="BBC7">
        <v>1406</v>
      </c>
      <c r="BBD7">
        <v>1395</v>
      </c>
      <c r="BBE7">
        <v>1389</v>
      </c>
      <c r="BBF7">
        <v>1387</v>
      </c>
      <c r="BBG7">
        <v>1385</v>
      </c>
      <c r="BBH7">
        <v>1384</v>
      </c>
      <c r="BBI7">
        <v>1384</v>
      </c>
      <c r="BBJ7">
        <v>1367</v>
      </c>
      <c r="BBK7">
        <v>1357</v>
      </c>
      <c r="BBL7">
        <v>1357</v>
      </c>
      <c r="BBM7">
        <v>1357</v>
      </c>
      <c r="BBN7">
        <v>1357</v>
      </c>
      <c r="BBO7">
        <v>1351</v>
      </c>
      <c r="BBP7">
        <v>1351</v>
      </c>
      <c r="BBQ7">
        <v>1351</v>
      </c>
      <c r="BBR7">
        <v>1342</v>
      </c>
      <c r="BBS7">
        <v>1342</v>
      </c>
      <c r="BBT7">
        <v>1331</v>
      </c>
      <c r="BBU7">
        <v>1331</v>
      </c>
      <c r="BBV7">
        <v>1331</v>
      </c>
      <c r="BBW7">
        <v>1331</v>
      </c>
      <c r="BBX7">
        <v>1330</v>
      </c>
      <c r="BBY7">
        <v>1330</v>
      </c>
      <c r="BBZ7">
        <v>1330</v>
      </c>
      <c r="BCA7">
        <v>1325</v>
      </c>
      <c r="BCB7">
        <v>1321</v>
      </c>
      <c r="BCC7">
        <v>1321</v>
      </c>
      <c r="BCD7">
        <v>1321</v>
      </c>
      <c r="BCE7">
        <v>1321</v>
      </c>
      <c r="BCF7">
        <v>1321</v>
      </c>
      <c r="BCG7">
        <v>1321</v>
      </c>
      <c r="BCH7">
        <v>1317</v>
      </c>
      <c r="BCI7">
        <v>1315</v>
      </c>
      <c r="BCJ7">
        <v>1315</v>
      </c>
      <c r="BCK7">
        <v>1315</v>
      </c>
      <c r="BCL7">
        <v>1315</v>
      </c>
      <c r="BCM7">
        <v>1315</v>
      </c>
      <c r="BCN7">
        <v>1311</v>
      </c>
      <c r="BCO7">
        <v>1311</v>
      </c>
      <c r="BCP7">
        <v>1311</v>
      </c>
      <c r="BCQ7">
        <v>1311</v>
      </c>
      <c r="BCR7">
        <v>1311</v>
      </c>
      <c r="BCS7">
        <v>1311</v>
      </c>
      <c r="BCT7">
        <v>1311</v>
      </c>
      <c r="BCU7">
        <v>1311</v>
      </c>
      <c r="BCV7">
        <v>1309</v>
      </c>
      <c r="BCW7">
        <v>1309</v>
      </c>
      <c r="BCX7">
        <v>1309</v>
      </c>
      <c r="BCY7">
        <v>1307</v>
      </c>
      <c r="BCZ7">
        <v>1302</v>
      </c>
      <c r="BDA7">
        <v>1297</v>
      </c>
      <c r="BDB7">
        <v>1294</v>
      </c>
      <c r="BDC7">
        <v>1292</v>
      </c>
      <c r="BDD7">
        <v>1290</v>
      </c>
      <c r="BDE7">
        <v>1290</v>
      </c>
      <c r="BDF7">
        <v>1281</v>
      </c>
      <c r="BDG7">
        <v>1276</v>
      </c>
      <c r="BDH7">
        <v>1276</v>
      </c>
      <c r="BDI7">
        <v>1274</v>
      </c>
      <c r="BDJ7">
        <v>1274</v>
      </c>
      <c r="BDK7">
        <v>1274</v>
      </c>
      <c r="BDL7">
        <v>1274</v>
      </c>
      <c r="BDM7">
        <v>1272</v>
      </c>
      <c r="BDN7">
        <v>1266</v>
      </c>
      <c r="BDO7">
        <v>1260</v>
      </c>
      <c r="BDP7">
        <v>1250</v>
      </c>
      <c r="BDQ7">
        <v>1233</v>
      </c>
      <c r="BDR7">
        <v>1221</v>
      </c>
      <c r="BDS7">
        <v>1221</v>
      </c>
      <c r="BDT7">
        <v>1221</v>
      </c>
      <c r="BDU7">
        <v>1221</v>
      </c>
      <c r="BDV7">
        <v>1221</v>
      </c>
      <c r="BDW7">
        <v>1221</v>
      </c>
      <c r="BDX7">
        <v>1220</v>
      </c>
      <c r="BDY7">
        <v>1220</v>
      </c>
      <c r="BDZ7">
        <v>1206</v>
      </c>
      <c r="BEA7">
        <v>1206</v>
      </c>
      <c r="BEB7">
        <v>1206</v>
      </c>
      <c r="BEC7">
        <v>1205</v>
      </c>
      <c r="BED7">
        <v>1205</v>
      </c>
      <c r="BEE7">
        <v>1205</v>
      </c>
      <c r="BEF7">
        <v>1195</v>
      </c>
      <c r="BEG7">
        <v>1195</v>
      </c>
      <c r="BEH7">
        <v>1190</v>
      </c>
      <c r="BEI7">
        <v>1190</v>
      </c>
      <c r="BEJ7">
        <v>1190</v>
      </c>
      <c r="BEK7">
        <v>1189</v>
      </c>
      <c r="BEL7">
        <v>1188</v>
      </c>
      <c r="BEM7">
        <v>1188</v>
      </c>
      <c r="BEN7">
        <v>1180</v>
      </c>
      <c r="BEO7">
        <v>1180</v>
      </c>
      <c r="BEP7">
        <v>1180</v>
      </c>
      <c r="BEQ7">
        <v>1179</v>
      </c>
      <c r="BER7">
        <v>1179</v>
      </c>
      <c r="BES7">
        <v>1179</v>
      </c>
      <c r="BET7">
        <v>1172</v>
      </c>
      <c r="BEU7">
        <v>1155</v>
      </c>
      <c r="BEV7">
        <v>1153</v>
      </c>
      <c r="BEW7">
        <v>1153</v>
      </c>
      <c r="BEX7">
        <v>1137</v>
      </c>
      <c r="BEY7">
        <v>1131</v>
      </c>
      <c r="BEZ7">
        <v>1123</v>
      </c>
      <c r="BFA7">
        <v>1123</v>
      </c>
      <c r="BFB7">
        <v>1121</v>
      </c>
      <c r="BFC7">
        <v>1121</v>
      </c>
      <c r="BFD7">
        <v>1118</v>
      </c>
      <c r="BFE7">
        <v>1118</v>
      </c>
      <c r="BFF7">
        <v>1118</v>
      </c>
      <c r="BFG7">
        <v>1118</v>
      </c>
      <c r="BFH7">
        <v>1114</v>
      </c>
      <c r="BFI7">
        <v>1107</v>
      </c>
      <c r="BFJ7">
        <v>1107</v>
      </c>
      <c r="BFK7">
        <v>1103</v>
      </c>
      <c r="BFL7">
        <v>1100</v>
      </c>
      <c r="BFM7">
        <v>1100</v>
      </c>
      <c r="BFN7">
        <v>1100</v>
      </c>
      <c r="BFO7">
        <v>1092</v>
      </c>
      <c r="BFP7">
        <v>1080</v>
      </c>
      <c r="BFQ7">
        <v>1074</v>
      </c>
      <c r="BFR7">
        <v>1074</v>
      </c>
      <c r="BFS7">
        <v>1074</v>
      </c>
      <c r="BFT7">
        <v>1074</v>
      </c>
      <c r="BFU7">
        <v>1073</v>
      </c>
      <c r="BFV7">
        <v>1071</v>
      </c>
      <c r="BFW7">
        <v>1070</v>
      </c>
      <c r="BFX7">
        <v>1070</v>
      </c>
      <c r="BFY7">
        <v>1067</v>
      </c>
      <c r="BFZ7">
        <v>1067</v>
      </c>
      <c r="BGA7">
        <v>1067</v>
      </c>
      <c r="BGB7">
        <v>1064</v>
      </c>
      <c r="BGC7">
        <v>1055</v>
      </c>
      <c r="BGD7">
        <v>1054</v>
      </c>
      <c r="BGE7">
        <v>1054</v>
      </c>
      <c r="BGF7">
        <v>1046</v>
      </c>
      <c r="BGG7">
        <v>1046</v>
      </c>
      <c r="BGH7">
        <v>1035</v>
      </c>
      <c r="BGI7">
        <v>1035</v>
      </c>
      <c r="BGJ7">
        <v>1031</v>
      </c>
      <c r="BGK7">
        <v>1030</v>
      </c>
      <c r="BGL7">
        <v>1030</v>
      </c>
      <c r="BGM7">
        <v>1030</v>
      </c>
      <c r="BGN7">
        <v>1026</v>
      </c>
      <c r="BGO7">
        <v>1021</v>
      </c>
      <c r="BGP7">
        <v>1021</v>
      </c>
      <c r="BGQ7">
        <v>1021</v>
      </c>
      <c r="BGR7">
        <v>1006</v>
      </c>
      <c r="BGS7">
        <v>1006</v>
      </c>
      <c r="BGT7">
        <v>1006</v>
      </c>
      <c r="BGU7">
        <v>1000</v>
      </c>
      <c r="BGV7">
        <v>1000</v>
      </c>
      <c r="BGW7">
        <v>1000</v>
      </c>
      <c r="BGX7">
        <v>1000</v>
      </c>
      <c r="BGY7">
        <v>1000</v>
      </c>
    </row>
    <row r="8" spans="1:1559" x14ac:dyDescent="0.25">
      <c r="A8" t="str">
        <f t="shared" si="0"/>
        <v xml:space="preserve">RST </v>
      </c>
      <c r="B8" t="s">
        <v>16</v>
      </c>
      <c r="C8" t="s">
        <v>13</v>
      </c>
      <c r="D8" t="s">
        <v>17</v>
      </c>
      <c r="E8" s="2">
        <v>168926</v>
      </c>
    </row>
    <row r="9" spans="1:1559" x14ac:dyDescent="0.25">
      <c r="A9" t="str">
        <f t="shared" si="0"/>
        <v xml:space="preserve">RST </v>
      </c>
      <c r="B9" t="s">
        <v>16</v>
      </c>
      <c r="C9" t="s">
        <v>10</v>
      </c>
      <c r="D9" t="s">
        <v>18</v>
      </c>
      <c r="E9" s="2">
        <v>168926</v>
      </c>
    </row>
    <row r="10" spans="1:1559" x14ac:dyDescent="0.25">
      <c r="A10" t="str">
        <f t="shared" si="0"/>
        <v xml:space="preserve">RST </v>
      </c>
      <c r="B10" t="s">
        <v>19</v>
      </c>
      <c r="C10" t="s">
        <v>13</v>
      </c>
      <c r="D10" t="s">
        <v>20</v>
      </c>
      <c r="E10" s="2">
        <v>152560</v>
      </c>
    </row>
    <row r="11" spans="1:1559" x14ac:dyDescent="0.25">
      <c r="A11" t="str">
        <f t="shared" si="0"/>
        <v>Diod</v>
      </c>
      <c r="B11" t="s">
        <v>2406</v>
      </c>
      <c r="C11" t="s">
        <v>2467</v>
      </c>
      <c r="D11" t="s">
        <v>21</v>
      </c>
      <c r="E11" s="2">
        <v>128362</v>
      </c>
    </row>
    <row r="12" spans="1:1559" x14ac:dyDescent="0.25">
      <c r="A12" t="str">
        <f t="shared" si="0"/>
        <v xml:space="preserve">OPT </v>
      </c>
      <c r="B12" t="s">
        <v>22</v>
      </c>
      <c r="C12" t="s">
        <v>23</v>
      </c>
      <c r="D12" t="s">
        <v>24</v>
      </c>
      <c r="E12" s="2">
        <v>105272</v>
      </c>
    </row>
    <row r="13" spans="1:1559" x14ac:dyDescent="0.25">
      <c r="A13" t="str">
        <f t="shared" si="0"/>
        <v xml:space="preserve">OPT </v>
      </c>
      <c r="B13" t="s">
        <v>22</v>
      </c>
      <c r="C13" t="s">
        <v>23</v>
      </c>
      <c r="D13" t="s">
        <v>25</v>
      </c>
      <c r="E13" s="2">
        <v>105272</v>
      </c>
    </row>
    <row r="14" spans="1:1559" x14ac:dyDescent="0.25">
      <c r="A14" t="str">
        <f t="shared" si="0"/>
        <v>ICMD</v>
      </c>
      <c r="B14" t="s">
        <v>2383</v>
      </c>
      <c r="C14" t="s">
        <v>26</v>
      </c>
      <c r="D14" t="s">
        <v>27</v>
      </c>
      <c r="E14" s="2">
        <v>96451</v>
      </c>
    </row>
    <row r="15" spans="1:1559" x14ac:dyDescent="0.25">
      <c r="A15" t="str">
        <f t="shared" si="0"/>
        <v>ICMD</v>
      </c>
      <c r="B15" t="s">
        <v>2383</v>
      </c>
      <c r="C15" t="s">
        <v>28</v>
      </c>
      <c r="D15" t="s">
        <v>29</v>
      </c>
      <c r="E15" s="2">
        <v>96451</v>
      </c>
    </row>
    <row r="16" spans="1:1559" x14ac:dyDescent="0.25">
      <c r="A16" t="str">
        <f t="shared" si="0"/>
        <v>ICMD</v>
      </c>
      <c r="B16" t="s">
        <v>2383</v>
      </c>
      <c r="C16" t="s">
        <v>30</v>
      </c>
      <c r="D16" t="s">
        <v>27</v>
      </c>
      <c r="E16" s="2">
        <v>96451</v>
      </c>
    </row>
    <row r="17" spans="1:5" x14ac:dyDescent="0.25">
      <c r="A17" t="str">
        <f t="shared" si="0"/>
        <v xml:space="preserve">RST </v>
      </c>
      <c r="B17" t="s">
        <v>31</v>
      </c>
      <c r="C17" t="s">
        <v>13</v>
      </c>
      <c r="D17" t="s">
        <v>32</v>
      </c>
      <c r="E17" s="2">
        <v>82594</v>
      </c>
    </row>
    <row r="18" spans="1:5" x14ac:dyDescent="0.25">
      <c r="A18" t="str">
        <f t="shared" si="0"/>
        <v xml:space="preserve">RST </v>
      </c>
      <c r="B18" t="s">
        <v>31</v>
      </c>
      <c r="C18" t="s">
        <v>10</v>
      </c>
      <c r="D18" t="s">
        <v>33</v>
      </c>
      <c r="E18" s="2">
        <v>82594</v>
      </c>
    </row>
    <row r="19" spans="1:5" x14ac:dyDescent="0.25">
      <c r="A19" t="str">
        <f t="shared" si="0"/>
        <v>Capa</v>
      </c>
      <c r="B19" t="s">
        <v>2197</v>
      </c>
      <c r="C19" t="s">
        <v>13</v>
      </c>
      <c r="D19" t="s">
        <v>34</v>
      </c>
      <c r="E19" s="2">
        <v>67975</v>
      </c>
    </row>
    <row r="20" spans="1:5" x14ac:dyDescent="0.25">
      <c r="A20" t="str">
        <f t="shared" si="0"/>
        <v>Capa</v>
      </c>
      <c r="B20" t="s">
        <v>2197</v>
      </c>
      <c r="C20" t="s">
        <v>8</v>
      </c>
      <c r="D20" t="s">
        <v>35</v>
      </c>
      <c r="E20" s="2">
        <v>67975</v>
      </c>
    </row>
    <row r="21" spans="1:5" x14ac:dyDescent="0.25">
      <c r="A21" t="str">
        <f t="shared" si="0"/>
        <v xml:space="preserve">NTC </v>
      </c>
      <c r="B21" t="s">
        <v>36</v>
      </c>
      <c r="C21" t="s">
        <v>37</v>
      </c>
      <c r="D21" t="s">
        <v>38</v>
      </c>
      <c r="E21" s="2">
        <v>65424</v>
      </c>
    </row>
    <row r="22" spans="1:5" x14ac:dyDescent="0.25">
      <c r="A22" t="str">
        <f t="shared" si="0"/>
        <v xml:space="preserve">NTC </v>
      </c>
      <c r="B22" t="s">
        <v>36</v>
      </c>
      <c r="C22" t="s">
        <v>37</v>
      </c>
      <c r="D22" t="s">
        <v>39</v>
      </c>
      <c r="E22" s="2">
        <v>65424</v>
      </c>
    </row>
    <row r="23" spans="1:5" x14ac:dyDescent="0.25">
      <c r="A23" t="str">
        <f t="shared" si="0"/>
        <v xml:space="preserve">NTC </v>
      </c>
      <c r="B23" t="s">
        <v>36</v>
      </c>
      <c r="C23" t="s">
        <v>37</v>
      </c>
      <c r="D23" t="s">
        <v>40</v>
      </c>
      <c r="E23" s="2">
        <v>65424</v>
      </c>
    </row>
    <row r="24" spans="1:5" x14ac:dyDescent="0.25">
      <c r="A24" t="str">
        <f t="shared" si="0"/>
        <v xml:space="preserve">NTC </v>
      </c>
      <c r="B24" t="s">
        <v>36</v>
      </c>
      <c r="C24" t="s">
        <v>37</v>
      </c>
      <c r="D24" t="s">
        <v>41</v>
      </c>
      <c r="E24" s="2">
        <v>65424</v>
      </c>
    </row>
    <row r="25" spans="1:5" x14ac:dyDescent="0.25">
      <c r="A25" t="str">
        <f t="shared" si="0"/>
        <v xml:space="preserve">NTC </v>
      </c>
      <c r="B25" t="s">
        <v>36</v>
      </c>
      <c r="C25" t="s">
        <v>37</v>
      </c>
      <c r="D25" t="s">
        <v>42</v>
      </c>
      <c r="E25" s="2">
        <v>65424</v>
      </c>
    </row>
    <row r="26" spans="1:5" x14ac:dyDescent="0.25">
      <c r="A26" t="str">
        <f t="shared" si="0"/>
        <v xml:space="preserve">RST </v>
      </c>
      <c r="B26" t="s">
        <v>43</v>
      </c>
      <c r="C26" t="s">
        <v>10</v>
      </c>
      <c r="D26" t="s">
        <v>44</v>
      </c>
      <c r="E26" s="2">
        <v>64154</v>
      </c>
    </row>
    <row r="27" spans="1:5" x14ac:dyDescent="0.25">
      <c r="A27" t="str">
        <f t="shared" si="0"/>
        <v>Chok</v>
      </c>
      <c r="B27" t="s">
        <v>2395</v>
      </c>
      <c r="C27" t="s">
        <v>45</v>
      </c>
      <c r="D27" t="s">
        <v>46</v>
      </c>
      <c r="E27" s="2">
        <v>63893</v>
      </c>
    </row>
    <row r="28" spans="1:5" x14ac:dyDescent="0.25">
      <c r="A28" t="str">
        <f t="shared" si="0"/>
        <v>Capa</v>
      </c>
      <c r="B28" t="s">
        <v>2198</v>
      </c>
      <c r="C28" t="s">
        <v>47</v>
      </c>
      <c r="D28" t="s">
        <v>48</v>
      </c>
      <c r="E28" s="2">
        <v>63546</v>
      </c>
    </row>
    <row r="29" spans="1:5" x14ac:dyDescent="0.25">
      <c r="A29" t="str">
        <f t="shared" si="0"/>
        <v>Capa</v>
      </c>
      <c r="B29" t="s">
        <v>2198</v>
      </c>
      <c r="C29" t="s">
        <v>49</v>
      </c>
      <c r="D29" t="s">
        <v>50</v>
      </c>
      <c r="E29" s="2">
        <v>63546</v>
      </c>
    </row>
    <row r="30" spans="1:5" x14ac:dyDescent="0.25">
      <c r="A30" t="str">
        <f t="shared" si="0"/>
        <v>Capa</v>
      </c>
      <c r="B30" t="s">
        <v>2198</v>
      </c>
      <c r="C30" t="s">
        <v>8</v>
      </c>
      <c r="D30" t="s">
        <v>51</v>
      </c>
      <c r="E30" s="2">
        <v>63546</v>
      </c>
    </row>
    <row r="31" spans="1:5" x14ac:dyDescent="0.25">
      <c r="A31" t="str">
        <f t="shared" si="0"/>
        <v>Capa</v>
      </c>
      <c r="B31" t="s">
        <v>2198</v>
      </c>
      <c r="C31" t="s">
        <v>10</v>
      </c>
      <c r="D31" t="s">
        <v>52</v>
      </c>
      <c r="E31" s="2">
        <v>63546</v>
      </c>
    </row>
    <row r="32" spans="1:5" x14ac:dyDescent="0.25">
      <c r="A32" t="str">
        <f t="shared" si="0"/>
        <v>Capa</v>
      </c>
      <c r="B32" t="s">
        <v>2198</v>
      </c>
      <c r="C32" t="s">
        <v>10</v>
      </c>
      <c r="D32" t="s">
        <v>53</v>
      </c>
      <c r="E32" s="2">
        <v>63546</v>
      </c>
    </row>
    <row r="33" spans="1:5" x14ac:dyDescent="0.25">
      <c r="A33" t="str">
        <f t="shared" si="0"/>
        <v>Capa</v>
      </c>
      <c r="B33" t="s">
        <v>2199</v>
      </c>
      <c r="C33" t="s">
        <v>13</v>
      </c>
      <c r="D33" t="s">
        <v>54</v>
      </c>
      <c r="E33" s="2">
        <v>61895</v>
      </c>
    </row>
    <row r="34" spans="1:5" x14ac:dyDescent="0.25">
      <c r="A34" t="str">
        <f t="shared" si="0"/>
        <v>Capa</v>
      </c>
      <c r="B34" t="s">
        <v>2199</v>
      </c>
      <c r="C34" t="s">
        <v>47</v>
      </c>
      <c r="D34" t="s">
        <v>55</v>
      </c>
      <c r="E34" s="2">
        <v>61895</v>
      </c>
    </row>
    <row r="35" spans="1:5" x14ac:dyDescent="0.25">
      <c r="A35" t="str">
        <f t="shared" si="0"/>
        <v>Capa</v>
      </c>
      <c r="B35" t="s">
        <v>2199</v>
      </c>
      <c r="C35" t="s">
        <v>8</v>
      </c>
      <c r="D35" t="s">
        <v>56</v>
      </c>
      <c r="E35" s="2">
        <v>61895</v>
      </c>
    </row>
    <row r="36" spans="1:5" x14ac:dyDescent="0.25">
      <c r="A36" t="str">
        <f t="shared" si="0"/>
        <v>Diod</v>
      </c>
      <c r="B36" t="s">
        <v>2407</v>
      </c>
      <c r="C36" t="s">
        <v>57</v>
      </c>
      <c r="D36" t="s">
        <v>58</v>
      </c>
      <c r="E36" s="2">
        <v>61128</v>
      </c>
    </row>
    <row r="37" spans="1:5" x14ac:dyDescent="0.25">
      <c r="A37" t="str">
        <f t="shared" si="0"/>
        <v>Diod</v>
      </c>
      <c r="B37" t="s">
        <v>2407</v>
      </c>
      <c r="C37" t="s">
        <v>37</v>
      </c>
      <c r="D37" t="s">
        <v>59</v>
      </c>
      <c r="E37" s="2">
        <v>61128</v>
      </c>
    </row>
    <row r="38" spans="1:5" x14ac:dyDescent="0.25">
      <c r="A38" t="str">
        <f t="shared" si="0"/>
        <v>Diod</v>
      </c>
      <c r="B38" t="s">
        <v>2407</v>
      </c>
      <c r="C38" t="s">
        <v>37</v>
      </c>
      <c r="D38" t="s">
        <v>60</v>
      </c>
      <c r="E38" s="2">
        <v>61128</v>
      </c>
    </row>
    <row r="39" spans="1:5" x14ac:dyDescent="0.25">
      <c r="A39" t="str">
        <f t="shared" si="0"/>
        <v>Diod</v>
      </c>
      <c r="B39" t="s">
        <v>2407</v>
      </c>
      <c r="C39" t="s">
        <v>61</v>
      </c>
      <c r="D39" t="s">
        <v>58</v>
      </c>
      <c r="E39" s="2">
        <v>61128</v>
      </c>
    </row>
    <row r="40" spans="1:5" x14ac:dyDescent="0.25">
      <c r="A40" t="str">
        <f t="shared" si="0"/>
        <v>Chok</v>
      </c>
      <c r="B40" t="s">
        <v>2396</v>
      </c>
      <c r="C40" t="s">
        <v>62</v>
      </c>
      <c r="D40" t="s">
        <v>63</v>
      </c>
      <c r="E40" s="2">
        <v>60773</v>
      </c>
    </row>
    <row r="41" spans="1:5" x14ac:dyDescent="0.25">
      <c r="A41" t="str">
        <f t="shared" si="0"/>
        <v>Capa</v>
      </c>
      <c r="B41" t="s">
        <v>2200</v>
      </c>
      <c r="C41" t="s">
        <v>64</v>
      </c>
      <c r="D41" t="s">
        <v>65</v>
      </c>
      <c r="E41" s="2">
        <v>60002</v>
      </c>
    </row>
    <row r="42" spans="1:5" x14ac:dyDescent="0.25">
      <c r="A42" t="str">
        <f t="shared" si="0"/>
        <v>Capa</v>
      </c>
      <c r="B42" t="s">
        <v>2200</v>
      </c>
      <c r="C42" t="s">
        <v>8</v>
      </c>
      <c r="D42" t="s">
        <v>66</v>
      </c>
      <c r="E42" s="2">
        <v>60002</v>
      </c>
    </row>
    <row r="43" spans="1:5" x14ac:dyDescent="0.25">
      <c r="A43" t="str">
        <f t="shared" si="0"/>
        <v>Capa</v>
      </c>
      <c r="B43" t="s">
        <v>2201</v>
      </c>
      <c r="C43" t="s">
        <v>13</v>
      </c>
      <c r="D43" t="s">
        <v>67</v>
      </c>
      <c r="E43" s="2">
        <v>59154</v>
      </c>
    </row>
    <row r="44" spans="1:5" x14ac:dyDescent="0.25">
      <c r="A44" t="str">
        <f t="shared" si="0"/>
        <v>Capa</v>
      </c>
      <c r="B44" t="s">
        <v>2201</v>
      </c>
      <c r="C44" t="s">
        <v>64</v>
      </c>
      <c r="D44" t="s">
        <v>68</v>
      </c>
      <c r="E44" s="2">
        <v>59154</v>
      </c>
    </row>
    <row r="45" spans="1:5" x14ac:dyDescent="0.25">
      <c r="A45" t="str">
        <f t="shared" si="0"/>
        <v>Capa</v>
      </c>
      <c r="B45" t="s">
        <v>2201</v>
      </c>
      <c r="C45" t="s">
        <v>10</v>
      </c>
      <c r="D45" t="s">
        <v>69</v>
      </c>
      <c r="E45" s="2">
        <v>59154</v>
      </c>
    </row>
    <row r="46" spans="1:5" x14ac:dyDescent="0.25">
      <c r="A46" t="str">
        <f t="shared" si="0"/>
        <v>Capa</v>
      </c>
      <c r="B46" t="s">
        <v>2202</v>
      </c>
      <c r="C46" t="s">
        <v>8</v>
      </c>
      <c r="D46" t="s">
        <v>70</v>
      </c>
      <c r="E46" s="2">
        <v>50308</v>
      </c>
    </row>
    <row r="47" spans="1:5" x14ac:dyDescent="0.25">
      <c r="A47" t="str">
        <f t="shared" si="0"/>
        <v>Capa</v>
      </c>
      <c r="B47" t="s">
        <v>2202</v>
      </c>
      <c r="C47" t="s">
        <v>8</v>
      </c>
      <c r="D47" t="s">
        <v>71</v>
      </c>
      <c r="E47" s="2">
        <v>50308</v>
      </c>
    </row>
    <row r="48" spans="1:5" x14ac:dyDescent="0.25">
      <c r="A48" t="str">
        <f t="shared" si="0"/>
        <v>Capa</v>
      </c>
      <c r="B48" t="s">
        <v>2203</v>
      </c>
      <c r="C48" t="s">
        <v>64</v>
      </c>
      <c r="D48" t="s">
        <v>72</v>
      </c>
      <c r="E48" s="2">
        <v>49527</v>
      </c>
    </row>
    <row r="49" spans="1:5" x14ac:dyDescent="0.25">
      <c r="A49" t="str">
        <f t="shared" si="0"/>
        <v>Capa</v>
      </c>
      <c r="B49" t="s">
        <v>2203</v>
      </c>
      <c r="C49" t="s">
        <v>73</v>
      </c>
      <c r="D49" t="s">
        <v>74</v>
      </c>
      <c r="E49" s="2">
        <v>49527</v>
      </c>
    </row>
    <row r="50" spans="1:5" x14ac:dyDescent="0.25">
      <c r="A50" t="str">
        <f t="shared" si="0"/>
        <v>Capa</v>
      </c>
      <c r="B50" t="s">
        <v>2203</v>
      </c>
      <c r="C50" t="s">
        <v>73</v>
      </c>
      <c r="D50" t="s">
        <v>75</v>
      </c>
      <c r="E50" s="2">
        <v>49527</v>
      </c>
    </row>
    <row r="51" spans="1:5" x14ac:dyDescent="0.25">
      <c r="A51" t="str">
        <f t="shared" si="0"/>
        <v>Capa</v>
      </c>
      <c r="B51" t="s">
        <v>2203</v>
      </c>
      <c r="C51" t="s">
        <v>73</v>
      </c>
      <c r="D51" t="s">
        <v>76</v>
      </c>
      <c r="E51" s="2">
        <v>49527</v>
      </c>
    </row>
    <row r="52" spans="1:5" x14ac:dyDescent="0.25">
      <c r="A52" t="str">
        <f t="shared" si="0"/>
        <v>Capa</v>
      </c>
      <c r="B52" t="s">
        <v>2203</v>
      </c>
      <c r="C52" t="s">
        <v>73</v>
      </c>
      <c r="D52" t="s">
        <v>77</v>
      </c>
      <c r="E52" s="2">
        <v>49527</v>
      </c>
    </row>
    <row r="53" spans="1:5" x14ac:dyDescent="0.25">
      <c r="A53" t="str">
        <f t="shared" si="0"/>
        <v>Capa</v>
      </c>
      <c r="B53" t="s">
        <v>2203</v>
      </c>
      <c r="C53" t="s">
        <v>73</v>
      </c>
      <c r="D53" t="s">
        <v>78</v>
      </c>
      <c r="E53" s="2">
        <v>49527</v>
      </c>
    </row>
    <row r="54" spans="1:5" x14ac:dyDescent="0.25">
      <c r="A54" t="str">
        <f t="shared" si="0"/>
        <v>Capa</v>
      </c>
      <c r="B54" t="s">
        <v>2203</v>
      </c>
      <c r="C54" t="s">
        <v>8</v>
      </c>
      <c r="D54" t="s">
        <v>79</v>
      </c>
      <c r="E54" s="2">
        <v>49527</v>
      </c>
    </row>
    <row r="55" spans="1:5" x14ac:dyDescent="0.25">
      <c r="A55" t="str">
        <f t="shared" si="0"/>
        <v xml:space="preserve">RST </v>
      </c>
      <c r="B55" t="s">
        <v>80</v>
      </c>
      <c r="C55" t="s">
        <v>10</v>
      </c>
      <c r="D55" t="s">
        <v>81</v>
      </c>
      <c r="E55" s="2">
        <v>48308</v>
      </c>
    </row>
    <row r="56" spans="1:5" x14ac:dyDescent="0.25">
      <c r="A56" t="str">
        <f t="shared" si="0"/>
        <v>ICWM</v>
      </c>
      <c r="B56" t="s">
        <v>2469</v>
      </c>
      <c r="C56" t="s">
        <v>28</v>
      </c>
      <c r="D56" t="s">
        <v>82</v>
      </c>
      <c r="E56" s="2">
        <v>48293</v>
      </c>
    </row>
    <row r="57" spans="1:5" x14ac:dyDescent="0.25">
      <c r="A57" t="str">
        <f t="shared" si="0"/>
        <v xml:space="preserve">RST </v>
      </c>
      <c r="B57" t="s">
        <v>83</v>
      </c>
      <c r="C57" t="s">
        <v>13</v>
      </c>
      <c r="D57" t="s">
        <v>84</v>
      </c>
      <c r="E57" s="2">
        <v>46936</v>
      </c>
    </row>
    <row r="58" spans="1:5" x14ac:dyDescent="0.25">
      <c r="A58" t="str">
        <f t="shared" si="0"/>
        <v xml:space="preserve">RST </v>
      </c>
      <c r="B58" t="s">
        <v>83</v>
      </c>
      <c r="C58" t="s">
        <v>13</v>
      </c>
      <c r="D58" t="s">
        <v>85</v>
      </c>
      <c r="E58" s="2">
        <v>46936</v>
      </c>
    </row>
    <row r="59" spans="1:5" x14ac:dyDescent="0.25">
      <c r="A59" t="str">
        <f t="shared" si="0"/>
        <v xml:space="preserve">RST </v>
      </c>
      <c r="B59" t="s">
        <v>83</v>
      </c>
      <c r="C59" t="s">
        <v>37</v>
      </c>
      <c r="D59" t="s">
        <v>86</v>
      </c>
      <c r="E59" s="2">
        <v>46936</v>
      </c>
    </row>
    <row r="60" spans="1:5" x14ac:dyDescent="0.25">
      <c r="A60" t="str">
        <f t="shared" si="0"/>
        <v xml:space="preserve">RST </v>
      </c>
      <c r="B60" t="s">
        <v>83</v>
      </c>
      <c r="C60" t="s">
        <v>5</v>
      </c>
      <c r="D60" t="s">
        <v>87</v>
      </c>
      <c r="E60" s="2">
        <v>46936</v>
      </c>
    </row>
    <row r="61" spans="1:5" x14ac:dyDescent="0.25">
      <c r="A61" t="str">
        <f t="shared" si="0"/>
        <v xml:space="preserve">RST </v>
      </c>
      <c r="B61" t="s">
        <v>83</v>
      </c>
      <c r="C61" t="s">
        <v>10</v>
      </c>
      <c r="D61" t="s">
        <v>88</v>
      </c>
      <c r="E61" s="2">
        <v>46936</v>
      </c>
    </row>
    <row r="62" spans="1:5" x14ac:dyDescent="0.25">
      <c r="A62" t="str">
        <f t="shared" si="0"/>
        <v xml:space="preserve">RST </v>
      </c>
      <c r="B62" t="s">
        <v>83</v>
      </c>
      <c r="C62" t="s">
        <v>89</v>
      </c>
      <c r="D62" t="s">
        <v>90</v>
      </c>
      <c r="E62" s="2">
        <v>46936</v>
      </c>
    </row>
    <row r="63" spans="1:5" x14ac:dyDescent="0.25">
      <c r="A63" t="str">
        <f t="shared" si="0"/>
        <v>Capa</v>
      </c>
      <c r="B63" t="s">
        <v>2204</v>
      </c>
      <c r="C63" t="s">
        <v>49</v>
      </c>
      <c r="D63" t="s">
        <v>91</v>
      </c>
      <c r="E63" s="2">
        <v>45462</v>
      </c>
    </row>
    <row r="64" spans="1:5" x14ac:dyDescent="0.25">
      <c r="A64" t="str">
        <f t="shared" si="0"/>
        <v>MOSF</v>
      </c>
      <c r="B64" t="s">
        <v>2475</v>
      </c>
      <c r="C64" t="s">
        <v>2467</v>
      </c>
      <c r="D64" t="s">
        <v>92</v>
      </c>
      <c r="E64" s="2">
        <v>43617</v>
      </c>
    </row>
    <row r="65" spans="1:5" x14ac:dyDescent="0.25">
      <c r="A65" t="str">
        <f t="shared" si="0"/>
        <v>MOSF</v>
      </c>
      <c r="B65" t="s">
        <v>2475</v>
      </c>
      <c r="C65" t="s">
        <v>28</v>
      </c>
      <c r="D65" t="s">
        <v>93</v>
      </c>
      <c r="E65" s="2">
        <v>43617</v>
      </c>
    </row>
    <row r="66" spans="1:5" x14ac:dyDescent="0.25">
      <c r="A66" t="str">
        <f t="shared" si="0"/>
        <v>MOSF</v>
      </c>
      <c r="B66" t="s">
        <v>2475</v>
      </c>
      <c r="C66" t="s">
        <v>30</v>
      </c>
      <c r="D66" t="s">
        <v>94</v>
      </c>
      <c r="E66" s="2">
        <v>43617</v>
      </c>
    </row>
    <row r="67" spans="1:5" x14ac:dyDescent="0.25">
      <c r="A67" t="str">
        <f t="shared" ref="A67:A68" si="1">LEFT(B67,4)</f>
        <v>Capa</v>
      </c>
      <c r="B67" t="s">
        <v>2205</v>
      </c>
      <c r="C67" t="s">
        <v>13</v>
      </c>
      <c r="D67" t="s">
        <v>95</v>
      </c>
      <c r="E67" s="2">
        <v>43022</v>
      </c>
    </row>
    <row r="68" spans="1:5" x14ac:dyDescent="0.25">
      <c r="A68" t="str">
        <f t="shared" si="1"/>
        <v>Capa</v>
      </c>
      <c r="B68" t="s">
        <v>2205</v>
      </c>
      <c r="C68" t="s">
        <v>47</v>
      </c>
      <c r="D68" t="s">
        <v>96</v>
      </c>
      <c r="E68" s="2">
        <v>43022</v>
      </c>
    </row>
    <row r="69" spans="1:5" x14ac:dyDescent="0.25">
      <c r="A69" t="str">
        <f>LEFT(B69,4)</f>
        <v>Capa</v>
      </c>
      <c r="B69" t="s">
        <v>2205</v>
      </c>
      <c r="C69" t="s">
        <v>47</v>
      </c>
      <c r="D69" t="s">
        <v>97</v>
      </c>
      <c r="E69" s="2">
        <v>43022</v>
      </c>
    </row>
    <row r="70" spans="1:5" x14ac:dyDescent="0.25">
      <c r="A70" t="str">
        <f t="shared" ref="A70:A133" si="2">LEFT(B70,4)</f>
        <v>Capa</v>
      </c>
      <c r="B70" t="s">
        <v>2205</v>
      </c>
      <c r="C70" t="s">
        <v>64</v>
      </c>
      <c r="D70" t="s">
        <v>98</v>
      </c>
      <c r="E70" s="2">
        <v>43022</v>
      </c>
    </row>
    <row r="71" spans="1:5" x14ac:dyDescent="0.25">
      <c r="A71" t="str">
        <f t="shared" si="2"/>
        <v>Capa</v>
      </c>
      <c r="B71" t="s">
        <v>2205</v>
      </c>
      <c r="C71" t="s">
        <v>49</v>
      </c>
      <c r="D71" t="s">
        <v>99</v>
      </c>
      <c r="E71" s="2">
        <v>43022</v>
      </c>
    </row>
    <row r="72" spans="1:5" x14ac:dyDescent="0.25">
      <c r="A72" t="str">
        <f t="shared" si="2"/>
        <v>Capa</v>
      </c>
      <c r="B72" t="s">
        <v>2205</v>
      </c>
      <c r="C72" t="s">
        <v>8</v>
      </c>
      <c r="D72" t="s">
        <v>100</v>
      </c>
      <c r="E72" s="2">
        <v>43022</v>
      </c>
    </row>
    <row r="73" spans="1:5" x14ac:dyDescent="0.25">
      <c r="A73" t="str">
        <f t="shared" si="2"/>
        <v>Capa</v>
      </c>
      <c r="B73" t="s">
        <v>2205</v>
      </c>
      <c r="C73" t="s">
        <v>10</v>
      </c>
      <c r="D73" t="s">
        <v>101</v>
      </c>
      <c r="E73" s="2">
        <v>43022</v>
      </c>
    </row>
    <row r="74" spans="1:5" x14ac:dyDescent="0.25">
      <c r="A74" t="str">
        <f t="shared" si="2"/>
        <v xml:space="preserve">RST </v>
      </c>
      <c r="B74" t="s">
        <v>102</v>
      </c>
      <c r="C74" t="s">
        <v>13</v>
      </c>
      <c r="D74" t="s">
        <v>103</v>
      </c>
      <c r="E74" s="2">
        <v>40160</v>
      </c>
    </row>
    <row r="75" spans="1:5" x14ac:dyDescent="0.25">
      <c r="A75" t="str">
        <f t="shared" si="2"/>
        <v xml:space="preserve">RST </v>
      </c>
      <c r="B75" t="s">
        <v>102</v>
      </c>
      <c r="C75" t="s">
        <v>13</v>
      </c>
      <c r="D75" t="s">
        <v>104</v>
      </c>
      <c r="E75" s="2">
        <v>40160</v>
      </c>
    </row>
    <row r="76" spans="1:5" x14ac:dyDescent="0.25">
      <c r="A76" t="str">
        <f t="shared" si="2"/>
        <v xml:space="preserve">RST </v>
      </c>
      <c r="B76" t="s">
        <v>102</v>
      </c>
      <c r="C76" t="s">
        <v>13</v>
      </c>
      <c r="D76" t="s">
        <v>105</v>
      </c>
      <c r="E76" s="2">
        <v>40160</v>
      </c>
    </row>
    <row r="77" spans="1:5" x14ac:dyDescent="0.25">
      <c r="A77" t="str">
        <f t="shared" si="2"/>
        <v xml:space="preserve">RST </v>
      </c>
      <c r="B77" t="s">
        <v>102</v>
      </c>
      <c r="C77" t="s">
        <v>10</v>
      </c>
      <c r="D77" t="s">
        <v>106</v>
      </c>
      <c r="E77" s="2">
        <v>40160</v>
      </c>
    </row>
    <row r="78" spans="1:5" x14ac:dyDescent="0.25">
      <c r="A78" t="str">
        <f t="shared" si="2"/>
        <v xml:space="preserve">RST </v>
      </c>
      <c r="B78" t="s">
        <v>107</v>
      </c>
      <c r="C78" t="s">
        <v>37</v>
      </c>
      <c r="D78" t="s">
        <v>108</v>
      </c>
      <c r="E78" s="2">
        <v>40037</v>
      </c>
    </row>
    <row r="79" spans="1:5" x14ac:dyDescent="0.25">
      <c r="A79" t="str">
        <f t="shared" si="2"/>
        <v xml:space="preserve">LED </v>
      </c>
      <c r="B79" t="s">
        <v>109</v>
      </c>
      <c r="C79" t="s">
        <v>110</v>
      </c>
      <c r="D79" t="s">
        <v>111</v>
      </c>
      <c r="E79" s="2">
        <v>38652</v>
      </c>
    </row>
    <row r="80" spans="1:5" x14ac:dyDescent="0.25">
      <c r="A80" t="str">
        <f t="shared" si="2"/>
        <v xml:space="preserve">LED </v>
      </c>
      <c r="B80" t="s">
        <v>109</v>
      </c>
      <c r="C80" t="s">
        <v>110</v>
      </c>
      <c r="D80" t="s">
        <v>112</v>
      </c>
      <c r="E80" s="2">
        <v>38652</v>
      </c>
    </row>
    <row r="81" spans="1:5" x14ac:dyDescent="0.25">
      <c r="A81" t="str">
        <f t="shared" si="2"/>
        <v xml:space="preserve">LED </v>
      </c>
      <c r="B81" t="s">
        <v>109</v>
      </c>
      <c r="C81" t="s">
        <v>110</v>
      </c>
      <c r="D81" t="s">
        <v>113</v>
      </c>
      <c r="E81" s="2">
        <v>38652</v>
      </c>
    </row>
    <row r="82" spans="1:5" x14ac:dyDescent="0.25">
      <c r="A82" t="str">
        <f t="shared" si="2"/>
        <v xml:space="preserve">LED </v>
      </c>
      <c r="B82" t="s">
        <v>109</v>
      </c>
      <c r="C82" t="s">
        <v>110</v>
      </c>
      <c r="D82" t="s">
        <v>114</v>
      </c>
      <c r="E82" s="2">
        <v>38652</v>
      </c>
    </row>
    <row r="83" spans="1:5" x14ac:dyDescent="0.25">
      <c r="A83" t="str">
        <f t="shared" si="2"/>
        <v xml:space="preserve">LED </v>
      </c>
      <c r="B83" t="s">
        <v>109</v>
      </c>
      <c r="C83" t="s">
        <v>110</v>
      </c>
      <c r="D83" t="s">
        <v>115</v>
      </c>
      <c r="E83" s="2">
        <v>38652</v>
      </c>
    </row>
    <row r="84" spans="1:5" x14ac:dyDescent="0.25">
      <c r="A84" t="str">
        <f t="shared" si="2"/>
        <v xml:space="preserve">LED </v>
      </c>
      <c r="B84" t="s">
        <v>109</v>
      </c>
      <c r="C84" t="s">
        <v>110</v>
      </c>
      <c r="D84" t="s">
        <v>116</v>
      </c>
      <c r="E84" s="2">
        <v>38652</v>
      </c>
    </row>
    <row r="85" spans="1:5" x14ac:dyDescent="0.25">
      <c r="A85" t="str">
        <f t="shared" si="2"/>
        <v xml:space="preserve">LED </v>
      </c>
      <c r="B85" t="s">
        <v>109</v>
      </c>
      <c r="C85" t="s">
        <v>110</v>
      </c>
      <c r="D85" t="s">
        <v>117</v>
      </c>
      <c r="E85" s="2">
        <v>38652</v>
      </c>
    </row>
    <row r="86" spans="1:5" x14ac:dyDescent="0.25">
      <c r="A86" t="str">
        <f t="shared" si="2"/>
        <v xml:space="preserve">RST </v>
      </c>
      <c r="B86" t="s">
        <v>118</v>
      </c>
      <c r="C86" t="s">
        <v>13</v>
      </c>
      <c r="D86" t="s">
        <v>119</v>
      </c>
      <c r="E86" s="2">
        <v>38083</v>
      </c>
    </row>
    <row r="87" spans="1:5" x14ac:dyDescent="0.25">
      <c r="A87" t="str">
        <f t="shared" si="2"/>
        <v xml:space="preserve">RST </v>
      </c>
      <c r="B87" t="s">
        <v>120</v>
      </c>
      <c r="C87" t="s">
        <v>13</v>
      </c>
      <c r="D87" t="s">
        <v>121</v>
      </c>
      <c r="E87" s="2">
        <v>35762</v>
      </c>
    </row>
    <row r="88" spans="1:5" x14ac:dyDescent="0.25">
      <c r="A88" t="str">
        <f t="shared" si="2"/>
        <v xml:space="preserve">RST </v>
      </c>
      <c r="B88" t="s">
        <v>120</v>
      </c>
      <c r="C88" t="s">
        <v>10</v>
      </c>
      <c r="D88" t="s">
        <v>122</v>
      </c>
      <c r="E88" s="2">
        <v>35762</v>
      </c>
    </row>
    <row r="89" spans="1:5" x14ac:dyDescent="0.25">
      <c r="A89" t="str">
        <f t="shared" si="2"/>
        <v>Capa</v>
      </c>
      <c r="B89" t="s">
        <v>2206</v>
      </c>
      <c r="C89" t="s">
        <v>123</v>
      </c>
      <c r="D89" t="s">
        <v>124</v>
      </c>
      <c r="E89" s="2">
        <v>35261</v>
      </c>
    </row>
    <row r="90" spans="1:5" x14ac:dyDescent="0.25">
      <c r="A90" t="str">
        <f t="shared" si="2"/>
        <v>Capa</v>
      </c>
      <c r="B90" t="s">
        <v>2206</v>
      </c>
      <c r="C90" t="s">
        <v>123</v>
      </c>
      <c r="D90" t="s">
        <v>125</v>
      </c>
      <c r="E90" s="2">
        <v>35261</v>
      </c>
    </row>
    <row r="91" spans="1:5" x14ac:dyDescent="0.25">
      <c r="A91" t="str">
        <f t="shared" si="2"/>
        <v>Capa</v>
      </c>
      <c r="B91" t="s">
        <v>2207</v>
      </c>
      <c r="C91" t="s">
        <v>47</v>
      </c>
      <c r="D91" t="s">
        <v>126</v>
      </c>
      <c r="E91" s="2">
        <v>34908</v>
      </c>
    </row>
    <row r="92" spans="1:5" x14ac:dyDescent="0.25">
      <c r="A92" t="str">
        <f t="shared" si="2"/>
        <v>Capa</v>
      </c>
      <c r="B92" t="s">
        <v>2207</v>
      </c>
      <c r="C92" t="s">
        <v>37</v>
      </c>
      <c r="D92" t="s">
        <v>127</v>
      </c>
      <c r="E92" s="2">
        <v>34908</v>
      </c>
    </row>
    <row r="93" spans="1:5" x14ac:dyDescent="0.25">
      <c r="A93" t="str">
        <f t="shared" si="2"/>
        <v>Capa</v>
      </c>
      <c r="B93" t="s">
        <v>2207</v>
      </c>
      <c r="C93" t="s">
        <v>10</v>
      </c>
      <c r="D93" t="s">
        <v>128</v>
      </c>
      <c r="E93" s="2">
        <v>34908</v>
      </c>
    </row>
    <row r="94" spans="1:5" x14ac:dyDescent="0.25">
      <c r="A94" t="str">
        <f t="shared" si="2"/>
        <v xml:space="preserve">LED </v>
      </c>
      <c r="B94" t="s">
        <v>129</v>
      </c>
      <c r="C94" t="s">
        <v>130</v>
      </c>
      <c r="D94" t="s">
        <v>131</v>
      </c>
      <c r="E94" s="2">
        <v>34659</v>
      </c>
    </row>
    <row r="95" spans="1:5" x14ac:dyDescent="0.25">
      <c r="A95" t="str">
        <f t="shared" si="2"/>
        <v xml:space="preserve">LED </v>
      </c>
      <c r="B95" t="s">
        <v>129</v>
      </c>
      <c r="C95" t="s">
        <v>132</v>
      </c>
      <c r="D95" t="s">
        <v>133</v>
      </c>
      <c r="E95" s="2">
        <v>34659</v>
      </c>
    </row>
    <row r="96" spans="1:5" x14ac:dyDescent="0.25">
      <c r="A96" t="str">
        <f t="shared" si="2"/>
        <v xml:space="preserve">LED </v>
      </c>
      <c r="B96" t="s">
        <v>129</v>
      </c>
      <c r="C96" t="s">
        <v>132</v>
      </c>
      <c r="D96" t="s">
        <v>134</v>
      </c>
      <c r="E96" s="2">
        <v>34659</v>
      </c>
    </row>
    <row r="97" spans="1:5" x14ac:dyDescent="0.25">
      <c r="A97" t="str">
        <f t="shared" si="2"/>
        <v xml:space="preserve">LED </v>
      </c>
      <c r="B97" t="s">
        <v>129</v>
      </c>
      <c r="C97" t="s">
        <v>110</v>
      </c>
      <c r="D97" t="s">
        <v>135</v>
      </c>
      <c r="E97" s="2">
        <v>34659</v>
      </c>
    </row>
    <row r="98" spans="1:5" x14ac:dyDescent="0.25">
      <c r="A98" t="str">
        <f t="shared" si="2"/>
        <v xml:space="preserve">LED </v>
      </c>
      <c r="B98" t="s">
        <v>129</v>
      </c>
      <c r="C98" t="s">
        <v>110</v>
      </c>
      <c r="D98" t="s">
        <v>136</v>
      </c>
      <c r="E98" s="2">
        <v>34659</v>
      </c>
    </row>
    <row r="99" spans="1:5" x14ac:dyDescent="0.25">
      <c r="A99" t="str">
        <f t="shared" si="2"/>
        <v xml:space="preserve">LED </v>
      </c>
      <c r="B99" t="s">
        <v>129</v>
      </c>
      <c r="C99" t="s">
        <v>110</v>
      </c>
      <c r="D99" t="s">
        <v>137</v>
      </c>
      <c r="E99" s="2">
        <v>34659</v>
      </c>
    </row>
    <row r="100" spans="1:5" x14ac:dyDescent="0.25">
      <c r="A100" t="str">
        <f t="shared" si="2"/>
        <v xml:space="preserve">LED </v>
      </c>
      <c r="B100" t="s">
        <v>129</v>
      </c>
      <c r="C100" t="s">
        <v>138</v>
      </c>
      <c r="D100" t="s">
        <v>139</v>
      </c>
      <c r="E100" s="2">
        <v>34659</v>
      </c>
    </row>
    <row r="101" spans="1:5" x14ac:dyDescent="0.25">
      <c r="A101" t="str">
        <f t="shared" si="2"/>
        <v>Capa</v>
      </c>
      <c r="B101" t="s">
        <v>2208</v>
      </c>
      <c r="C101" t="s">
        <v>8</v>
      </c>
      <c r="D101" t="s">
        <v>140</v>
      </c>
      <c r="E101" s="2">
        <v>34308</v>
      </c>
    </row>
    <row r="102" spans="1:5" x14ac:dyDescent="0.25">
      <c r="A102" t="str">
        <f t="shared" si="2"/>
        <v>IC R</v>
      </c>
      <c r="B102" t="s">
        <v>141</v>
      </c>
      <c r="C102" t="s">
        <v>142</v>
      </c>
      <c r="D102" t="s">
        <v>143</v>
      </c>
      <c r="E102" s="2">
        <v>34276</v>
      </c>
    </row>
    <row r="103" spans="1:5" x14ac:dyDescent="0.25">
      <c r="A103" t="str">
        <f t="shared" si="2"/>
        <v xml:space="preserve">RST </v>
      </c>
      <c r="B103" t="s">
        <v>144</v>
      </c>
      <c r="C103" t="s">
        <v>10</v>
      </c>
      <c r="D103" t="s">
        <v>145</v>
      </c>
      <c r="E103" s="2">
        <v>34154</v>
      </c>
    </row>
    <row r="104" spans="1:5" x14ac:dyDescent="0.25">
      <c r="A104" t="str">
        <f t="shared" si="2"/>
        <v>Capa</v>
      </c>
      <c r="B104" t="s">
        <v>2209</v>
      </c>
      <c r="C104" t="s">
        <v>47</v>
      </c>
      <c r="D104" t="s">
        <v>146</v>
      </c>
      <c r="E104" s="2">
        <v>33628</v>
      </c>
    </row>
    <row r="105" spans="1:5" x14ac:dyDescent="0.25">
      <c r="A105" t="str">
        <f t="shared" si="2"/>
        <v>Capa</v>
      </c>
      <c r="B105" t="s">
        <v>2209</v>
      </c>
      <c r="C105" t="s">
        <v>49</v>
      </c>
      <c r="D105" t="s">
        <v>147</v>
      </c>
      <c r="E105" s="2">
        <v>33628</v>
      </c>
    </row>
    <row r="106" spans="1:5" x14ac:dyDescent="0.25">
      <c r="A106" t="str">
        <f t="shared" si="2"/>
        <v>Capa</v>
      </c>
      <c r="B106" t="s">
        <v>2209</v>
      </c>
      <c r="C106" t="s">
        <v>10</v>
      </c>
      <c r="D106" t="s">
        <v>148</v>
      </c>
      <c r="E106" s="2">
        <v>33628</v>
      </c>
    </row>
    <row r="107" spans="1:5" x14ac:dyDescent="0.25">
      <c r="A107" t="str">
        <f t="shared" si="2"/>
        <v>ICMD</v>
      </c>
      <c r="B107" t="s">
        <v>2384</v>
      </c>
      <c r="C107" t="s">
        <v>149</v>
      </c>
      <c r="D107" t="s">
        <v>150</v>
      </c>
      <c r="E107" s="2">
        <v>33418</v>
      </c>
    </row>
    <row r="108" spans="1:5" x14ac:dyDescent="0.25">
      <c r="A108" t="str">
        <f t="shared" si="2"/>
        <v>ICMD</v>
      </c>
      <c r="B108" t="s">
        <v>2384</v>
      </c>
      <c r="C108" t="s">
        <v>151</v>
      </c>
      <c r="D108" t="s">
        <v>152</v>
      </c>
      <c r="E108" s="2">
        <v>33418</v>
      </c>
    </row>
    <row r="109" spans="1:5" x14ac:dyDescent="0.25">
      <c r="A109" t="str">
        <f t="shared" si="2"/>
        <v>ICMD</v>
      </c>
      <c r="B109" t="s">
        <v>2384</v>
      </c>
      <c r="C109" t="s">
        <v>153</v>
      </c>
      <c r="D109" t="s">
        <v>150</v>
      </c>
      <c r="E109" s="2">
        <v>33418</v>
      </c>
    </row>
    <row r="110" spans="1:5" x14ac:dyDescent="0.25">
      <c r="A110" t="str">
        <f t="shared" si="2"/>
        <v>Capa</v>
      </c>
      <c r="B110" t="s">
        <v>2210</v>
      </c>
      <c r="C110" t="s">
        <v>13</v>
      </c>
      <c r="D110" t="s">
        <v>154</v>
      </c>
      <c r="E110" s="2">
        <v>32683</v>
      </c>
    </row>
    <row r="111" spans="1:5" x14ac:dyDescent="0.25">
      <c r="A111" t="str">
        <f t="shared" si="2"/>
        <v>Capa</v>
      </c>
      <c r="B111" t="s">
        <v>2210</v>
      </c>
      <c r="C111" t="s">
        <v>10</v>
      </c>
      <c r="D111" t="s">
        <v>155</v>
      </c>
      <c r="E111" s="2">
        <v>32683</v>
      </c>
    </row>
    <row r="112" spans="1:5" x14ac:dyDescent="0.25">
      <c r="A112" t="str">
        <f t="shared" si="2"/>
        <v>Capa</v>
      </c>
      <c r="B112" t="s">
        <v>2210</v>
      </c>
      <c r="C112" t="s">
        <v>10</v>
      </c>
      <c r="D112" t="s">
        <v>156</v>
      </c>
      <c r="E112" s="2">
        <v>32683</v>
      </c>
    </row>
    <row r="113" spans="1:5" x14ac:dyDescent="0.25">
      <c r="A113" t="str">
        <f t="shared" si="2"/>
        <v>Capa</v>
      </c>
      <c r="B113" t="s">
        <v>2211</v>
      </c>
      <c r="C113" t="s">
        <v>13</v>
      </c>
      <c r="D113" t="s">
        <v>157</v>
      </c>
      <c r="E113" s="2">
        <v>31714</v>
      </c>
    </row>
    <row r="114" spans="1:5" x14ac:dyDescent="0.25">
      <c r="A114" t="str">
        <f t="shared" si="2"/>
        <v>Capa</v>
      </c>
      <c r="B114" t="s">
        <v>2211</v>
      </c>
      <c r="C114" t="s">
        <v>8</v>
      </c>
      <c r="D114" t="s">
        <v>158</v>
      </c>
      <c r="E114" s="2">
        <v>31714</v>
      </c>
    </row>
    <row r="115" spans="1:5" x14ac:dyDescent="0.25">
      <c r="A115" t="str">
        <f t="shared" si="2"/>
        <v>22-2</v>
      </c>
      <c r="B115" t="s">
        <v>159</v>
      </c>
      <c r="C115" t="s">
        <v>160</v>
      </c>
      <c r="D115" t="s">
        <v>159</v>
      </c>
      <c r="E115" s="2">
        <v>30693</v>
      </c>
    </row>
    <row r="116" spans="1:5" x14ac:dyDescent="0.25">
      <c r="A116" t="str">
        <f t="shared" si="2"/>
        <v>Capa</v>
      </c>
      <c r="B116" t="s">
        <v>2212</v>
      </c>
      <c r="C116" t="s">
        <v>8</v>
      </c>
      <c r="D116" t="s">
        <v>161</v>
      </c>
      <c r="E116" s="2">
        <v>30308</v>
      </c>
    </row>
    <row r="117" spans="1:5" x14ac:dyDescent="0.25">
      <c r="A117" t="str">
        <f t="shared" si="2"/>
        <v>Capa</v>
      </c>
      <c r="B117" t="s">
        <v>2212</v>
      </c>
      <c r="C117" t="s">
        <v>10</v>
      </c>
      <c r="D117" t="s">
        <v>162</v>
      </c>
      <c r="E117" s="2">
        <v>30308</v>
      </c>
    </row>
    <row r="118" spans="1:5" x14ac:dyDescent="0.25">
      <c r="A118" t="str">
        <f t="shared" si="2"/>
        <v xml:space="preserve">RST </v>
      </c>
      <c r="B118" t="s">
        <v>163</v>
      </c>
      <c r="C118" t="s">
        <v>13</v>
      </c>
      <c r="D118" t="s">
        <v>164</v>
      </c>
      <c r="E118" s="2">
        <v>29486</v>
      </c>
    </row>
    <row r="119" spans="1:5" x14ac:dyDescent="0.25">
      <c r="A119" t="str">
        <f t="shared" si="2"/>
        <v xml:space="preserve">RST </v>
      </c>
      <c r="B119" t="s">
        <v>163</v>
      </c>
      <c r="C119" t="s">
        <v>10</v>
      </c>
      <c r="D119" t="s">
        <v>165</v>
      </c>
      <c r="E119" s="2">
        <v>29486</v>
      </c>
    </row>
    <row r="120" spans="1:5" x14ac:dyDescent="0.25">
      <c r="A120" t="str">
        <f t="shared" si="2"/>
        <v>Capa</v>
      </c>
      <c r="B120" t="s">
        <v>2213</v>
      </c>
      <c r="C120" t="s">
        <v>13</v>
      </c>
      <c r="D120" t="s">
        <v>166</v>
      </c>
      <c r="E120" s="2">
        <v>29296</v>
      </c>
    </row>
    <row r="121" spans="1:5" x14ac:dyDescent="0.25">
      <c r="A121" t="str">
        <f t="shared" si="2"/>
        <v>Capa</v>
      </c>
      <c r="B121" t="s">
        <v>2213</v>
      </c>
      <c r="C121" t="s">
        <v>47</v>
      </c>
      <c r="D121" t="s">
        <v>167</v>
      </c>
      <c r="E121" s="2">
        <v>29296</v>
      </c>
    </row>
    <row r="122" spans="1:5" x14ac:dyDescent="0.25">
      <c r="A122" t="str">
        <f t="shared" si="2"/>
        <v>Capa</v>
      </c>
      <c r="B122" t="s">
        <v>2213</v>
      </c>
      <c r="C122" t="s">
        <v>47</v>
      </c>
      <c r="D122" t="s">
        <v>168</v>
      </c>
      <c r="E122" s="2">
        <v>29296</v>
      </c>
    </row>
    <row r="123" spans="1:5" x14ac:dyDescent="0.25">
      <c r="A123" t="str">
        <f t="shared" si="2"/>
        <v>Capa</v>
      </c>
      <c r="B123" t="s">
        <v>2213</v>
      </c>
      <c r="C123" t="s">
        <v>8</v>
      </c>
      <c r="D123" t="s">
        <v>169</v>
      </c>
      <c r="E123" s="2">
        <v>29296</v>
      </c>
    </row>
    <row r="124" spans="1:5" x14ac:dyDescent="0.25">
      <c r="A124" t="str">
        <f t="shared" si="2"/>
        <v>Capa</v>
      </c>
      <c r="B124" t="s">
        <v>2213</v>
      </c>
      <c r="C124" t="s">
        <v>10</v>
      </c>
      <c r="D124" t="s">
        <v>170</v>
      </c>
      <c r="E124" s="2">
        <v>29296</v>
      </c>
    </row>
    <row r="125" spans="1:5" x14ac:dyDescent="0.25">
      <c r="A125" t="str">
        <f t="shared" si="2"/>
        <v xml:space="preserve">LED </v>
      </c>
      <c r="B125" t="s">
        <v>171</v>
      </c>
      <c r="C125" t="s">
        <v>130</v>
      </c>
      <c r="D125" t="s">
        <v>172</v>
      </c>
      <c r="E125" s="2">
        <v>28888</v>
      </c>
    </row>
    <row r="126" spans="1:5" x14ac:dyDescent="0.25">
      <c r="A126" t="str">
        <f t="shared" si="2"/>
        <v xml:space="preserve">RST </v>
      </c>
      <c r="B126" t="s">
        <v>173</v>
      </c>
      <c r="C126" t="s">
        <v>10</v>
      </c>
      <c r="D126" t="s">
        <v>174</v>
      </c>
      <c r="E126" s="2">
        <v>28304</v>
      </c>
    </row>
    <row r="127" spans="1:5" x14ac:dyDescent="0.25">
      <c r="A127" t="str">
        <f t="shared" si="2"/>
        <v xml:space="preserve">RST </v>
      </c>
      <c r="B127" t="s">
        <v>175</v>
      </c>
      <c r="C127" t="s">
        <v>176</v>
      </c>
      <c r="D127" t="s">
        <v>177</v>
      </c>
      <c r="E127" s="2">
        <v>28125</v>
      </c>
    </row>
    <row r="128" spans="1:5" x14ac:dyDescent="0.25">
      <c r="A128" t="str">
        <f t="shared" si="2"/>
        <v xml:space="preserve">RST </v>
      </c>
      <c r="B128" t="s">
        <v>175</v>
      </c>
      <c r="C128" t="s">
        <v>10</v>
      </c>
      <c r="D128" t="s">
        <v>178</v>
      </c>
      <c r="E128" s="2">
        <v>28125</v>
      </c>
    </row>
    <row r="129" spans="1:5" x14ac:dyDescent="0.25">
      <c r="A129" t="str">
        <f t="shared" si="2"/>
        <v xml:space="preserve">RST </v>
      </c>
      <c r="B129" t="s">
        <v>179</v>
      </c>
      <c r="C129" t="s">
        <v>10</v>
      </c>
      <c r="D129" t="s">
        <v>180</v>
      </c>
      <c r="E129" s="2">
        <v>28072</v>
      </c>
    </row>
    <row r="130" spans="1:5" x14ac:dyDescent="0.25">
      <c r="A130" t="str">
        <f t="shared" si="2"/>
        <v>FUSE</v>
      </c>
      <c r="B130" t="s">
        <v>181</v>
      </c>
      <c r="C130" t="s">
        <v>57</v>
      </c>
      <c r="D130" t="s">
        <v>182</v>
      </c>
      <c r="E130" s="2">
        <v>25945</v>
      </c>
    </row>
    <row r="131" spans="1:5" x14ac:dyDescent="0.25">
      <c r="A131" t="str">
        <f t="shared" si="2"/>
        <v xml:space="preserve">IND </v>
      </c>
      <c r="B131" t="s">
        <v>183</v>
      </c>
      <c r="C131" t="s">
        <v>184</v>
      </c>
      <c r="D131" t="s">
        <v>185</v>
      </c>
      <c r="E131" s="2">
        <v>24473</v>
      </c>
    </row>
    <row r="132" spans="1:5" x14ac:dyDescent="0.25">
      <c r="A132" t="str">
        <f t="shared" si="2"/>
        <v xml:space="preserve">IND </v>
      </c>
      <c r="B132" t="s">
        <v>183</v>
      </c>
      <c r="C132" t="s">
        <v>186</v>
      </c>
      <c r="D132" t="s">
        <v>187</v>
      </c>
      <c r="E132" s="2">
        <v>24473</v>
      </c>
    </row>
    <row r="133" spans="1:5" x14ac:dyDescent="0.25">
      <c r="A133" t="str">
        <f t="shared" si="2"/>
        <v>Capa</v>
      </c>
      <c r="B133" t="s">
        <v>2214</v>
      </c>
      <c r="C133" t="s">
        <v>64</v>
      </c>
      <c r="D133" t="s">
        <v>188</v>
      </c>
      <c r="E133" s="2">
        <v>24183</v>
      </c>
    </row>
    <row r="134" spans="1:5" x14ac:dyDescent="0.25">
      <c r="A134" t="str">
        <f t="shared" ref="A134:A197" si="3">LEFT(B134,4)</f>
        <v>Capa</v>
      </c>
      <c r="B134" t="s">
        <v>2214</v>
      </c>
      <c r="C134" t="s">
        <v>10</v>
      </c>
      <c r="D134" t="s">
        <v>189</v>
      </c>
      <c r="E134" s="2">
        <v>24183</v>
      </c>
    </row>
    <row r="135" spans="1:5" x14ac:dyDescent="0.25">
      <c r="A135" t="str">
        <f t="shared" si="3"/>
        <v xml:space="preserve">RST </v>
      </c>
      <c r="B135" t="s">
        <v>190</v>
      </c>
      <c r="C135" t="s">
        <v>13</v>
      </c>
      <c r="D135" t="s">
        <v>191</v>
      </c>
      <c r="E135" s="2">
        <v>23751</v>
      </c>
    </row>
    <row r="136" spans="1:5" x14ac:dyDescent="0.25">
      <c r="A136" t="str">
        <f t="shared" si="3"/>
        <v>Capa</v>
      </c>
      <c r="B136" t="s">
        <v>2215</v>
      </c>
      <c r="C136" t="s">
        <v>13</v>
      </c>
      <c r="D136" t="s">
        <v>192</v>
      </c>
      <c r="E136" s="2">
        <v>22990</v>
      </c>
    </row>
    <row r="137" spans="1:5" x14ac:dyDescent="0.25">
      <c r="A137" t="str">
        <f t="shared" si="3"/>
        <v>Capa</v>
      </c>
      <c r="B137" t="s">
        <v>2215</v>
      </c>
      <c r="C137" t="s">
        <v>47</v>
      </c>
      <c r="D137" t="s">
        <v>193</v>
      </c>
      <c r="E137" s="2">
        <v>22990</v>
      </c>
    </row>
    <row r="138" spans="1:5" x14ac:dyDescent="0.25">
      <c r="A138" t="str">
        <f t="shared" si="3"/>
        <v>Capa</v>
      </c>
      <c r="B138" t="s">
        <v>2216</v>
      </c>
      <c r="C138" t="s">
        <v>13</v>
      </c>
      <c r="D138" t="s">
        <v>194</v>
      </c>
      <c r="E138" s="2">
        <v>22775</v>
      </c>
    </row>
    <row r="139" spans="1:5" x14ac:dyDescent="0.25">
      <c r="A139" t="str">
        <f t="shared" si="3"/>
        <v>Capa</v>
      </c>
      <c r="B139" t="s">
        <v>2216</v>
      </c>
      <c r="C139" t="s">
        <v>10</v>
      </c>
      <c r="D139" t="s">
        <v>195</v>
      </c>
      <c r="E139" s="2">
        <v>22775</v>
      </c>
    </row>
    <row r="140" spans="1:5" x14ac:dyDescent="0.25">
      <c r="A140" t="str">
        <f t="shared" si="3"/>
        <v>Capa</v>
      </c>
      <c r="B140" t="s">
        <v>2216</v>
      </c>
      <c r="C140" t="s">
        <v>10</v>
      </c>
      <c r="D140" t="s">
        <v>196</v>
      </c>
      <c r="E140" s="2">
        <v>22775</v>
      </c>
    </row>
    <row r="141" spans="1:5" x14ac:dyDescent="0.25">
      <c r="A141" t="str">
        <f t="shared" si="3"/>
        <v>Diod</v>
      </c>
      <c r="B141" t="s">
        <v>2408</v>
      </c>
      <c r="C141" t="s">
        <v>2467</v>
      </c>
      <c r="D141" t="s">
        <v>197</v>
      </c>
      <c r="E141" s="2">
        <v>22083</v>
      </c>
    </row>
    <row r="142" spans="1:5" x14ac:dyDescent="0.25">
      <c r="A142" t="str">
        <f t="shared" si="3"/>
        <v>Diod</v>
      </c>
      <c r="B142" t="s">
        <v>2408</v>
      </c>
      <c r="C142" t="s">
        <v>2467</v>
      </c>
      <c r="D142" t="s">
        <v>198</v>
      </c>
      <c r="E142" s="2">
        <v>22083</v>
      </c>
    </row>
    <row r="143" spans="1:5" x14ac:dyDescent="0.25">
      <c r="A143" t="str">
        <f t="shared" si="3"/>
        <v>Diod</v>
      </c>
      <c r="B143" t="s">
        <v>2408</v>
      </c>
      <c r="C143" t="s">
        <v>28</v>
      </c>
      <c r="D143" t="s">
        <v>199</v>
      </c>
      <c r="E143" s="2">
        <v>22083</v>
      </c>
    </row>
    <row r="144" spans="1:5" x14ac:dyDescent="0.25">
      <c r="A144" t="str">
        <f t="shared" si="3"/>
        <v>Diod</v>
      </c>
      <c r="B144" t="s">
        <v>2408</v>
      </c>
      <c r="C144" t="s">
        <v>28</v>
      </c>
      <c r="D144" t="s">
        <v>200</v>
      </c>
      <c r="E144" s="2">
        <v>22083</v>
      </c>
    </row>
    <row r="145" spans="1:5" x14ac:dyDescent="0.25">
      <c r="A145" t="str">
        <f t="shared" si="3"/>
        <v>BUSB</v>
      </c>
      <c r="B145" t="s">
        <v>201</v>
      </c>
      <c r="C145" t="s">
        <v>202</v>
      </c>
      <c r="D145" t="s">
        <v>203</v>
      </c>
      <c r="E145" s="2">
        <v>21790</v>
      </c>
    </row>
    <row r="146" spans="1:5" x14ac:dyDescent="0.25">
      <c r="A146" t="str">
        <f t="shared" si="3"/>
        <v>Capa</v>
      </c>
      <c r="B146" t="s">
        <v>2217</v>
      </c>
      <c r="C146" t="s">
        <v>204</v>
      </c>
      <c r="D146" t="s">
        <v>205</v>
      </c>
      <c r="E146" s="2">
        <v>21459</v>
      </c>
    </row>
    <row r="147" spans="1:5" x14ac:dyDescent="0.25">
      <c r="A147" t="str">
        <f t="shared" si="3"/>
        <v xml:space="preserve">RST </v>
      </c>
      <c r="B147" t="s">
        <v>206</v>
      </c>
      <c r="C147" t="s">
        <v>207</v>
      </c>
      <c r="D147" t="s">
        <v>208</v>
      </c>
      <c r="E147" s="2">
        <v>21103</v>
      </c>
    </row>
    <row r="148" spans="1:5" x14ac:dyDescent="0.25">
      <c r="A148" t="str">
        <f t="shared" si="3"/>
        <v xml:space="preserve">RST </v>
      </c>
      <c r="B148" t="s">
        <v>209</v>
      </c>
      <c r="C148" t="s">
        <v>10</v>
      </c>
      <c r="D148" t="s">
        <v>210</v>
      </c>
      <c r="E148" s="2">
        <v>20892</v>
      </c>
    </row>
    <row r="149" spans="1:5" x14ac:dyDescent="0.25">
      <c r="A149" t="str">
        <f t="shared" si="3"/>
        <v>Capa</v>
      </c>
      <c r="B149" t="s">
        <v>2218</v>
      </c>
      <c r="C149" t="s">
        <v>13</v>
      </c>
      <c r="D149" t="s">
        <v>211</v>
      </c>
      <c r="E149" s="2">
        <v>20797</v>
      </c>
    </row>
    <row r="150" spans="1:5" x14ac:dyDescent="0.25">
      <c r="A150" t="str">
        <f t="shared" si="3"/>
        <v>Capa</v>
      </c>
      <c r="B150" t="s">
        <v>2218</v>
      </c>
      <c r="C150" t="s">
        <v>8</v>
      </c>
      <c r="D150" t="s">
        <v>212</v>
      </c>
      <c r="E150" s="2">
        <v>20797</v>
      </c>
    </row>
    <row r="151" spans="1:5" x14ac:dyDescent="0.25">
      <c r="A151" t="str">
        <f t="shared" si="3"/>
        <v xml:space="preserve">RST </v>
      </c>
      <c r="B151" t="s">
        <v>213</v>
      </c>
      <c r="C151" t="s">
        <v>13</v>
      </c>
      <c r="D151" t="s">
        <v>214</v>
      </c>
      <c r="E151" s="2">
        <v>20778</v>
      </c>
    </row>
    <row r="152" spans="1:5" x14ac:dyDescent="0.25">
      <c r="A152" t="str">
        <f t="shared" si="3"/>
        <v>Diod</v>
      </c>
      <c r="B152" t="s">
        <v>2409</v>
      </c>
      <c r="C152" t="s">
        <v>26</v>
      </c>
      <c r="D152" t="s">
        <v>215</v>
      </c>
      <c r="E152" s="2">
        <v>20777</v>
      </c>
    </row>
    <row r="153" spans="1:5" x14ac:dyDescent="0.25">
      <c r="A153" t="str">
        <f t="shared" si="3"/>
        <v>Diod</v>
      </c>
      <c r="B153" t="s">
        <v>2409</v>
      </c>
      <c r="C153" t="s">
        <v>30</v>
      </c>
      <c r="D153" t="s">
        <v>215</v>
      </c>
      <c r="E153" s="2">
        <v>20777</v>
      </c>
    </row>
    <row r="154" spans="1:5" x14ac:dyDescent="0.25">
      <c r="A154" t="str">
        <f t="shared" si="3"/>
        <v>Capa</v>
      </c>
      <c r="B154" t="s">
        <v>2219</v>
      </c>
      <c r="C154" t="s">
        <v>47</v>
      </c>
      <c r="D154" t="s">
        <v>216</v>
      </c>
      <c r="E154" s="2">
        <v>20401</v>
      </c>
    </row>
    <row r="155" spans="1:5" x14ac:dyDescent="0.25">
      <c r="A155" t="str">
        <f t="shared" si="3"/>
        <v>Capa</v>
      </c>
      <c r="B155" t="s">
        <v>2219</v>
      </c>
      <c r="C155" t="s">
        <v>47</v>
      </c>
      <c r="D155" t="s">
        <v>217</v>
      </c>
      <c r="E155" s="2">
        <v>20401</v>
      </c>
    </row>
    <row r="156" spans="1:5" x14ac:dyDescent="0.25">
      <c r="A156" t="str">
        <f t="shared" si="3"/>
        <v>Capa</v>
      </c>
      <c r="B156" t="s">
        <v>2219</v>
      </c>
      <c r="C156" t="s">
        <v>64</v>
      </c>
      <c r="D156" t="s">
        <v>218</v>
      </c>
      <c r="E156" s="2">
        <v>20401</v>
      </c>
    </row>
    <row r="157" spans="1:5" x14ac:dyDescent="0.25">
      <c r="A157" t="str">
        <f t="shared" si="3"/>
        <v>Diod</v>
      </c>
      <c r="B157" t="s">
        <v>2410</v>
      </c>
      <c r="C157" t="s">
        <v>61</v>
      </c>
      <c r="D157" t="s">
        <v>219</v>
      </c>
      <c r="E157" s="2">
        <v>20236</v>
      </c>
    </row>
    <row r="158" spans="1:5" x14ac:dyDescent="0.25">
      <c r="A158" t="str">
        <f t="shared" si="3"/>
        <v>Diod</v>
      </c>
      <c r="B158" t="s">
        <v>2410</v>
      </c>
      <c r="C158" t="s">
        <v>220</v>
      </c>
      <c r="D158" t="s">
        <v>219</v>
      </c>
      <c r="E158" s="2">
        <v>20236</v>
      </c>
    </row>
    <row r="159" spans="1:5" x14ac:dyDescent="0.25">
      <c r="A159" t="str">
        <f t="shared" si="3"/>
        <v xml:space="preserve">LED </v>
      </c>
      <c r="B159" t="s">
        <v>221</v>
      </c>
      <c r="C159" t="s">
        <v>130</v>
      </c>
      <c r="D159" t="s">
        <v>222</v>
      </c>
      <c r="E159" s="2">
        <v>19879</v>
      </c>
    </row>
    <row r="160" spans="1:5" x14ac:dyDescent="0.25">
      <c r="A160" t="str">
        <f t="shared" si="3"/>
        <v xml:space="preserve">LED </v>
      </c>
      <c r="B160" t="s">
        <v>221</v>
      </c>
      <c r="C160" t="s">
        <v>130</v>
      </c>
      <c r="D160" t="s">
        <v>223</v>
      </c>
      <c r="E160" s="2">
        <v>19879</v>
      </c>
    </row>
    <row r="161" spans="1:5" x14ac:dyDescent="0.25">
      <c r="A161" t="str">
        <f t="shared" si="3"/>
        <v xml:space="preserve">LED </v>
      </c>
      <c r="B161" t="s">
        <v>221</v>
      </c>
      <c r="C161" t="s">
        <v>224</v>
      </c>
      <c r="D161" t="s">
        <v>222</v>
      </c>
      <c r="E161" s="2">
        <v>19879</v>
      </c>
    </row>
    <row r="162" spans="1:5" x14ac:dyDescent="0.25">
      <c r="A162" t="str">
        <f t="shared" si="3"/>
        <v>IC R</v>
      </c>
      <c r="B162" t="s">
        <v>225</v>
      </c>
      <c r="C162" t="s">
        <v>226</v>
      </c>
      <c r="D162" t="s">
        <v>227</v>
      </c>
      <c r="E162" s="2">
        <v>19571</v>
      </c>
    </row>
    <row r="163" spans="1:5" x14ac:dyDescent="0.25">
      <c r="A163" t="str">
        <f t="shared" si="3"/>
        <v>IC R</v>
      </c>
      <c r="B163" t="s">
        <v>225</v>
      </c>
      <c r="C163" t="s">
        <v>228</v>
      </c>
      <c r="D163" t="s">
        <v>227</v>
      </c>
      <c r="E163" s="2">
        <v>19571</v>
      </c>
    </row>
    <row r="164" spans="1:5" x14ac:dyDescent="0.25">
      <c r="A164" t="str">
        <f t="shared" si="3"/>
        <v xml:space="preserve">RST </v>
      </c>
      <c r="B164" t="s">
        <v>229</v>
      </c>
      <c r="C164" t="s">
        <v>10</v>
      </c>
      <c r="D164" t="s">
        <v>230</v>
      </c>
      <c r="E164" s="2">
        <v>19546</v>
      </c>
    </row>
    <row r="165" spans="1:5" x14ac:dyDescent="0.25">
      <c r="A165" t="str">
        <f t="shared" si="3"/>
        <v>IC A</v>
      </c>
      <c r="B165" t="s">
        <v>231</v>
      </c>
      <c r="C165" t="s">
        <v>2467</v>
      </c>
      <c r="D165" t="s">
        <v>232</v>
      </c>
      <c r="E165" s="2">
        <v>19501</v>
      </c>
    </row>
    <row r="166" spans="1:5" x14ac:dyDescent="0.25">
      <c r="A166" t="str">
        <f t="shared" si="3"/>
        <v>IC A</v>
      </c>
      <c r="B166" t="s">
        <v>231</v>
      </c>
      <c r="C166" t="s">
        <v>2467</v>
      </c>
      <c r="D166" t="s">
        <v>233</v>
      </c>
      <c r="E166" s="2">
        <v>19501</v>
      </c>
    </row>
    <row r="167" spans="1:5" x14ac:dyDescent="0.25">
      <c r="A167" t="str">
        <f t="shared" si="3"/>
        <v xml:space="preserve">PIN </v>
      </c>
      <c r="B167" t="s">
        <v>234</v>
      </c>
      <c r="C167" t="s">
        <v>235</v>
      </c>
      <c r="D167" t="s">
        <v>236</v>
      </c>
      <c r="E167" s="2">
        <v>19319</v>
      </c>
    </row>
    <row r="168" spans="1:5" x14ac:dyDescent="0.25">
      <c r="A168" t="str">
        <f t="shared" si="3"/>
        <v xml:space="preserve">PIN </v>
      </c>
      <c r="B168" t="s">
        <v>234</v>
      </c>
      <c r="C168" t="s">
        <v>235</v>
      </c>
      <c r="D168" t="s">
        <v>237</v>
      </c>
      <c r="E168" s="2">
        <v>19319</v>
      </c>
    </row>
    <row r="169" spans="1:5" x14ac:dyDescent="0.25">
      <c r="A169" t="str">
        <f t="shared" si="3"/>
        <v>Capa</v>
      </c>
      <c r="B169" t="s">
        <v>2220</v>
      </c>
      <c r="C169" t="s">
        <v>47</v>
      </c>
      <c r="D169" t="s">
        <v>238</v>
      </c>
      <c r="E169" s="2">
        <v>19090</v>
      </c>
    </row>
    <row r="170" spans="1:5" x14ac:dyDescent="0.25">
      <c r="A170" t="str">
        <f t="shared" si="3"/>
        <v>Capa</v>
      </c>
      <c r="B170" t="s">
        <v>2220</v>
      </c>
      <c r="C170" t="s">
        <v>8</v>
      </c>
      <c r="D170" t="s">
        <v>239</v>
      </c>
      <c r="E170" s="2">
        <v>19090</v>
      </c>
    </row>
    <row r="171" spans="1:5" x14ac:dyDescent="0.25">
      <c r="A171" t="str">
        <f t="shared" si="3"/>
        <v>Capa</v>
      </c>
      <c r="B171" t="s">
        <v>2220</v>
      </c>
      <c r="C171" t="s">
        <v>10</v>
      </c>
      <c r="D171" t="s">
        <v>240</v>
      </c>
      <c r="E171" s="2">
        <v>19090</v>
      </c>
    </row>
    <row r="172" spans="1:5" x14ac:dyDescent="0.25">
      <c r="A172" t="str">
        <f t="shared" si="3"/>
        <v>Capa</v>
      </c>
      <c r="B172" t="s">
        <v>2221</v>
      </c>
      <c r="C172" t="s">
        <v>8</v>
      </c>
      <c r="D172" t="s">
        <v>241</v>
      </c>
      <c r="E172" s="2">
        <v>18974</v>
      </c>
    </row>
    <row r="173" spans="1:5" x14ac:dyDescent="0.25">
      <c r="A173" t="str">
        <f t="shared" si="3"/>
        <v>Capa</v>
      </c>
      <c r="B173" t="s">
        <v>2221</v>
      </c>
      <c r="C173" t="s">
        <v>62</v>
      </c>
      <c r="D173" t="s">
        <v>242</v>
      </c>
      <c r="E173" s="2">
        <v>18974</v>
      </c>
    </row>
    <row r="174" spans="1:5" x14ac:dyDescent="0.25">
      <c r="A174" t="str">
        <f t="shared" si="3"/>
        <v>Capa</v>
      </c>
      <c r="B174" t="s">
        <v>2221</v>
      </c>
      <c r="C174" t="s">
        <v>10</v>
      </c>
      <c r="D174" t="s">
        <v>243</v>
      </c>
      <c r="E174" s="2">
        <v>18974</v>
      </c>
    </row>
    <row r="175" spans="1:5" x14ac:dyDescent="0.25">
      <c r="A175" t="str">
        <f t="shared" si="3"/>
        <v xml:space="preserve">RST </v>
      </c>
      <c r="B175" t="s">
        <v>244</v>
      </c>
      <c r="C175" t="s">
        <v>13</v>
      </c>
      <c r="D175" t="s">
        <v>245</v>
      </c>
      <c r="E175" s="2">
        <v>18715</v>
      </c>
    </row>
    <row r="176" spans="1:5" x14ac:dyDescent="0.25">
      <c r="A176" t="str">
        <f t="shared" si="3"/>
        <v>22-0</v>
      </c>
      <c r="B176" t="s">
        <v>246</v>
      </c>
      <c r="C176" t="s">
        <v>160</v>
      </c>
      <c r="D176" t="s">
        <v>247</v>
      </c>
      <c r="E176" s="2">
        <v>18263</v>
      </c>
    </row>
    <row r="177" spans="1:5" x14ac:dyDescent="0.25">
      <c r="A177" t="str">
        <f t="shared" si="3"/>
        <v>22-0</v>
      </c>
      <c r="B177" t="s">
        <v>246</v>
      </c>
      <c r="C177" t="s">
        <v>160</v>
      </c>
      <c r="D177" t="s">
        <v>246</v>
      </c>
      <c r="E177" s="2">
        <v>18263</v>
      </c>
    </row>
    <row r="178" spans="1:5" x14ac:dyDescent="0.25">
      <c r="A178" t="str">
        <f t="shared" si="3"/>
        <v>22-0</v>
      </c>
      <c r="B178" t="s">
        <v>246</v>
      </c>
      <c r="C178" t="s">
        <v>160</v>
      </c>
      <c r="D178" t="s">
        <v>248</v>
      </c>
      <c r="E178" s="2">
        <v>18263</v>
      </c>
    </row>
    <row r="179" spans="1:5" x14ac:dyDescent="0.25">
      <c r="A179" t="str">
        <f t="shared" si="3"/>
        <v>Capa</v>
      </c>
      <c r="B179" t="s">
        <v>2222</v>
      </c>
      <c r="C179" t="s">
        <v>249</v>
      </c>
      <c r="D179" t="s">
        <v>250</v>
      </c>
      <c r="E179" s="2">
        <v>18030</v>
      </c>
    </row>
    <row r="180" spans="1:5" x14ac:dyDescent="0.25">
      <c r="A180" t="str">
        <f t="shared" si="3"/>
        <v>Capa</v>
      </c>
      <c r="B180" t="s">
        <v>2222</v>
      </c>
      <c r="C180" t="s">
        <v>204</v>
      </c>
      <c r="D180" t="s">
        <v>251</v>
      </c>
      <c r="E180" s="2">
        <v>18030</v>
      </c>
    </row>
    <row r="181" spans="1:5" x14ac:dyDescent="0.25">
      <c r="A181" t="str">
        <f t="shared" si="3"/>
        <v xml:space="preserve">RST </v>
      </c>
      <c r="B181" t="s">
        <v>252</v>
      </c>
      <c r="C181" t="s">
        <v>10</v>
      </c>
      <c r="D181" t="s">
        <v>253</v>
      </c>
      <c r="E181" s="2">
        <v>17584</v>
      </c>
    </row>
    <row r="182" spans="1:5" x14ac:dyDescent="0.25">
      <c r="A182" t="str">
        <f t="shared" si="3"/>
        <v xml:space="preserve">RST </v>
      </c>
      <c r="B182" t="s">
        <v>254</v>
      </c>
      <c r="C182" t="s">
        <v>13</v>
      </c>
      <c r="D182" t="s">
        <v>255</v>
      </c>
      <c r="E182" s="2">
        <v>17399</v>
      </c>
    </row>
    <row r="183" spans="1:5" x14ac:dyDescent="0.25">
      <c r="A183" t="str">
        <f t="shared" si="3"/>
        <v>IC F</v>
      </c>
      <c r="B183" t="s">
        <v>256</v>
      </c>
      <c r="C183" t="s">
        <v>257</v>
      </c>
      <c r="D183" t="s">
        <v>258</v>
      </c>
      <c r="E183" s="2">
        <v>17076</v>
      </c>
    </row>
    <row r="184" spans="1:5" x14ac:dyDescent="0.25">
      <c r="A184" t="str">
        <f t="shared" si="3"/>
        <v>IC F</v>
      </c>
      <c r="B184" t="s">
        <v>256</v>
      </c>
      <c r="C184" t="s">
        <v>28</v>
      </c>
      <c r="D184" t="s">
        <v>258</v>
      </c>
      <c r="E184" s="2">
        <v>17076</v>
      </c>
    </row>
    <row r="185" spans="1:5" x14ac:dyDescent="0.25">
      <c r="A185" t="str">
        <f t="shared" si="3"/>
        <v xml:space="preserve">RST </v>
      </c>
      <c r="B185" t="s">
        <v>259</v>
      </c>
      <c r="C185" t="s">
        <v>13</v>
      </c>
      <c r="D185" t="s">
        <v>260</v>
      </c>
      <c r="E185" s="2">
        <v>17010</v>
      </c>
    </row>
    <row r="186" spans="1:5" x14ac:dyDescent="0.25">
      <c r="A186" t="str">
        <f t="shared" si="3"/>
        <v>Capa</v>
      </c>
      <c r="B186" t="s">
        <v>2223</v>
      </c>
      <c r="C186" t="s">
        <v>176</v>
      </c>
      <c r="D186" t="s">
        <v>261</v>
      </c>
      <c r="E186" s="2">
        <v>16992</v>
      </c>
    </row>
    <row r="187" spans="1:5" x14ac:dyDescent="0.25">
      <c r="A187" t="str">
        <f t="shared" si="3"/>
        <v>Capa</v>
      </c>
      <c r="B187" t="s">
        <v>2223</v>
      </c>
      <c r="C187" t="s">
        <v>37</v>
      </c>
      <c r="D187" t="s">
        <v>262</v>
      </c>
      <c r="E187" s="2">
        <v>16992</v>
      </c>
    </row>
    <row r="188" spans="1:5" x14ac:dyDescent="0.25">
      <c r="A188" t="str">
        <f t="shared" si="3"/>
        <v>Capa</v>
      </c>
      <c r="B188" t="s">
        <v>2223</v>
      </c>
      <c r="C188" t="s">
        <v>249</v>
      </c>
      <c r="D188" t="s">
        <v>263</v>
      </c>
      <c r="E188" s="2">
        <v>16992</v>
      </c>
    </row>
    <row r="189" spans="1:5" x14ac:dyDescent="0.25">
      <c r="A189" t="str">
        <f t="shared" si="3"/>
        <v>Capa</v>
      </c>
      <c r="B189" t="s">
        <v>2223</v>
      </c>
      <c r="C189" t="s">
        <v>204</v>
      </c>
      <c r="D189" t="s">
        <v>264</v>
      </c>
      <c r="E189" s="2">
        <v>16992</v>
      </c>
    </row>
    <row r="190" spans="1:5" x14ac:dyDescent="0.25">
      <c r="A190" t="str">
        <f t="shared" si="3"/>
        <v xml:space="preserve">CTM </v>
      </c>
      <c r="B190" t="s">
        <v>265</v>
      </c>
      <c r="C190" t="s">
        <v>160</v>
      </c>
      <c r="D190" t="s">
        <v>266</v>
      </c>
      <c r="E190" s="2">
        <v>16087</v>
      </c>
    </row>
    <row r="191" spans="1:5" x14ac:dyDescent="0.25">
      <c r="A191" t="str">
        <f t="shared" si="3"/>
        <v xml:space="preserve">RST </v>
      </c>
      <c r="B191" t="s">
        <v>267</v>
      </c>
      <c r="C191" t="s">
        <v>13</v>
      </c>
      <c r="D191" t="s">
        <v>268</v>
      </c>
      <c r="E191" s="2">
        <v>15877</v>
      </c>
    </row>
    <row r="192" spans="1:5" x14ac:dyDescent="0.25">
      <c r="A192" t="str">
        <f t="shared" si="3"/>
        <v>Capa</v>
      </c>
      <c r="B192" t="s">
        <v>2224</v>
      </c>
      <c r="C192" t="s">
        <v>13</v>
      </c>
      <c r="D192" t="s">
        <v>269</v>
      </c>
      <c r="E192" s="2">
        <v>15572</v>
      </c>
    </row>
    <row r="193" spans="1:5" x14ac:dyDescent="0.25">
      <c r="A193" t="str">
        <f t="shared" si="3"/>
        <v>Chok</v>
      </c>
      <c r="B193" t="s">
        <v>2397</v>
      </c>
      <c r="C193" t="s">
        <v>62</v>
      </c>
      <c r="D193" t="s">
        <v>270</v>
      </c>
      <c r="E193" s="2">
        <v>15246</v>
      </c>
    </row>
    <row r="194" spans="1:5" x14ac:dyDescent="0.25">
      <c r="A194" t="str">
        <f t="shared" si="3"/>
        <v xml:space="preserve">RST </v>
      </c>
      <c r="B194" t="s">
        <v>271</v>
      </c>
      <c r="C194" t="s">
        <v>176</v>
      </c>
      <c r="D194" t="s">
        <v>272</v>
      </c>
      <c r="E194" s="2">
        <v>15049</v>
      </c>
    </row>
    <row r="195" spans="1:5" x14ac:dyDescent="0.25">
      <c r="A195" t="str">
        <f t="shared" si="3"/>
        <v xml:space="preserve">RST </v>
      </c>
      <c r="B195" t="s">
        <v>273</v>
      </c>
      <c r="C195" t="s">
        <v>10</v>
      </c>
      <c r="D195" t="s">
        <v>274</v>
      </c>
      <c r="E195" s="2">
        <v>14833</v>
      </c>
    </row>
    <row r="196" spans="1:5" x14ac:dyDescent="0.25">
      <c r="A196" t="str">
        <f t="shared" si="3"/>
        <v>Capa</v>
      </c>
      <c r="B196" t="s">
        <v>2225</v>
      </c>
      <c r="C196" t="s">
        <v>47</v>
      </c>
      <c r="D196" t="s">
        <v>275</v>
      </c>
      <c r="E196" s="2">
        <v>14627</v>
      </c>
    </row>
    <row r="197" spans="1:5" x14ac:dyDescent="0.25">
      <c r="A197" t="str">
        <f t="shared" si="3"/>
        <v>Capa</v>
      </c>
      <c r="B197" t="s">
        <v>2225</v>
      </c>
      <c r="C197" t="s">
        <v>37</v>
      </c>
      <c r="D197" t="s">
        <v>276</v>
      </c>
      <c r="E197" s="2">
        <v>14627</v>
      </c>
    </row>
    <row r="198" spans="1:5" x14ac:dyDescent="0.25">
      <c r="A198" t="str">
        <f t="shared" ref="A198:A261" si="4">LEFT(B198,4)</f>
        <v xml:space="preserve">RST </v>
      </c>
      <c r="B198" t="s">
        <v>277</v>
      </c>
      <c r="C198" t="s">
        <v>13</v>
      </c>
      <c r="D198" t="s">
        <v>278</v>
      </c>
      <c r="E198" s="2">
        <v>14401</v>
      </c>
    </row>
    <row r="199" spans="1:5" x14ac:dyDescent="0.25">
      <c r="A199" t="str">
        <f t="shared" si="4"/>
        <v xml:space="preserve">RST </v>
      </c>
      <c r="B199" t="s">
        <v>277</v>
      </c>
      <c r="C199" t="s">
        <v>13</v>
      </c>
      <c r="D199" t="s">
        <v>279</v>
      </c>
      <c r="E199" s="2">
        <v>14401</v>
      </c>
    </row>
    <row r="200" spans="1:5" x14ac:dyDescent="0.25">
      <c r="A200" t="str">
        <f t="shared" si="4"/>
        <v xml:space="preserve">PIN </v>
      </c>
      <c r="B200" t="s">
        <v>280</v>
      </c>
      <c r="C200" t="s">
        <v>235</v>
      </c>
      <c r="D200" t="s">
        <v>281</v>
      </c>
      <c r="E200" s="2">
        <v>14265</v>
      </c>
    </row>
    <row r="201" spans="1:5" x14ac:dyDescent="0.25">
      <c r="A201" t="str">
        <f t="shared" si="4"/>
        <v xml:space="preserve">RST </v>
      </c>
      <c r="B201" t="s">
        <v>282</v>
      </c>
      <c r="C201" t="s">
        <v>13</v>
      </c>
      <c r="D201" t="s">
        <v>283</v>
      </c>
      <c r="E201" s="2">
        <v>14156</v>
      </c>
    </row>
    <row r="202" spans="1:5" x14ac:dyDescent="0.25">
      <c r="A202" t="str">
        <f t="shared" si="4"/>
        <v xml:space="preserve">RST </v>
      </c>
      <c r="B202" t="s">
        <v>282</v>
      </c>
      <c r="C202" t="s">
        <v>13</v>
      </c>
      <c r="D202" t="s">
        <v>284</v>
      </c>
      <c r="E202" s="2">
        <v>14156</v>
      </c>
    </row>
    <row r="203" spans="1:5" x14ac:dyDescent="0.25">
      <c r="A203" t="str">
        <f t="shared" si="4"/>
        <v xml:space="preserve">RST </v>
      </c>
      <c r="B203" t="s">
        <v>282</v>
      </c>
      <c r="C203" t="s">
        <v>10</v>
      </c>
      <c r="D203" t="s">
        <v>285</v>
      </c>
      <c r="E203" s="2">
        <v>14156</v>
      </c>
    </row>
    <row r="204" spans="1:5" x14ac:dyDescent="0.25">
      <c r="A204" t="str">
        <f t="shared" si="4"/>
        <v xml:space="preserve">RST </v>
      </c>
      <c r="B204" t="s">
        <v>282</v>
      </c>
      <c r="C204" t="s">
        <v>202</v>
      </c>
      <c r="D204" t="s">
        <v>286</v>
      </c>
      <c r="E204" s="2">
        <v>14156</v>
      </c>
    </row>
    <row r="205" spans="1:5" x14ac:dyDescent="0.25">
      <c r="A205" t="str">
        <f t="shared" si="4"/>
        <v xml:space="preserve">VAR </v>
      </c>
      <c r="B205" t="s">
        <v>287</v>
      </c>
      <c r="C205" t="s">
        <v>57</v>
      </c>
      <c r="D205" t="s">
        <v>288</v>
      </c>
      <c r="E205" s="2">
        <v>14131</v>
      </c>
    </row>
    <row r="206" spans="1:5" x14ac:dyDescent="0.25">
      <c r="A206" t="str">
        <f t="shared" si="4"/>
        <v xml:space="preserve">VAR </v>
      </c>
      <c r="B206" t="s">
        <v>287</v>
      </c>
      <c r="C206" t="s">
        <v>57</v>
      </c>
      <c r="D206" t="s">
        <v>289</v>
      </c>
      <c r="E206" s="2">
        <v>14131</v>
      </c>
    </row>
    <row r="207" spans="1:5" x14ac:dyDescent="0.25">
      <c r="A207" t="str">
        <f t="shared" si="4"/>
        <v>Capa</v>
      </c>
      <c r="B207" t="s">
        <v>2226</v>
      </c>
      <c r="C207" t="s">
        <v>290</v>
      </c>
      <c r="D207" t="s">
        <v>291</v>
      </c>
      <c r="E207" s="2">
        <v>14015</v>
      </c>
    </row>
    <row r="208" spans="1:5" x14ac:dyDescent="0.25">
      <c r="A208" t="str">
        <f t="shared" si="4"/>
        <v xml:space="preserve">RST </v>
      </c>
      <c r="B208" t="s">
        <v>292</v>
      </c>
      <c r="C208" t="s">
        <v>13</v>
      </c>
      <c r="D208" t="s">
        <v>293</v>
      </c>
      <c r="E208" s="2">
        <v>13724</v>
      </c>
    </row>
    <row r="209" spans="1:5" x14ac:dyDescent="0.25">
      <c r="A209" t="str">
        <f t="shared" si="4"/>
        <v>Diod</v>
      </c>
      <c r="B209" t="s">
        <v>2411</v>
      </c>
      <c r="C209" t="s">
        <v>26</v>
      </c>
      <c r="D209" t="s">
        <v>294</v>
      </c>
      <c r="E209" s="2">
        <v>13180</v>
      </c>
    </row>
    <row r="210" spans="1:5" x14ac:dyDescent="0.25">
      <c r="A210" t="str">
        <f t="shared" si="4"/>
        <v>Diod</v>
      </c>
      <c r="B210" t="s">
        <v>2411</v>
      </c>
      <c r="C210" t="s">
        <v>28</v>
      </c>
      <c r="D210" t="s">
        <v>295</v>
      </c>
      <c r="E210" s="2">
        <v>13180</v>
      </c>
    </row>
    <row r="211" spans="1:5" x14ac:dyDescent="0.25">
      <c r="A211" t="str">
        <f t="shared" si="4"/>
        <v>Diod</v>
      </c>
      <c r="B211" t="s">
        <v>2411</v>
      </c>
      <c r="C211" t="s">
        <v>61</v>
      </c>
      <c r="D211" t="s">
        <v>296</v>
      </c>
      <c r="E211" s="2">
        <v>13180</v>
      </c>
    </row>
    <row r="212" spans="1:5" x14ac:dyDescent="0.25">
      <c r="A212" t="str">
        <f t="shared" si="4"/>
        <v>Diod</v>
      </c>
      <c r="B212" t="s">
        <v>2411</v>
      </c>
      <c r="C212" t="s">
        <v>297</v>
      </c>
      <c r="D212" t="s">
        <v>295</v>
      </c>
      <c r="E212" s="2">
        <v>13180</v>
      </c>
    </row>
    <row r="213" spans="1:5" x14ac:dyDescent="0.25">
      <c r="A213" t="str">
        <f t="shared" si="4"/>
        <v>Diod</v>
      </c>
      <c r="B213" t="s">
        <v>2411</v>
      </c>
      <c r="C213" t="s">
        <v>297</v>
      </c>
      <c r="D213" t="s">
        <v>298</v>
      </c>
      <c r="E213" s="2">
        <v>13180</v>
      </c>
    </row>
    <row r="214" spans="1:5" x14ac:dyDescent="0.25">
      <c r="A214" t="str">
        <f t="shared" si="4"/>
        <v xml:space="preserve">RST </v>
      </c>
      <c r="B214" t="s">
        <v>299</v>
      </c>
      <c r="C214" t="s">
        <v>13</v>
      </c>
      <c r="D214" t="s">
        <v>300</v>
      </c>
      <c r="E214" s="2">
        <v>12575</v>
      </c>
    </row>
    <row r="215" spans="1:5" x14ac:dyDescent="0.25">
      <c r="A215" t="str">
        <f t="shared" si="4"/>
        <v xml:space="preserve">RST </v>
      </c>
      <c r="B215" t="s">
        <v>299</v>
      </c>
      <c r="C215" t="s">
        <v>10</v>
      </c>
      <c r="D215" t="s">
        <v>301</v>
      </c>
      <c r="E215" s="2">
        <v>12575</v>
      </c>
    </row>
    <row r="216" spans="1:5" x14ac:dyDescent="0.25">
      <c r="A216" t="str">
        <f t="shared" si="4"/>
        <v xml:space="preserve">RST </v>
      </c>
      <c r="B216" t="s">
        <v>302</v>
      </c>
      <c r="C216" t="s">
        <v>5</v>
      </c>
      <c r="D216" t="s">
        <v>303</v>
      </c>
      <c r="E216" s="2">
        <v>12539</v>
      </c>
    </row>
    <row r="217" spans="1:5" x14ac:dyDescent="0.25">
      <c r="A217" t="str">
        <f t="shared" si="4"/>
        <v xml:space="preserve">RST </v>
      </c>
      <c r="B217" t="s">
        <v>302</v>
      </c>
      <c r="C217" t="s">
        <v>5</v>
      </c>
      <c r="D217" t="s">
        <v>304</v>
      </c>
      <c r="E217" s="2">
        <v>12539</v>
      </c>
    </row>
    <row r="218" spans="1:5" x14ac:dyDescent="0.25">
      <c r="A218" t="str">
        <f t="shared" si="4"/>
        <v xml:space="preserve">RST </v>
      </c>
      <c r="B218" t="s">
        <v>305</v>
      </c>
      <c r="C218" t="s">
        <v>13</v>
      </c>
      <c r="D218" t="s">
        <v>306</v>
      </c>
      <c r="E218" s="2">
        <v>12284</v>
      </c>
    </row>
    <row r="219" spans="1:5" x14ac:dyDescent="0.25">
      <c r="A219" t="str">
        <f t="shared" si="4"/>
        <v>Chok</v>
      </c>
      <c r="B219" t="s">
        <v>2398</v>
      </c>
      <c r="C219" t="s">
        <v>184</v>
      </c>
      <c r="D219" t="s">
        <v>307</v>
      </c>
      <c r="E219" s="2">
        <v>12079</v>
      </c>
    </row>
    <row r="220" spans="1:5" x14ac:dyDescent="0.25">
      <c r="A220" t="str">
        <f t="shared" si="4"/>
        <v xml:space="preserve">RST </v>
      </c>
      <c r="B220" t="s">
        <v>308</v>
      </c>
      <c r="C220" t="s">
        <v>13</v>
      </c>
      <c r="D220" t="s">
        <v>309</v>
      </c>
      <c r="E220" s="2">
        <v>11833</v>
      </c>
    </row>
    <row r="221" spans="1:5" x14ac:dyDescent="0.25">
      <c r="A221" t="str">
        <f t="shared" si="4"/>
        <v xml:space="preserve">RST </v>
      </c>
      <c r="B221" t="s">
        <v>308</v>
      </c>
      <c r="C221" t="s">
        <v>13</v>
      </c>
      <c r="D221" t="s">
        <v>310</v>
      </c>
      <c r="E221" s="2">
        <v>11833</v>
      </c>
    </row>
    <row r="222" spans="1:5" x14ac:dyDescent="0.25">
      <c r="A222" t="str">
        <f t="shared" si="4"/>
        <v xml:space="preserve">RST </v>
      </c>
      <c r="B222" t="s">
        <v>308</v>
      </c>
      <c r="C222" t="s">
        <v>10</v>
      </c>
      <c r="D222" t="s">
        <v>311</v>
      </c>
      <c r="E222" s="2">
        <v>11833</v>
      </c>
    </row>
    <row r="223" spans="1:5" x14ac:dyDescent="0.25">
      <c r="A223" t="str">
        <f t="shared" si="4"/>
        <v xml:space="preserve">RST </v>
      </c>
      <c r="B223" t="s">
        <v>312</v>
      </c>
      <c r="C223" t="s">
        <v>10</v>
      </c>
      <c r="D223" t="s">
        <v>313</v>
      </c>
      <c r="E223" s="2">
        <v>11789</v>
      </c>
    </row>
    <row r="224" spans="1:5" x14ac:dyDescent="0.25">
      <c r="A224" t="str">
        <f t="shared" si="4"/>
        <v>Capa</v>
      </c>
      <c r="B224" t="s">
        <v>2227</v>
      </c>
      <c r="C224" t="s">
        <v>45</v>
      </c>
      <c r="D224" t="s">
        <v>314</v>
      </c>
      <c r="E224" s="2">
        <v>11696</v>
      </c>
    </row>
    <row r="225" spans="1:5" x14ac:dyDescent="0.25">
      <c r="A225" t="str">
        <f t="shared" si="4"/>
        <v>Capa</v>
      </c>
      <c r="B225" t="s">
        <v>2227</v>
      </c>
      <c r="C225" t="s">
        <v>47</v>
      </c>
      <c r="D225" t="s">
        <v>315</v>
      </c>
      <c r="E225" s="2">
        <v>11696</v>
      </c>
    </row>
    <row r="226" spans="1:5" x14ac:dyDescent="0.25">
      <c r="A226" t="str">
        <f t="shared" si="4"/>
        <v>Capa</v>
      </c>
      <c r="B226" t="s">
        <v>2227</v>
      </c>
      <c r="C226" t="s">
        <v>37</v>
      </c>
      <c r="D226" t="s">
        <v>316</v>
      </c>
      <c r="E226" s="2">
        <v>11696</v>
      </c>
    </row>
    <row r="227" spans="1:5" x14ac:dyDescent="0.25">
      <c r="A227" t="str">
        <f t="shared" si="4"/>
        <v xml:space="preserve">RST </v>
      </c>
      <c r="B227" t="s">
        <v>317</v>
      </c>
      <c r="C227" t="s">
        <v>13</v>
      </c>
      <c r="D227" t="s">
        <v>318</v>
      </c>
      <c r="E227" s="2">
        <v>11664</v>
      </c>
    </row>
    <row r="228" spans="1:5" x14ac:dyDescent="0.25">
      <c r="A228" t="str">
        <f t="shared" si="4"/>
        <v xml:space="preserve">RST </v>
      </c>
      <c r="B228" t="s">
        <v>317</v>
      </c>
      <c r="C228" t="s">
        <v>5</v>
      </c>
      <c r="D228" t="s">
        <v>319</v>
      </c>
      <c r="E228" s="2">
        <v>11664</v>
      </c>
    </row>
    <row r="229" spans="1:5" x14ac:dyDescent="0.25">
      <c r="A229" t="str">
        <f t="shared" si="4"/>
        <v xml:space="preserve">RST </v>
      </c>
      <c r="B229" t="s">
        <v>317</v>
      </c>
      <c r="C229" t="s">
        <v>320</v>
      </c>
      <c r="D229" t="s">
        <v>321</v>
      </c>
      <c r="E229" s="2">
        <v>11664</v>
      </c>
    </row>
    <row r="230" spans="1:5" x14ac:dyDescent="0.25">
      <c r="A230" t="str">
        <f t="shared" si="4"/>
        <v xml:space="preserve">RST </v>
      </c>
      <c r="B230" t="s">
        <v>317</v>
      </c>
      <c r="C230" t="s">
        <v>207</v>
      </c>
      <c r="D230" t="s">
        <v>322</v>
      </c>
      <c r="E230" s="2">
        <v>11664</v>
      </c>
    </row>
    <row r="231" spans="1:5" x14ac:dyDescent="0.25">
      <c r="A231" t="str">
        <f t="shared" si="4"/>
        <v xml:space="preserve">RST </v>
      </c>
      <c r="B231" t="s">
        <v>323</v>
      </c>
      <c r="C231" t="s">
        <v>13</v>
      </c>
      <c r="D231" t="s">
        <v>324</v>
      </c>
      <c r="E231" s="2">
        <v>11648</v>
      </c>
    </row>
    <row r="232" spans="1:5" x14ac:dyDescent="0.25">
      <c r="A232" t="str">
        <f t="shared" si="4"/>
        <v xml:space="preserve">RST </v>
      </c>
      <c r="B232" t="s">
        <v>325</v>
      </c>
      <c r="C232" t="s">
        <v>13</v>
      </c>
      <c r="D232" t="s">
        <v>326</v>
      </c>
      <c r="E232" s="2">
        <v>11594</v>
      </c>
    </row>
    <row r="233" spans="1:5" x14ac:dyDescent="0.25">
      <c r="A233" t="str">
        <f t="shared" si="4"/>
        <v>Diod</v>
      </c>
      <c r="B233" t="s">
        <v>2412</v>
      </c>
      <c r="C233" t="s">
        <v>37</v>
      </c>
      <c r="D233" t="s">
        <v>327</v>
      </c>
      <c r="E233" s="2">
        <v>11560</v>
      </c>
    </row>
    <row r="234" spans="1:5" x14ac:dyDescent="0.25">
      <c r="A234" t="str">
        <f t="shared" si="4"/>
        <v>Diod</v>
      </c>
      <c r="B234" t="s">
        <v>2412</v>
      </c>
      <c r="C234" t="s">
        <v>328</v>
      </c>
      <c r="D234" t="s">
        <v>329</v>
      </c>
      <c r="E234" s="2">
        <v>11560</v>
      </c>
    </row>
    <row r="235" spans="1:5" x14ac:dyDescent="0.25">
      <c r="A235" t="str">
        <f t="shared" si="4"/>
        <v>Capa</v>
      </c>
      <c r="B235" t="s">
        <v>2228</v>
      </c>
      <c r="C235" t="s">
        <v>13</v>
      </c>
      <c r="D235" t="s">
        <v>330</v>
      </c>
      <c r="E235" s="2">
        <v>11532</v>
      </c>
    </row>
    <row r="236" spans="1:5" x14ac:dyDescent="0.25">
      <c r="A236" t="str">
        <f t="shared" si="4"/>
        <v>Capa</v>
      </c>
      <c r="B236" t="s">
        <v>2228</v>
      </c>
      <c r="C236" t="s">
        <v>47</v>
      </c>
      <c r="D236" t="s">
        <v>331</v>
      </c>
      <c r="E236" s="2">
        <v>11532</v>
      </c>
    </row>
    <row r="237" spans="1:5" x14ac:dyDescent="0.25">
      <c r="A237" t="str">
        <f t="shared" si="4"/>
        <v>Capa</v>
      </c>
      <c r="B237" t="s">
        <v>2228</v>
      </c>
      <c r="C237" t="s">
        <v>49</v>
      </c>
      <c r="D237" t="s">
        <v>332</v>
      </c>
      <c r="E237" s="2">
        <v>11532</v>
      </c>
    </row>
    <row r="238" spans="1:5" x14ac:dyDescent="0.25">
      <c r="A238" t="str">
        <f t="shared" si="4"/>
        <v>Capa</v>
      </c>
      <c r="B238" t="s">
        <v>2229</v>
      </c>
      <c r="C238" t="s">
        <v>249</v>
      </c>
      <c r="D238" t="s">
        <v>333</v>
      </c>
      <c r="E238" s="2">
        <v>11178</v>
      </c>
    </row>
    <row r="239" spans="1:5" x14ac:dyDescent="0.25">
      <c r="A239" t="str">
        <f t="shared" si="4"/>
        <v xml:space="preserve">RST </v>
      </c>
      <c r="B239" t="s">
        <v>334</v>
      </c>
      <c r="C239" t="s">
        <v>320</v>
      </c>
      <c r="D239" t="s">
        <v>335</v>
      </c>
      <c r="E239" s="2">
        <v>11052</v>
      </c>
    </row>
    <row r="240" spans="1:5" x14ac:dyDescent="0.25">
      <c r="A240" t="str">
        <f t="shared" si="4"/>
        <v xml:space="preserve">RST </v>
      </c>
      <c r="B240" t="s">
        <v>334</v>
      </c>
      <c r="C240" t="s">
        <v>320</v>
      </c>
      <c r="D240" t="s">
        <v>336</v>
      </c>
      <c r="E240" s="2">
        <v>11052</v>
      </c>
    </row>
    <row r="241" spans="1:5" x14ac:dyDescent="0.25">
      <c r="A241" t="str">
        <f t="shared" si="4"/>
        <v xml:space="preserve">RST </v>
      </c>
      <c r="B241" t="s">
        <v>334</v>
      </c>
      <c r="C241" t="s">
        <v>10</v>
      </c>
      <c r="D241" t="s">
        <v>337</v>
      </c>
      <c r="E241" s="2">
        <v>11052</v>
      </c>
    </row>
    <row r="242" spans="1:5" x14ac:dyDescent="0.25">
      <c r="A242" t="str">
        <f t="shared" si="4"/>
        <v>Capa</v>
      </c>
      <c r="B242" t="s">
        <v>2230</v>
      </c>
      <c r="C242" t="s">
        <v>37</v>
      </c>
      <c r="D242" t="s">
        <v>338</v>
      </c>
      <c r="E242" s="2">
        <v>11046</v>
      </c>
    </row>
    <row r="243" spans="1:5" x14ac:dyDescent="0.25">
      <c r="A243" t="str">
        <f t="shared" si="4"/>
        <v>Capa</v>
      </c>
      <c r="B243" t="s">
        <v>2230</v>
      </c>
      <c r="C243" t="s">
        <v>64</v>
      </c>
      <c r="D243" t="s">
        <v>339</v>
      </c>
      <c r="E243" s="2">
        <v>11046</v>
      </c>
    </row>
    <row r="244" spans="1:5" x14ac:dyDescent="0.25">
      <c r="A244" t="str">
        <f t="shared" si="4"/>
        <v>Capa</v>
      </c>
      <c r="B244" t="s">
        <v>2230</v>
      </c>
      <c r="C244" t="s">
        <v>340</v>
      </c>
      <c r="D244" t="s">
        <v>341</v>
      </c>
      <c r="E244" s="2">
        <v>11046</v>
      </c>
    </row>
    <row r="245" spans="1:5" x14ac:dyDescent="0.25">
      <c r="A245" t="str">
        <f t="shared" si="4"/>
        <v>ANTE</v>
      </c>
      <c r="B245" t="s">
        <v>342</v>
      </c>
      <c r="C245" t="s">
        <v>343</v>
      </c>
      <c r="D245" t="s">
        <v>344</v>
      </c>
      <c r="E245" s="2">
        <v>11028</v>
      </c>
    </row>
    <row r="246" spans="1:5" x14ac:dyDescent="0.25">
      <c r="A246" t="str">
        <f t="shared" si="4"/>
        <v>FUSE</v>
      </c>
      <c r="B246" t="s">
        <v>345</v>
      </c>
      <c r="C246" t="s">
        <v>57</v>
      </c>
      <c r="D246" t="s">
        <v>346</v>
      </c>
      <c r="E246" s="2">
        <v>10916</v>
      </c>
    </row>
    <row r="247" spans="1:5" x14ac:dyDescent="0.25">
      <c r="A247" t="str">
        <f t="shared" si="4"/>
        <v>Capa</v>
      </c>
      <c r="B247" t="s">
        <v>2231</v>
      </c>
      <c r="C247" t="s">
        <v>8</v>
      </c>
      <c r="D247" t="s">
        <v>347</v>
      </c>
      <c r="E247" s="2">
        <v>10735</v>
      </c>
    </row>
    <row r="248" spans="1:5" x14ac:dyDescent="0.25">
      <c r="A248" t="str">
        <f t="shared" si="4"/>
        <v>Capa</v>
      </c>
      <c r="B248" t="s">
        <v>2232</v>
      </c>
      <c r="C248" t="s">
        <v>8</v>
      </c>
      <c r="D248" t="s">
        <v>348</v>
      </c>
      <c r="E248" s="2">
        <v>10720</v>
      </c>
    </row>
    <row r="249" spans="1:5" x14ac:dyDescent="0.25">
      <c r="A249" t="str">
        <f t="shared" si="4"/>
        <v xml:space="preserve">RST </v>
      </c>
      <c r="B249" t="s">
        <v>349</v>
      </c>
      <c r="C249" t="s">
        <v>320</v>
      </c>
      <c r="D249" t="s">
        <v>350</v>
      </c>
      <c r="E249" s="2">
        <v>10682</v>
      </c>
    </row>
    <row r="250" spans="1:5" x14ac:dyDescent="0.25">
      <c r="A250" t="str">
        <f t="shared" si="4"/>
        <v xml:space="preserve">RST </v>
      </c>
      <c r="B250" t="s">
        <v>349</v>
      </c>
      <c r="C250" t="s">
        <v>320</v>
      </c>
      <c r="D250" t="s">
        <v>351</v>
      </c>
      <c r="E250" s="2">
        <v>10682</v>
      </c>
    </row>
    <row r="251" spans="1:5" x14ac:dyDescent="0.25">
      <c r="A251" t="str">
        <f t="shared" si="4"/>
        <v xml:space="preserve">LED </v>
      </c>
      <c r="B251" t="s">
        <v>352</v>
      </c>
      <c r="C251" t="s">
        <v>130</v>
      </c>
      <c r="D251" t="s">
        <v>353</v>
      </c>
      <c r="E251" s="2">
        <v>10461</v>
      </c>
    </row>
    <row r="252" spans="1:5" x14ac:dyDescent="0.25">
      <c r="A252" t="str">
        <f t="shared" si="4"/>
        <v xml:space="preserve">RST </v>
      </c>
      <c r="B252" t="s">
        <v>354</v>
      </c>
      <c r="C252" t="s">
        <v>89</v>
      </c>
      <c r="D252" t="s">
        <v>355</v>
      </c>
      <c r="E252" s="2">
        <v>10445</v>
      </c>
    </row>
    <row r="253" spans="1:5" x14ac:dyDescent="0.25">
      <c r="A253" t="str">
        <f t="shared" si="4"/>
        <v>Chok</v>
      </c>
      <c r="B253" t="s">
        <v>2399</v>
      </c>
      <c r="C253" t="s">
        <v>356</v>
      </c>
      <c r="D253" t="s">
        <v>357</v>
      </c>
      <c r="E253" s="2">
        <v>10396</v>
      </c>
    </row>
    <row r="254" spans="1:5" x14ac:dyDescent="0.25">
      <c r="A254" t="str">
        <f t="shared" si="4"/>
        <v xml:space="preserve">RST </v>
      </c>
      <c r="B254" t="s">
        <v>358</v>
      </c>
      <c r="C254" t="s">
        <v>176</v>
      </c>
      <c r="D254" t="s">
        <v>359</v>
      </c>
      <c r="E254" s="2">
        <v>10387</v>
      </c>
    </row>
    <row r="255" spans="1:5" x14ac:dyDescent="0.25">
      <c r="A255" t="str">
        <f t="shared" si="4"/>
        <v xml:space="preserve">RST </v>
      </c>
      <c r="B255" t="s">
        <v>358</v>
      </c>
      <c r="C255" t="s">
        <v>10</v>
      </c>
      <c r="D255" t="s">
        <v>360</v>
      </c>
      <c r="E255" s="2">
        <v>10387</v>
      </c>
    </row>
    <row r="256" spans="1:5" x14ac:dyDescent="0.25">
      <c r="A256" t="str">
        <f t="shared" si="4"/>
        <v xml:space="preserve">RST </v>
      </c>
      <c r="B256" t="s">
        <v>361</v>
      </c>
      <c r="C256" t="s">
        <v>13</v>
      </c>
      <c r="D256" t="s">
        <v>362</v>
      </c>
      <c r="E256" s="2">
        <v>10385</v>
      </c>
    </row>
    <row r="257" spans="1:5" x14ac:dyDescent="0.25">
      <c r="A257" t="str">
        <f t="shared" si="4"/>
        <v xml:space="preserve">LED </v>
      </c>
      <c r="B257" t="s">
        <v>363</v>
      </c>
      <c r="C257" t="s">
        <v>37</v>
      </c>
      <c r="D257" t="s">
        <v>364</v>
      </c>
      <c r="E257" s="2">
        <v>10384</v>
      </c>
    </row>
    <row r="258" spans="1:5" x14ac:dyDescent="0.25">
      <c r="A258" t="str">
        <f t="shared" si="4"/>
        <v xml:space="preserve">LED </v>
      </c>
      <c r="B258" t="s">
        <v>363</v>
      </c>
      <c r="C258" t="s">
        <v>110</v>
      </c>
      <c r="D258" t="s">
        <v>365</v>
      </c>
      <c r="E258" s="2">
        <v>10384</v>
      </c>
    </row>
    <row r="259" spans="1:5" x14ac:dyDescent="0.25">
      <c r="A259" t="str">
        <f t="shared" si="4"/>
        <v xml:space="preserve">RST </v>
      </c>
      <c r="B259" t="s">
        <v>366</v>
      </c>
      <c r="C259" t="s">
        <v>176</v>
      </c>
      <c r="D259" t="s">
        <v>367</v>
      </c>
      <c r="E259" s="2">
        <v>10292</v>
      </c>
    </row>
    <row r="260" spans="1:5" x14ac:dyDescent="0.25">
      <c r="A260" t="str">
        <f t="shared" si="4"/>
        <v xml:space="preserve">RST </v>
      </c>
      <c r="B260" t="s">
        <v>366</v>
      </c>
      <c r="C260" t="s">
        <v>13</v>
      </c>
      <c r="D260" t="s">
        <v>368</v>
      </c>
      <c r="E260" s="2">
        <v>10292</v>
      </c>
    </row>
    <row r="261" spans="1:5" x14ac:dyDescent="0.25">
      <c r="A261" t="str">
        <f t="shared" si="4"/>
        <v xml:space="preserve">RST </v>
      </c>
      <c r="B261" t="s">
        <v>366</v>
      </c>
      <c r="C261" t="s">
        <v>5</v>
      </c>
      <c r="D261" t="s">
        <v>369</v>
      </c>
      <c r="E261" s="2">
        <v>10292</v>
      </c>
    </row>
    <row r="262" spans="1:5" x14ac:dyDescent="0.25">
      <c r="A262" t="str">
        <f t="shared" ref="A262:A325" si="5">LEFT(B262,4)</f>
        <v xml:space="preserve">RST </v>
      </c>
      <c r="B262" t="s">
        <v>366</v>
      </c>
      <c r="C262" t="s">
        <v>320</v>
      </c>
      <c r="D262" t="s">
        <v>370</v>
      </c>
      <c r="E262" s="2">
        <v>10292</v>
      </c>
    </row>
    <row r="263" spans="1:5" x14ac:dyDescent="0.25">
      <c r="A263" t="str">
        <f t="shared" si="5"/>
        <v xml:space="preserve">RST </v>
      </c>
      <c r="B263" t="s">
        <v>371</v>
      </c>
      <c r="C263" t="s">
        <v>37</v>
      </c>
      <c r="D263" t="s">
        <v>372</v>
      </c>
      <c r="E263" s="2">
        <v>10187</v>
      </c>
    </row>
    <row r="264" spans="1:5" x14ac:dyDescent="0.25">
      <c r="A264" t="str">
        <f t="shared" si="5"/>
        <v xml:space="preserve">RST </v>
      </c>
      <c r="B264" t="s">
        <v>371</v>
      </c>
      <c r="C264" t="s">
        <v>5</v>
      </c>
      <c r="D264" t="s">
        <v>373</v>
      </c>
      <c r="E264" s="2">
        <v>10187</v>
      </c>
    </row>
    <row r="265" spans="1:5" x14ac:dyDescent="0.25">
      <c r="A265" t="str">
        <f t="shared" si="5"/>
        <v xml:space="preserve">RST </v>
      </c>
      <c r="B265" t="s">
        <v>371</v>
      </c>
      <c r="C265" t="s">
        <v>5</v>
      </c>
      <c r="D265" t="s">
        <v>374</v>
      </c>
      <c r="E265" s="2">
        <v>10187</v>
      </c>
    </row>
    <row r="266" spans="1:5" x14ac:dyDescent="0.25">
      <c r="A266" t="str">
        <f t="shared" si="5"/>
        <v xml:space="preserve">RST </v>
      </c>
      <c r="B266" t="s">
        <v>371</v>
      </c>
      <c r="C266" t="s">
        <v>320</v>
      </c>
      <c r="D266" t="s">
        <v>375</v>
      </c>
      <c r="E266" s="2">
        <v>10187</v>
      </c>
    </row>
    <row r="267" spans="1:5" x14ac:dyDescent="0.25">
      <c r="A267" t="str">
        <f t="shared" si="5"/>
        <v xml:space="preserve">RST </v>
      </c>
      <c r="B267" t="s">
        <v>371</v>
      </c>
      <c r="C267" t="s">
        <v>89</v>
      </c>
      <c r="D267" t="s">
        <v>376</v>
      </c>
      <c r="E267" s="2">
        <v>10187</v>
      </c>
    </row>
    <row r="268" spans="1:5" x14ac:dyDescent="0.25">
      <c r="A268" t="str">
        <f t="shared" si="5"/>
        <v xml:space="preserve">RST </v>
      </c>
      <c r="B268" t="s">
        <v>371</v>
      </c>
      <c r="C268" t="s">
        <v>89</v>
      </c>
      <c r="D268" t="s">
        <v>377</v>
      </c>
      <c r="E268" s="2">
        <v>10187</v>
      </c>
    </row>
    <row r="269" spans="1:5" x14ac:dyDescent="0.25">
      <c r="A269" t="str">
        <f t="shared" si="5"/>
        <v xml:space="preserve">BAT </v>
      </c>
      <c r="B269" t="s">
        <v>378</v>
      </c>
      <c r="C269" t="s">
        <v>379</v>
      </c>
      <c r="D269" t="s">
        <v>380</v>
      </c>
      <c r="E269" s="2">
        <v>10102</v>
      </c>
    </row>
    <row r="270" spans="1:5" x14ac:dyDescent="0.25">
      <c r="A270" t="str">
        <f t="shared" si="5"/>
        <v xml:space="preserve">RST </v>
      </c>
      <c r="B270" t="s">
        <v>381</v>
      </c>
      <c r="C270" t="s">
        <v>13</v>
      </c>
      <c r="D270" t="s">
        <v>382</v>
      </c>
      <c r="E270" s="2">
        <v>9982</v>
      </c>
    </row>
    <row r="271" spans="1:5" x14ac:dyDescent="0.25">
      <c r="A271" t="str">
        <f t="shared" si="5"/>
        <v xml:space="preserve">SCR </v>
      </c>
      <c r="B271" t="s">
        <v>383</v>
      </c>
      <c r="C271" t="s">
        <v>384</v>
      </c>
      <c r="D271" t="s">
        <v>385</v>
      </c>
      <c r="E271" s="2">
        <v>9942</v>
      </c>
    </row>
    <row r="272" spans="1:5" x14ac:dyDescent="0.25">
      <c r="A272" t="str">
        <f t="shared" si="5"/>
        <v xml:space="preserve">SCR </v>
      </c>
      <c r="B272" t="s">
        <v>383</v>
      </c>
      <c r="C272" t="s">
        <v>384</v>
      </c>
      <c r="D272" t="s">
        <v>386</v>
      </c>
      <c r="E272" s="2">
        <v>9942</v>
      </c>
    </row>
    <row r="273" spans="1:5" x14ac:dyDescent="0.25">
      <c r="A273" t="str">
        <f t="shared" si="5"/>
        <v>Capa</v>
      </c>
      <c r="B273" t="s">
        <v>2233</v>
      </c>
      <c r="C273" t="s">
        <v>13</v>
      </c>
      <c r="D273" t="s">
        <v>387</v>
      </c>
      <c r="E273" s="2">
        <v>9936</v>
      </c>
    </row>
    <row r="274" spans="1:5" x14ac:dyDescent="0.25">
      <c r="A274" t="str">
        <f t="shared" si="5"/>
        <v>Diod</v>
      </c>
      <c r="B274" t="s">
        <v>2413</v>
      </c>
      <c r="C274" t="s">
        <v>61</v>
      </c>
      <c r="D274" t="s">
        <v>388</v>
      </c>
      <c r="E274" s="2">
        <v>9899</v>
      </c>
    </row>
    <row r="275" spans="1:5" x14ac:dyDescent="0.25">
      <c r="A275" t="str">
        <f t="shared" si="5"/>
        <v>Capa</v>
      </c>
      <c r="B275" t="s">
        <v>2234</v>
      </c>
      <c r="C275" t="s">
        <v>49</v>
      </c>
      <c r="D275" t="s">
        <v>389</v>
      </c>
      <c r="E275" s="2">
        <v>9872</v>
      </c>
    </row>
    <row r="276" spans="1:5" x14ac:dyDescent="0.25">
      <c r="A276" t="str">
        <f t="shared" si="5"/>
        <v>ICMD</v>
      </c>
      <c r="B276" t="s">
        <v>2385</v>
      </c>
      <c r="C276" t="s">
        <v>149</v>
      </c>
      <c r="D276" t="s">
        <v>390</v>
      </c>
      <c r="E276" s="2">
        <v>9848</v>
      </c>
    </row>
    <row r="277" spans="1:5" x14ac:dyDescent="0.25">
      <c r="A277" t="str">
        <f t="shared" si="5"/>
        <v>ICMD</v>
      </c>
      <c r="B277" t="s">
        <v>2385</v>
      </c>
      <c r="C277" t="s">
        <v>149</v>
      </c>
      <c r="D277" t="s">
        <v>391</v>
      </c>
      <c r="E277" s="2">
        <v>9848</v>
      </c>
    </row>
    <row r="278" spans="1:5" x14ac:dyDescent="0.25">
      <c r="A278" t="str">
        <f t="shared" si="5"/>
        <v>ICMD</v>
      </c>
      <c r="B278" t="s">
        <v>2385</v>
      </c>
      <c r="C278" t="s">
        <v>28</v>
      </c>
      <c r="D278" t="s">
        <v>392</v>
      </c>
      <c r="E278" s="2">
        <v>9848</v>
      </c>
    </row>
    <row r="279" spans="1:5" x14ac:dyDescent="0.25">
      <c r="A279" t="str">
        <f t="shared" si="5"/>
        <v xml:space="preserve">VAR </v>
      </c>
      <c r="B279" t="s">
        <v>393</v>
      </c>
      <c r="C279" t="s">
        <v>45</v>
      </c>
      <c r="D279" t="s">
        <v>394</v>
      </c>
      <c r="E279" s="2">
        <v>9775</v>
      </c>
    </row>
    <row r="280" spans="1:5" x14ac:dyDescent="0.25">
      <c r="A280" t="str">
        <f t="shared" si="5"/>
        <v xml:space="preserve">VAR </v>
      </c>
      <c r="B280" t="s">
        <v>393</v>
      </c>
      <c r="C280" t="s">
        <v>45</v>
      </c>
      <c r="D280" t="s">
        <v>395</v>
      </c>
      <c r="E280" s="2">
        <v>9775</v>
      </c>
    </row>
    <row r="281" spans="1:5" x14ac:dyDescent="0.25">
      <c r="A281" t="str">
        <f t="shared" si="5"/>
        <v xml:space="preserve">VAR </v>
      </c>
      <c r="B281" t="s">
        <v>393</v>
      </c>
      <c r="C281" t="s">
        <v>45</v>
      </c>
      <c r="D281" t="s">
        <v>396</v>
      </c>
      <c r="E281" s="2">
        <v>9775</v>
      </c>
    </row>
    <row r="282" spans="1:5" x14ac:dyDescent="0.25">
      <c r="A282" t="str">
        <f t="shared" si="5"/>
        <v>Capa</v>
      </c>
      <c r="B282" t="s">
        <v>2235</v>
      </c>
      <c r="C282" t="s">
        <v>47</v>
      </c>
      <c r="D282" t="s">
        <v>397</v>
      </c>
      <c r="E282" s="2">
        <v>9765</v>
      </c>
    </row>
    <row r="283" spans="1:5" x14ac:dyDescent="0.25">
      <c r="A283" t="str">
        <f t="shared" si="5"/>
        <v>Capa</v>
      </c>
      <c r="B283" t="s">
        <v>2235</v>
      </c>
      <c r="C283" t="s">
        <v>47</v>
      </c>
      <c r="D283" t="s">
        <v>398</v>
      </c>
      <c r="E283" s="2">
        <v>9765</v>
      </c>
    </row>
    <row r="284" spans="1:5" x14ac:dyDescent="0.25">
      <c r="A284" t="str">
        <f t="shared" si="5"/>
        <v xml:space="preserve">RST </v>
      </c>
      <c r="B284" t="s">
        <v>399</v>
      </c>
      <c r="C284" t="s">
        <v>13</v>
      </c>
      <c r="D284" t="s">
        <v>400</v>
      </c>
      <c r="E284" s="2">
        <v>9718</v>
      </c>
    </row>
    <row r="285" spans="1:5" x14ac:dyDescent="0.25">
      <c r="A285" t="str">
        <f t="shared" si="5"/>
        <v>TRAN</v>
      </c>
      <c r="B285" t="s">
        <v>401</v>
      </c>
      <c r="C285" t="s">
        <v>28</v>
      </c>
      <c r="D285" t="s">
        <v>402</v>
      </c>
      <c r="E285" s="2">
        <v>9709</v>
      </c>
    </row>
    <row r="286" spans="1:5" x14ac:dyDescent="0.25">
      <c r="A286" t="str">
        <f t="shared" si="5"/>
        <v xml:space="preserve">RST </v>
      </c>
      <c r="B286" t="s">
        <v>403</v>
      </c>
      <c r="C286" t="s">
        <v>13</v>
      </c>
      <c r="D286" t="s">
        <v>404</v>
      </c>
      <c r="E286" s="2">
        <v>9647</v>
      </c>
    </row>
    <row r="287" spans="1:5" x14ac:dyDescent="0.25">
      <c r="A287" t="str">
        <f t="shared" si="5"/>
        <v xml:space="preserve">RST </v>
      </c>
      <c r="B287" t="s">
        <v>403</v>
      </c>
      <c r="C287" t="s">
        <v>5</v>
      </c>
      <c r="D287" t="s">
        <v>405</v>
      </c>
      <c r="E287" s="2">
        <v>9647</v>
      </c>
    </row>
    <row r="288" spans="1:5" x14ac:dyDescent="0.25">
      <c r="A288" t="str">
        <f t="shared" si="5"/>
        <v xml:space="preserve">RST </v>
      </c>
      <c r="B288" t="s">
        <v>403</v>
      </c>
      <c r="C288" t="s">
        <v>320</v>
      </c>
      <c r="D288" t="s">
        <v>406</v>
      </c>
      <c r="E288" s="2">
        <v>9647</v>
      </c>
    </row>
    <row r="289" spans="1:5" x14ac:dyDescent="0.25">
      <c r="A289" t="str">
        <f t="shared" si="5"/>
        <v xml:space="preserve">RST </v>
      </c>
      <c r="B289" t="s">
        <v>403</v>
      </c>
      <c r="C289" t="s">
        <v>207</v>
      </c>
      <c r="D289" t="s">
        <v>407</v>
      </c>
      <c r="E289" s="2">
        <v>9647</v>
      </c>
    </row>
    <row r="290" spans="1:5" x14ac:dyDescent="0.25">
      <c r="A290" t="str">
        <f t="shared" si="5"/>
        <v>Capa</v>
      </c>
      <c r="B290" t="s">
        <v>2236</v>
      </c>
      <c r="C290" t="s">
        <v>47</v>
      </c>
      <c r="D290" t="s">
        <v>408</v>
      </c>
      <c r="E290" s="2">
        <v>9621</v>
      </c>
    </row>
    <row r="291" spans="1:5" x14ac:dyDescent="0.25">
      <c r="A291" t="str">
        <f t="shared" si="5"/>
        <v>Capa</v>
      </c>
      <c r="B291" t="s">
        <v>2236</v>
      </c>
      <c r="C291" t="s">
        <v>47</v>
      </c>
      <c r="D291" t="s">
        <v>409</v>
      </c>
      <c r="E291" s="2">
        <v>9621</v>
      </c>
    </row>
    <row r="292" spans="1:5" x14ac:dyDescent="0.25">
      <c r="A292" t="str">
        <f t="shared" si="5"/>
        <v>Capa</v>
      </c>
      <c r="B292" t="s">
        <v>2236</v>
      </c>
      <c r="C292" t="s">
        <v>47</v>
      </c>
      <c r="D292" t="s">
        <v>410</v>
      </c>
      <c r="E292" s="2">
        <v>9621</v>
      </c>
    </row>
    <row r="293" spans="1:5" x14ac:dyDescent="0.25">
      <c r="A293" t="str">
        <f t="shared" si="5"/>
        <v>Capa</v>
      </c>
      <c r="B293" t="s">
        <v>2236</v>
      </c>
      <c r="C293" t="s">
        <v>62</v>
      </c>
      <c r="D293" t="s">
        <v>411</v>
      </c>
      <c r="E293" s="2">
        <v>9621</v>
      </c>
    </row>
    <row r="294" spans="1:5" x14ac:dyDescent="0.25">
      <c r="A294" t="str">
        <f t="shared" si="5"/>
        <v xml:space="preserve">RST </v>
      </c>
      <c r="B294" t="s">
        <v>412</v>
      </c>
      <c r="C294" t="s">
        <v>13</v>
      </c>
      <c r="D294" t="s">
        <v>413</v>
      </c>
      <c r="E294" s="2">
        <v>9587</v>
      </c>
    </row>
    <row r="295" spans="1:5" x14ac:dyDescent="0.25">
      <c r="A295" t="str">
        <f t="shared" si="5"/>
        <v xml:space="preserve">OPT </v>
      </c>
      <c r="B295" t="s">
        <v>414</v>
      </c>
      <c r="C295" t="s">
        <v>23</v>
      </c>
      <c r="D295" t="s">
        <v>415</v>
      </c>
      <c r="E295" s="2">
        <v>9569</v>
      </c>
    </row>
    <row r="296" spans="1:5" x14ac:dyDescent="0.25">
      <c r="A296" t="str">
        <f t="shared" si="5"/>
        <v xml:space="preserve">OPT </v>
      </c>
      <c r="B296" t="s">
        <v>414</v>
      </c>
      <c r="C296" t="s">
        <v>23</v>
      </c>
      <c r="D296" t="s">
        <v>416</v>
      </c>
      <c r="E296" s="2">
        <v>9569</v>
      </c>
    </row>
    <row r="297" spans="1:5" x14ac:dyDescent="0.25">
      <c r="A297" t="str">
        <f t="shared" si="5"/>
        <v xml:space="preserve">OPT </v>
      </c>
      <c r="B297" t="s">
        <v>414</v>
      </c>
      <c r="C297" t="s">
        <v>23</v>
      </c>
      <c r="D297" t="s">
        <v>417</v>
      </c>
      <c r="E297" s="2">
        <v>9569</v>
      </c>
    </row>
    <row r="298" spans="1:5" x14ac:dyDescent="0.25">
      <c r="A298" t="str">
        <f t="shared" si="5"/>
        <v xml:space="preserve">RST </v>
      </c>
      <c r="B298" t="s">
        <v>418</v>
      </c>
      <c r="C298" t="s">
        <v>13</v>
      </c>
      <c r="D298" t="s">
        <v>419</v>
      </c>
      <c r="E298" s="2">
        <v>9564</v>
      </c>
    </row>
    <row r="299" spans="1:5" x14ac:dyDescent="0.25">
      <c r="A299" t="str">
        <f t="shared" si="5"/>
        <v xml:space="preserve">RST </v>
      </c>
      <c r="B299" t="s">
        <v>418</v>
      </c>
      <c r="C299" t="s">
        <v>37</v>
      </c>
      <c r="D299" t="s">
        <v>420</v>
      </c>
      <c r="E299" s="2">
        <v>9564</v>
      </c>
    </row>
    <row r="300" spans="1:5" x14ac:dyDescent="0.25">
      <c r="A300" t="str">
        <f t="shared" si="5"/>
        <v>Diod</v>
      </c>
      <c r="B300" t="s">
        <v>2414</v>
      </c>
      <c r="C300" t="s">
        <v>37</v>
      </c>
      <c r="D300" t="s">
        <v>421</v>
      </c>
      <c r="E300" s="2">
        <v>9530</v>
      </c>
    </row>
    <row r="301" spans="1:5" x14ac:dyDescent="0.25">
      <c r="A301" t="str">
        <f t="shared" si="5"/>
        <v>Diod</v>
      </c>
      <c r="B301" t="s">
        <v>2415</v>
      </c>
      <c r="C301" t="s">
        <v>37</v>
      </c>
      <c r="D301" t="s">
        <v>422</v>
      </c>
      <c r="E301" s="2">
        <v>9520</v>
      </c>
    </row>
    <row r="302" spans="1:5" x14ac:dyDescent="0.25">
      <c r="A302" t="str">
        <f t="shared" si="5"/>
        <v>Diod</v>
      </c>
      <c r="B302" t="s">
        <v>2415</v>
      </c>
      <c r="C302" t="s">
        <v>2467</v>
      </c>
      <c r="D302" t="s">
        <v>423</v>
      </c>
      <c r="E302" s="2">
        <v>9520</v>
      </c>
    </row>
    <row r="303" spans="1:5" x14ac:dyDescent="0.25">
      <c r="A303" t="str">
        <f t="shared" si="5"/>
        <v>Diod</v>
      </c>
      <c r="B303" t="s">
        <v>2415</v>
      </c>
      <c r="C303" t="s">
        <v>28</v>
      </c>
      <c r="D303" t="s">
        <v>424</v>
      </c>
      <c r="E303" s="2">
        <v>9520</v>
      </c>
    </row>
    <row r="304" spans="1:5" x14ac:dyDescent="0.25">
      <c r="A304" t="str">
        <f t="shared" si="5"/>
        <v>Capa</v>
      </c>
      <c r="B304" t="s">
        <v>2237</v>
      </c>
      <c r="C304" t="s">
        <v>13</v>
      </c>
      <c r="D304" t="s">
        <v>425</v>
      </c>
      <c r="E304" s="2">
        <v>9427</v>
      </c>
    </row>
    <row r="305" spans="1:5" x14ac:dyDescent="0.25">
      <c r="A305" t="str">
        <f t="shared" si="5"/>
        <v>Capa</v>
      </c>
      <c r="B305" t="s">
        <v>2237</v>
      </c>
      <c r="C305" t="s">
        <v>47</v>
      </c>
      <c r="D305" t="s">
        <v>426</v>
      </c>
      <c r="E305" s="2">
        <v>9427</v>
      </c>
    </row>
    <row r="306" spans="1:5" x14ac:dyDescent="0.25">
      <c r="A306" t="str">
        <f t="shared" si="5"/>
        <v>Capa</v>
      </c>
      <c r="B306" t="s">
        <v>2237</v>
      </c>
      <c r="C306" t="s">
        <v>8</v>
      </c>
      <c r="D306" t="s">
        <v>427</v>
      </c>
      <c r="E306" s="2">
        <v>9427</v>
      </c>
    </row>
    <row r="307" spans="1:5" x14ac:dyDescent="0.25">
      <c r="A307" t="str">
        <f t="shared" si="5"/>
        <v>Capa</v>
      </c>
      <c r="B307" t="s">
        <v>2237</v>
      </c>
      <c r="C307" t="s">
        <v>10</v>
      </c>
      <c r="D307" t="s">
        <v>148</v>
      </c>
      <c r="E307" s="2">
        <v>9427</v>
      </c>
    </row>
    <row r="308" spans="1:5" x14ac:dyDescent="0.25">
      <c r="A308" t="str">
        <f t="shared" si="5"/>
        <v>Capa</v>
      </c>
      <c r="B308" t="s">
        <v>2237</v>
      </c>
      <c r="C308" t="s">
        <v>10</v>
      </c>
      <c r="D308" t="s">
        <v>428</v>
      </c>
      <c r="E308" s="2">
        <v>9427</v>
      </c>
    </row>
    <row r="309" spans="1:5" x14ac:dyDescent="0.25">
      <c r="A309" t="str">
        <f t="shared" si="5"/>
        <v xml:space="preserve">RST </v>
      </c>
      <c r="B309" t="s">
        <v>429</v>
      </c>
      <c r="C309" t="s">
        <v>13</v>
      </c>
      <c r="D309" t="s">
        <v>430</v>
      </c>
      <c r="E309" s="2">
        <v>9327</v>
      </c>
    </row>
    <row r="310" spans="1:5" x14ac:dyDescent="0.25">
      <c r="A310" t="str">
        <f t="shared" si="5"/>
        <v xml:space="preserve">RST </v>
      </c>
      <c r="B310" t="s">
        <v>429</v>
      </c>
      <c r="C310" t="s">
        <v>13</v>
      </c>
      <c r="D310" t="s">
        <v>431</v>
      </c>
      <c r="E310" s="2">
        <v>9327</v>
      </c>
    </row>
    <row r="311" spans="1:5" x14ac:dyDescent="0.25">
      <c r="A311" t="str">
        <f t="shared" si="5"/>
        <v xml:space="preserve">RST </v>
      </c>
      <c r="B311" t="s">
        <v>429</v>
      </c>
      <c r="C311" t="s">
        <v>10</v>
      </c>
      <c r="D311" t="s">
        <v>432</v>
      </c>
      <c r="E311" s="2">
        <v>9327</v>
      </c>
    </row>
    <row r="312" spans="1:5" x14ac:dyDescent="0.25">
      <c r="A312" t="str">
        <f t="shared" si="5"/>
        <v>Capa</v>
      </c>
      <c r="B312" t="s">
        <v>2238</v>
      </c>
      <c r="C312" t="s">
        <v>13</v>
      </c>
      <c r="D312" t="s">
        <v>433</v>
      </c>
      <c r="E312" s="2">
        <v>9298</v>
      </c>
    </row>
    <row r="313" spans="1:5" x14ac:dyDescent="0.25">
      <c r="A313" t="str">
        <f t="shared" si="5"/>
        <v>MA-1</v>
      </c>
      <c r="B313" t="s">
        <v>434</v>
      </c>
      <c r="C313" t="s">
        <v>37</v>
      </c>
      <c r="D313" t="s">
        <v>435</v>
      </c>
      <c r="E313" s="2">
        <v>9188</v>
      </c>
    </row>
    <row r="314" spans="1:5" x14ac:dyDescent="0.25">
      <c r="A314" t="str">
        <f t="shared" si="5"/>
        <v>MA-1</v>
      </c>
      <c r="B314" t="s">
        <v>434</v>
      </c>
      <c r="C314" t="s">
        <v>320</v>
      </c>
      <c r="D314" t="s">
        <v>436</v>
      </c>
      <c r="E314" s="2">
        <v>9188</v>
      </c>
    </row>
    <row r="315" spans="1:5" x14ac:dyDescent="0.25">
      <c r="A315" t="str">
        <f t="shared" si="5"/>
        <v>MA-1</v>
      </c>
      <c r="B315" t="s">
        <v>437</v>
      </c>
      <c r="C315" t="s">
        <v>13</v>
      </c>
      <c r="D315" t="s">
        <v>438</v>
      </c>
      <c r="E315" s="2">
        <v>9174</v>
      </c>
    </row>
    <row r="316" spans="1:5" x14ac:dyDescent="0.25">
      <c r="A316" t="str">
        <f t="shared" si="5"/>
        <v>MA-1</v>
      </c>
      <c r="B316" t="s">
        <v>437</v>
      </c>
      <c r="C316" t="s">
        <v>47</v>
      </c>
      <c r="D316" t="s">
        <v>439</v>
      </c>
      <c r="E316" s="2">
        <v>9174</v>
      </c>
    </row>
    <row r="317" spans="1:5" x14ac:dyDescent="0.25">
      <c r="A317" t="str">
        <f t="shared" si="5"/>
        <v>MA-1</v>
      </c>
      <c r="B317" t="s">
        <v>437</v>
      </c>
      <c r="C317" t="s">
        <v>49</v>
      </c>
      <c r="D317" t="s">
        <v>440</v>
      </c>
      <c r="E317" s="2">
        <v>9174</v>
      </c>
    </row>
    <row r="318" spans="1:5" x14ac:dyDescent="0.25">
      <c r="A318" t="str">
        <f t="shared" si="5"/>
        <v>MA-1</v>
      </c>
      <c r="B318" t="s">
        <v>437</v>
      </c>
      <c r="C318" t="s">
        <v>62</v>
      </c>
      <c r="D318" t="s">
        <v>441</v>
      </c>
      <c r="E318" s="2">
        <v>9174</v>
      </c>
    </row>
    <row r="319" spans="1:5" x14ac:dyDescent="0.25">
      <c r="A319" t="str">
        <f t="shared" si="5"/>
        <v>MA-1</v>
      </c>
      <c r="B319" t="s">
        <v>442</v>
      </c>
      <c r="C319" t="s">
        <v>13</v>
      </c>
      <c r="D319" t="s">
        <v>443</v>
      </c>
      <c r="E319" s="2">
        <v>9173</v>
      </c>
    </row>
    <row r="320" spans="1:5" x14ac:dyDescent="0.25">
      <c r="A320" t="str">
        <f t="shared" si="5"/>
        <v>MA-1</v>
      </c>
      <c r="B320" t="s">
        <v>442</v>
      </c>
      <c r="C320" t="s">
        <v>13</v>
      </c>
      <c r="D320" t="s">
        <v>444</v>
      </c>
      <c r="E320" s="2">
        <v>9173</v>
      </c>
    </row>
    <row r="321" spans="1:5" x14ac:dyDescent="0.25">
      <c r="A321" t="str">
        <f t="shared" si="5"/>
        <v>MA-1</v>
      </c>
      <c r="B321" t="s">
        <v>442</v>
      </c>
      <c r="C321" t="s">
        <v>320</v>
      </c>
      <c r="D321" t="s">
        <v>445</v>
      </c>
      <c r="E321" s="2">
        <v>9173</v>
      </c>
    </row>
    <row r="322" spans="1:5" x14ac:dyDescent="0.25">
      <c r="A322" t="str">
        <f t="shared" si="5"/>
        <v xml:space="preserve">RST </v>
      </c>
      <c r="B322" t="s">
        <v>446</v>
      </c>
      <c r="C322" t="s">
        <v>13</v>
      </c>
      <c r="D322" t="s">
        <v>447</v>
      </c>
      <c r="E322" s="2">
        <v>9070</v>
      </c>
    </row>
    <row r="323" spans="1:5" x14ac:dyDescent="0.25">
      <c r="A323" t="str">
        <f t="shared" si="5"/>
        <v xml:space="preserve">RST </v>
      </c>
      <c r="B323" t="s">
        <v>448</v>
      </c>
      <c r="C323" t="s">
        <v>13</v>
      </c>
      <c r="D323" t="s">
        <v>449</v>
      </c>
      <c r="E323" s="2">
        <v>9066</v>
      </c>
    </row>
    <row r="324" spans="1:5" x14ac:dyDescent="0.25">
      <c r="A324" t="str">
        <f t="shared" si="5"/>
        <v xml:space="preserve">RST </v>
      </c>
      <c r="B324" t="s">
        <v>448</v>
      </c>
      <c r="C324" t="s">
        <v>320</v>
      </c>
      <c r="D324" t="s">
        <v>450</v>
      </c>
      <c r="E324" s="2">
        <v>9066</v>
      </c>
    </row>
    <row r="325" spans="1:5" x14ac:dyDescent="0.25">
      <c r="A325" t="str">
        <f t="shared" si="5"/>
        <v>Capa</v>
      </c>
      <c r="B325" t="s">
        <v>2239</v>
      </c>
      <c r="C325" t="s">
        <v>45</v>
      </c>
      <c r="D325" t="s">
        <v>451</v>
      </c>
      <c r="E325" s="2">
        <v>9028</v>
      </c>
    </row>
    <row r="326" spans="1:5" x14ac:dyDescent="0.25">
      <c r="A326" t="str">
        <f t="shared" ref="A326:A389" si="6">LEFT(B326,4)</f>
        <v xml:space="preserve">RST </v>
      </c>
      <c r="B326" t="s">
        <v>452</v>
      </c>
      <c r="C326" t="s">
        <v>13</v>
      </c>
      <c r="D326" t="s">
        <v>453</v>
      </c>
      <c r="E326" s="2">
        <v>9022</v>
      </c>
    </row>
    <row r="327" spans="1:5" x14ac:dyDescent="0.25">
      <c r="A327" t="str">
        <f t="shared" si="6"/>
        <v xml:space="preserve">RST </v>
      </c>
      <c r="B327" t="s">
        <v>454</v>
      </c>
      <c r="C327" t="s">
        <v>13</v>
      </c>
      <c r="D327" t="s">
        <v>455</v>
      </c>
      <c r="E327" s="2">
        <v>8917</v>
      </c>
    </row>
    <row r="328" spans="1:5" x14ac:dyDescent="0.25">
      <c r="A328" t="str">
        <f t="shared" si="6"/>
        <v xml:space="preserve">RST </v>
      </c>
      <c r="B328" t="s">
        <v>456</v>
      </c>
      <c r="C328" t="s">
        <v>37</v>
      </c>
      <c r="D328" t="s">
        <v>457</v>
      </c>
      <c r="E328" s="2">
        <v>8911</v>
      </c>
    </row>
    <row r="329" spans="1:5" x14ac:dyDescent="0.25">
      <c r="A329" t="str">
        <f t="shared" si="6"/>
        <v xml:space="preserve">RST </v>
      </c>
      <c r="B329" t="s">
        <v>456</v>
      </c>
      <c r="C329" t="s">
        <v>320</v>
      </c>
      <c r="D329" t="s">
        <v>458</v>
      </c>
      <c r="E329" s="2">
        <v>8911</v>
      </c>
    </row>
    <row r="330" spans="1:5" x14ac:dyDescent="0.25">
      <c r="A330" t="str">
        <f t="shared" si="6"/>
        <v xml:space="preserve">RST </v>
      </c>
      <c r="B330" t="s">
        <v>459</v>
      </c>
      <c r="C330" t="s">
        <v>5</v>
      </c>
      <c r="D330" t="s">
        <v>460</v>
      </c>
      <c r="E330" s="2">
        <v>8880</v>
      </c>
    </row>
    <row r="331" spans="1:5" x14ac:dyDescent="0.25">
      <c r="A331" t="str">
        <f t="shared" si="6"/>
        <v xml:space="preserve">RST </v>
      </c>
      <c r="B331" t="s">
        <v>459</v>
      </c>
      <c r="C331" t="s">
        <v>320</v>
      </c>
      <c r="D331" t="s">
        <v>461</v>
      </c>
      <c r="E331" s="2">
        <v>8880</v>
      </c>
    </row>
    <row r="332" spans="1:5" x14ac:dyDescent="0.25">
      <c r="A332" t="str">
        <f t="shared" si="6"/>
        <v xml:space="preserve">RST </v>
      </c>
      <c r="B332" t="s">
        <v>462</v>
      </c>
      <c r="C332" t="s">
        <v>13</v>
      </c>
      <c r="D332" t="s">
        <v>463</v>
      </c>
      <c r="E332" s="2">
        <v>8782</v>
      </c>
    </row>
    <row r="333" spans="1:5" x14ac:dyDescent="0.25">
      <c r="A333" t="str">
        <f t="shared" si="6"/>
        <v xml:space="preserve">RST </v>
      </c>
      <c r="B333" t="s">
        <v>464</v>
      </c>
      <c r="C333" t="s">
        <v>13</v>
      </c>
      <c r="D333" t="s">
        <v>465</v>
      </c>
      <c r="E333" s="2">
        <v>8680</v>
      </c>
    </row>
    <row r="334" spans="1:5" x14ac:dyDescent="0.25">
      <c r="A334" t="str">
        <f t="shared" si="6"/>
        <v xml:space="preserve">RST </v>
      </c>
      <c r="B334" t="s">
        <v>464</v>
      </c>
      <c r="C334" t="s">
        <v>466</v>
      </c>
      <c r="D334" t="s">
        <v>467</v>
      </c>
      <c r="E334" s="2">
        <v>8680</v>
      </c>
    </row>
    <row r="335" spans="1:5" x14ac:dyDescent="0.25">
      <c r="A335" t="str">
        <f t="shared" si="6"/>
        <v xml:space="preserve">RST </v>
      </c>
      <c r="B335" t="s">
        <v>464</v>
      </c>
      <c r="C335" t="s">
        <v>10</v>
      </c>
      <c r="D335" t="s">
        <v>468</v>
      </c>
      <c r="E335" s="2">
        <v>8680</v>
      </c>
    </row>
    <row r="336" spans="1:5" x14ac:dyDescent="0.25">
      <c r="A336" t="str">
        <f t="shared" si="6"/>
        <v>POLY</v>
      </c>
      <c r="B336" t="s">
        <v>469</v>
      </c>
      <c r="C336" t="s">
        <v>57</v>
      </c>
      <c r="D336" t="s">
        <v>470</v>
      </c>
      <c r="E336" s="2">
        <v>8668</v>
      </c>
    </row>
    <row r="337" spans="1:5" x14ac:dyDescent="0.25">
      <c r="A337" t="str">
        <f t="shared" si="6"/>
        <v>POLY</v>
      </c>
      <c r="B337" t="s">
        <v>469</v>
      </c>
      <c r="C337" t="s">
        <v>57</v>
      </c>
      <c r="D337" t="s">
        <v>471</v>
      </c>
      <c r="E337" s="2">
        <v>8668</v>
      </c>
    </row>
    <row r="338" spans="1:5" x14ac:dyDescent="0.25">
      <c r="A338" t="str">
        <f t="shared" si="6"/>
        <v xml:space="preserve">RST </v>
      </c>
      <c r="B338" t="s">
        <v>472</v>
      </c>
      <c r="C338" t="s">
        <v>13</v>
      </c>
      <c r="D338" t="s">
        <v>473</v>
      </c>
      <c r="E338" s="2">
        <v>8667</v>
      </c>
    </row>
    <row r="339" spans="1:5" x14ac:dyDescent="0.25">
      <c r="A339" t="str">
        <f t="shared" si="6"/>
        <v>Capa</v>
      </c>
      <c r="B339" t="s">
        <v>2240</v>
      </c>
      <c r="C339" t="s">
        <v>474</v>
      </c>
      <c r="D339" t="s">
        <v>475</v>
      </c>
      <c r="E339" s="2">
        <v>8519</v>
      </c>
    </row>
    <row r="340" spans="1:5" x14ac:dyDescent="0.25">
      <c r="A340" t="str">
        <f t="shared" si="6"/>
        <v xml:space="preserve">RST </v>
      </c>
      <c r="B340" t="s">
        <v>476</v>
      </c>
      <c r="C340" t="s">
        <v>13</v>
      </c>
      <c r="D340" t="s">
        <v>477</v>
      </c>
      <c r="E340" s="2">
        <v>8498</v>
      </c>
    </row>
    <row r="341" spans="1:5" x14ac:dyDescent="0.25">
      <c r="A341" t="str">
        <f t="shared" si="6"/>
        <v xml:space="preserve">RST </v>
      </c>
      <c r="B341" t="s">
        <v>476</v>
      </c>
      <c r="C341" t="s">
        <v>13</v>
      </c>
      <c r="D341" t="s">
        <v>478</v>
      </c>
      <c r="E341" s="2">
        <v>8498</v>
      </c>
    </row>
    <row r="342" spans="1:5" x14ac:dyDescent="0.25">
      <c r="A342" t="str">
        <f t="shared" si="6"/>
        <v xml:space="preserve">RST </v>
      </c>
      <c r="B342" t="s">
        <v>476</v>
      </c>
      <c r="C342" t="s">
        <v>10</v>
      </c>
      <c r="D342" t="s">
        <v>479</v>
      </c>
      <c r="E342" s="2">
        <v>8498</v>
      </c>
    </row>
    <row r="343" spans="1:5" x14ac:dyDescent="0.25">
      <c r="A343" t="str">
        <f t="shared" si="6"/>
        <v xml:space="preserve">RST </v>
      </c>
      <c r="B343" t="s">
        <v>476</v>
      </c>
      <c r="C343" t="s">
        <v>202</v>
      </c>
      <c r="D343" t="s">
        <v>480</v>
      </c>
      <c r="E343" s="2">
        <v>8498</v>
      </c>
    </row>
    <row r="344" spans="1:5" x14ac:dyDescent="0.25">
      <c r="A344" t="str">
        <f t="shared" si="6"/>
        <v>MA-1</v>
      </c>
      <c r="B344" t="s">
        <v>481</v>
      </c>
      <c r="C344" t="s">
        <v>13</v>
      </c>
      <c r="D344" t="s">
        <v>482</v>
      </c>
      <c r="E344" s="2">
        <v>8430</v>
      </c>
    </row>
    <row r="345" spans="1:5" x14ac:dyDescent="0.25">
      <c r="A345" t="str">
        <f t="shared" si="6"/>
        <v>MA-1</v>
      </c>
      <c r="B345" t="s">
        <v>481</v>
      </c>
      <c r="C345" t="s">
        <v>49</v>
      </c>
      <c r="D345" t="s">
        <v>483</v>
      </c>
      <c r="E345" s="2">
        <v>8430</v>
      </c>
    </row>
    <row r="346" spans="1:5" x14ac:dyDescent="0.25">
      <c r="A346" t="str">
        <f t="shared" si="6"/>
        <v>MA-1</v>
      </c>
      <c r="B346" t="s">
        <v>481</v>
      </c>
      <c r="C346" t="s">
        <v>62</v>
      </c>
      <c r="D346" t="s">
        <v>484</v>
      </c>
      <c r="E346" s="2">
        <v>8430</v>
      </c>
    </row>
    <row r="347" spans="1:5" x14ac:dyDescent="0.25">
      <c r="A347" t="str">
        <f t="shared" si="6"/>
        <v xml:space="preserve">RST </v>
      </c>
      <c r="B347" t="s">
        <v>485</v>
      </c>
      <c r="C347" t="s">
        <v>13</v>
      </c>
      <c r="D347" t="s">
        <v>486</v>
      </c>
      <c r="E347" s="2">
        <v>8347</v>
      </c>
    </row>
    <row r="348" spans="1:5" x14ac:dyDescent="0.25">
      <c r="A348" t="str">
        <f t="shared" si="6"/>
        <v xml:space="preserve">RST </v>
      </c>
      <c r="B348" t="s">
        <v>485</v>
      </c>
      <c r="C348" t="s">
        <v>10</v>
      </c>
      <c r="D348" t="s">
        <v>487</v>
      </c>
      <c r="E348" s="2">
        <v>8347</v>
      </c>
    </row>
    <row r="349" spans="1:5" x14ac:dyDescent="0.25">
      <c r="A349" t="str">
        <f t="shared" si="6"/>
        <v xml:space="preserve">RST </v>
      </c>
      <c r="B349" t="s">
        <v>488</v>
      </c>
      <c r="C349" t="s">
        <v>207</v>
      </c>
      <c r="D349" t="s">
        <v>489</v>
      </c>
      <c r="E349" s="2">
        <v>8280</v>
      </c>
    </row>
    <row r="350" spans="1:5" x14ac:dyDescent="0.25">
      <c r="A350" t="str">
        <f t="shared" si="6"/>
        <v xml:space="preserve">RST </v>
      </c>
      <c r="B350" t="s">
        <v>490</v>
      </c>
      <c r="C350" t="s">
        <v>37</v>
      </c>
      <c r="D350" t="s">
        <v>491</v>
      </c>
      <c r="E350" s="2">
        <v>8218</v>
      </c>
    </row>
    <row r="351" spans="1:5" x14ac:dyDescent="0.25">
      <c r="A351" t="str">
        <f t="shared" si="6"/>
        <v>Capa</v>
      </c>
      <c r="B351" t="s">
        <v>2241</v>
      </c>
      <c r="C351" t="s">
        <v>47</v>
      </c>
      <c r="D351" t="s">
        <v>492</v>
      </c>
      <c r="E351" s="2">
        <v>8009</v>
      </c>
    </row>
    <row r="352" spans="1:5" x14ac:dyDescent="0.25">
      <c r="A352" t="str">
        <f t="shared" si="6"/>
        <v>Capa</v>
      </c>
      <c r="B352" t="s">
        <v>2241</v>
      </c>
      <c r="C352" t="s">
        <v>47</v>
      </c>
      <c r="D352" t="s">
        <v>493</v>
      </c>
      <c r="E352" s="2">
        <v>8009</v>
      </c>
    </row>
    <row r="353" spans="1:5" x14ac:dyDescent="0.25">
      <c r="A353" t="str">
        <f t="shared" si="6"/>
        <v>Capa</v>
      </c>
      <c r="B353" t="s">
        <v>2241</v>
      </c>
      <c r="C353" t="s">
        <v>343</v>
      </c>
      <c r="D353" t="s">
        <v>494</v>
      </c>
      <c r="E353" s="2">
        <v>8009</v>
      </c>
    </row>
    <row r="354" spans="1:5" x14ac:dyDescent="0.25">
      <c r="A354" t="str">
        <f t="shared" si="6"/>
        <v xml:space="preserve">RST </v>
      </c>
      <c r="B354" t="s">
        <v>495</v>
      </c>
      <c r="C354" t="s">
        <v>320</v>
      </c>
      <c r="D354" t="s">
        <v>496</v>
      </c>
      <c r="E354" s="2">
        <v>7979</v>
      </c>
    </row>
    <row r="355" spans="1:5" x14ac:dyDescent="0.25">
      <c r="A355" t="str">
        <f t="shared" si="6"/>
        <v xml:space="preserve">LED </v>
      </c>
      <c r="B355" t="s">
        <v>497</v>
      </c>
      <c r="C355" t="s">
        <v>130</v>
      </c>
      <c r="D355" t="s">
        <v>498</v>
      </c>
      <c r="E355" s="2">
        <v>7968</v>
      </c>
    </row>
    <row r="356" spans="1:5" x14ac:dyDescent="0.25">
      <c r="A356" t="str">
        <f t="shared" si="6"/>
        <v xml:space="preserve">LED </v>
      </c>
      <c r="B356" t="s">
        <v>497</v>
      </c>
      <c r="C356" t="s">
        <v>499</v>
      </c>
      <c r="D356" t="s">
        <v>500</v>
      </c>
      <c r="E356" s="2">
        <v>7968</v>
      </c>
    </row>
    <row r="357" spans="1:5" x14ac:dyDescent="0.25">
      <c r="A357" t="str">
        <f t="shared" si="6"/>
        <v xml:space="preserve">RST </v>
      </c>
      <c r="B357" t="s">
        <v>501</v>
      </c>
      <c r="C357" t="s">
        <v>13</v>
      </c>
      <c r="D357" t="s">
        <v>502</v>
      </c>
      <c r="E357" s="2">
        <v>7880</v>
      </c>
    </row>
    <row r="358" spans="1:5" x14ac:dyDescent="0.25">
      <c r="A358" t="str">
        <f t="shared" si="6"/>
        <v xml:space="preserve">RST </v>
      </c>
      <c r="B358" t="s">
        <v>501</v>
      </c>
      <c r="C358" t="s">
        <v>89</v>
      </c>
      <c r="D358" t="s">
        <v>503</v>
      </c>
      <c r="E358" s="2">
        <v>7880</v>
      </c>
    </row>
    <row r="359" spans="1:5" x14ac:dyDescent="0.25">
      <c r="A359" t="str">
        <f t="shared" si="6"/>
        <v xml:space="preserve">RST </v>
      </c>
      <c r="B359" t="s">
        <v>504</v>
      </c>
      <c r="C359" t="s">
        <v>13</v>
      </c>
      <c r="D359" t="s">
        <v>505</v>
      </c>
      <c r="E359" s="2">
        <v>7861</v>
      </c>
    </row>
    <row r="360" spans="1:5" x14ac:dyDescent="0.25">
      <c r="A360" t="str">
        <f t="shared" si="6"/>
        <v>FUSE</v>
      </c>
      <c r="B360" t="s">
        <v>506</v>
      </c>
      <c r="C360" t="s">
        <v>507</v>
      </c>
      <c r="D360" t="s">
        <v>508</v>
      </c>
      <c r="E360" s="2">
        <v>7742</v>
      </c>
    </row>
    <row r="361" spans="1:5" x14ac:dyDescent="0.25">
      <c r="A361" t="str">
        <f t="shared" si="6"/>
        <v>Diod</v>
      </c>
      <c r="B361" t="s">
        <v>2416</v>
      </c>
      <c r="C361" t="s">
        <v>37</v>
      </c>
      <c r="D361" t="s">
        <v>509</v>
      </c>
      <c r="E361" s="2">
        <v>7729</v>
      </c>
    </row>
    <row r="362" spans="1:5" x14ac:dyDescent="0.25">
      <c r="A362" t="str">
        <f t="shared" si="6"/>
        <v>Diod</v>
      </c>
      <c r="B362" t="s">
        <v>2416</v>
      </c>
      <c r="C362" t="s">
        <v>510</v>
      </c>
      <c r="D362" t="s">
        <v>511</v>
      </c>
      <c r="E362" s="2">
        <v>7729</v>
      </c>
    </row>
    <row r="363" spans="1:5" x14ac:dyDescent="0.25">
      <c r="A363" t="str">
        <f t="shared" si="6"/>
        <v>Capa</v>
      </c>
      <c r="B363" t="s">
        <v>2242</v>
      </c>
      <c r="C363" t="s">
        <v>13</v>
      </c>
      <c r="D363" t="s">
        <v>512</v>
      </c>
      <c r="E363" s="2">
        <v>7725</v>
      </c>
    </row>
    <row r="364" spans="1:5" x14ac:dyDescent="0.25">
      <c r="A364" t="str">
        <f t="shared" si="6"/>
        <v>CNTF</v>
      </c>
      <c r="B364" t="s">
        <v>513</v>
      </c>
      <c r="C364" t="s">
        <v>202</v>
      </c>
      <c r="D364" t="s">
        <v>514</v>
      </c>
      <c r="E364" s="2">
        <v>7587</v>
      </c>
    </row>
    <row r="365" spans="1:5" x14ac:dyDescent="0.25">
      <c r="A365" t="str">
        <f t="shared" si="6"/>
        <v xml:space="preserve">RST </v>
      </c>
      <c r="B365" t="s">
        <v>515</v>
      </c>
      <c r="C365" t="s">
        <v>13</v>
      </c>
      <c r="D365" t="s">
        <v>516</v>
      </c>
      <c r="E365" s="2">
        <v>7566</v>
      </c>
    </row>
    <row r="366" spans="1:5" x14ac:dyDescent="0.25">
      <c r="A366" t="str">
        <f t="shared" si="6"/>
        <v xml:space="preserve">RST </v>
      </c>
      <c r="B366" t="s">
        <v>515</v>
      </c>
      <c r="C366" t="s">
        <v>13</v>
      </c>
      <c r="D366" t="s">
        <v>517</v>
      </c>
      <c r="E366" s="2">
        <v>7566</v>
      </c>
    </row>
    <row r="367" spans="1:5" x14ac:dyDescent="0.25">
      <c r="A367" t="str">
        <f t="shared" si="6"/>
        <v>IC T</v>
      </c>
      <c r="B367" t="s">
        <v>518</v>
      </c>
      <c r="C367" t="s">
        <v>61</v>
      </c>
      <c r="D367" t="s">
        <v>519</v>
      </c>
      <c r="E367" s="2">
        <v>7561</v>
      </c>
    </row>
    <row r="368" spans="1:5" x14ac:dyDescent="0.25">
      <c r="A368" t="str">
        <f t="shared" si="6"/>
        <v>IC T</v>
      </c>
      <c r="B368" t="s">
        <v>518</v>
      </c>
      <c r="C368" t="s">
        <v>61</v>
      </c>
      <c r="D368" t="s">
        <v>520</v>
      </c>
      <c r="E368" s="2">
        <v>7561</v>
      </c>
    </row>
    <row r="369" spans="1:5" x14ac:dyDescent="0.25">
      <c r="A369" t="str">
        <f t="shared" si="6"/>
        <v>MOSF</v>
      </c>
      <c r="B369" t="s">
        <v>2476</v>
      </c>
      <c r="C369" t="s">
        <v>521</v>
      </c>
      <c r="D369" t="s">
        <v>522</v>
      </c>
      <c r="E369" s="2">
        <v>7541</v>
      </c>
    </row>
    <row r="370" spans="1:5" x14ac:dyDescent="0.25">
      <c r="A370" t="str">
        <f t="shared" si="6"/>
        <v>MOSF</v>
      </c>
      <c r="B370" t="s">
        <v>2476</v>
      </c>
      <c r="C370" t="s">
        <v>61</v>
      </c>
      <c r="D370" t="s">
        <v>523</v>
      </c>
      <c r="E370" s="2">
        <v>7541</v>
      </c>
    </row>
    <row r="371" spans="1:5" x14ac:dyDescent="0.25">
      <c r="A371" t="str">
        <f t="shared" si="6"/>
        <v xml:space="preserve">RST </v>
      </c>
      <c r="B371" t="s">
        <v>524</v>
      </c>
      <c r="C371" t="s">
        <v>13</v>
      </c>
      <c r="D371" t="s">
        <v>525</v>
      </c>
      <c r="E371" s="2">
        <v>7518</v>
      </c>
    </row>
    <row r="372" spans="1:5" x14ac:dyDescent="0.25">
      <c r="A372" t="str">
        <f t="shared" si="6"/>
        <v xml:space="preserve">RST </v>
      </c>
      <c r="B372" t="s">
        <v>524</v>
      </c>
      <c r="C372" t="s">
        <v>320</v>
      </c>
      <c r="D372" t="s">
        <v>526</v>
      </c>
      <c r="E372" s="2">
        <v>7518</v>
      </c>
    </row>
    <row r="373" spans="1:5" x14ac:dyDescent="0.25">
      <c r="A373" t="str">
        <f t="shared" si="6"/>
        <v>MA-1</v>
      </c>
      <c r="B373" t="s">
        <v>527</v>
      </c>
      <c r="C373" t="s">
        <v>13</v>
      </c>
      <c r="D373" t="s">
        <v>528</v>
      </c>
      <c r="E373" s="2">
        <v>7517</v>
      </c>
    </row>
    <row r="374" spans="1:5" x14ac:dyDescent="0.25">
      <c r="A374" t="str">
        <f t="shared" si="6"/>
        <v>MA-1</v>
      </c>
      <c r="B374" t="s">
        <v>527</v>
      </c>
      <c r="C374" t="s">
        <v>320</v>
      </c>
      <c r="D374" t="s">
        <v>529</v>
      </c>
      <c r="E374" s="2">
        <v>7517</v>
      </c>
    </row>
    <row r="375" spans="1:5" x14ac:dyDescent="0.25">
      <c r="A375" t="str">
        <f t="shared" si="6"/>
        <v xml:space="preserve">RST </v>
      </c>
      <c r="B375" t="s">
        <v>530</v>
      </c>
      <c r="C375" t="s">
        <v>13</v>
      </c>
      <c r="D375" t="s">
        <v>531</v>
      </c>
      <c r="E375" s="2">
        <v>7294</v>
      </c>
    </row>
    <row r="376" spans="1:5" x14ac:dyDescent="0.25">
      <c r="A376" t="str">
        <f t="shared" si="6"/>
        <v xml:space="preserve">RST </v>
      </c>
      <c r="B376" t="s">
        <v>530</v>
      </c>
      <c r="C376" t="s">
        <v>13</v>
      </c>
      <c r="D376" t="s">
        <v>532</v>
      </c>
      <c r="E376" s="2">
        <v>7294</v>
      </c>
    </row>
    <row r="377" spans="1:5" x14ac:dyDescent="0.25">
      <c r="A377" t="str">
        <f t="shared" si="6"/>
        <v xml:space="preserve">RST </v>
      </c>
      <c r="B377" t="s">
        <v>533</v>
      </c>
      <c r="C377" t="s">
        <v>13</v>
      </c>
      <c r="D377" t="s">
        <v>534</v>
      </c>
      <c r="E377" s="2">
        <v>7285</v>
      </c>
    </row>
    <row r="378" spans="1:5" x14ac:dyDescent="0.25">
      <c r="A378" t="str">
        <f t="shared" si="6"/>
        <v xml:space="preserve">RST </v>
      </c>
      <c r="B378" t="s">
        <v>535</v>
      </c>
      <c r="C378" t="s">
        <v>13</v>
      </c>
      <c r="D378" t="s">
        <v>536</v>
      </c>
      <c r="E378" s="2">
        <v>7217</v>
      </c>
    </row>
    <row r="379" spans="1:5" x14ac:dyDescent="0.25">
      <c r="A379" t="str">
        <f t="shared" si="6"/>
        <v xml:space="preserve">RST </v>
      </c>
      <c r="B379" t="s">
        <v>535</v>
      </c>
      <c r="C379" t="s">
        <v>89</v>
      </c>
      <c r="D379" t="s">
        <v>537</v>
      </c>
      <c r="E379" s="2">
        <v>7217</v>
      </c>
    </row>
    <row r="380" spans="1:5" x14ac:dyDescent="0.25">
      <c r="A380" t="str">
        <f t="shared" si="6"/>
        <v xml:space="preserve">RST </v>
      </c>
      <c r="B380" t="s">
        <v>538</v>
      </c>
      <c r="C380" t="s">
        <v>13</v>
      </c>
      <c r="D380" t="s">
        <v>368</v>
      </c>
      <c r="E380" s="2">
        <v>7212</v>
      </c>
    </row>
    <row r="381" spans="1:5" x14ac:dyDescent="0.25">
      <c r="A381" t="str">
        <f t="shared" si="6"/>
        <v xml:space="preserve">RST </v>
      </c>
      <c r="B381" t="s">
        <v>538</v>
      </c>
      <c r="C381" t="s">
        <v>89</v>
      </c>
      <c r="D381" t="s">
        <v>539</v>
      </c>
      <c r="E381" s="2">
        <v>7212</v>
      </c>
    </row>
    <row r="382" spans="1:5" x14ac:dyDescent="0.25">
      <c r="A382" t="str">
        <f t="shared" si="6"/>
        <v>IC T</v>
      </c>
      <c r="B382" t="s">
        <v>540</v>
      </c>
      <c r="C382" t="s">
        <v>328</v>
      </c>
      <c r="D382" t="s">
        <v>541</v>
      </c>
      <c r="E382" s="2">
        <v>7154</v>
      </c>
    </row>
    <row r="383" spans="1:5" x14ac:dyDescent="0.25">
      <c r="A383" t="str">
        <f t="shared" si="6"/>
        <v>IC T</v>
      </c>
      <c r="B383" t="s">
        <v>540</v>
      </c>
      <c r="C383" t="s">
        <v>542</v>
      </c>
      <c r="D383" t="s">
        <v>543</v>
      </c>
      <c r="E383" s="2">
        <v>7154</v>
      </c>
    </row>
    <row r="384" spans="1:5" x14ac:dyDescent="0.25">
      <c r="A384" t="str">
        <f t="shared" si="6"/>
        <v xml:space="preserve">RST </v>
      </c>
      <c r="B384" t="s">
        <v>544</v>
      </c>
      <c r="C384" t="s">
        <v>13</v>
      </c>
      <c r="D384" t="s">
        <v>545</v>
      </c>
      <c r="E384" s="2">
        <v>7028</v>
      </c>
    </row>
    <row r="385" spans="1:5" x14ac:dyDescent="0.25">
      <c r="A385" t="str">
        <f t="shared" si="6"/>
        <v>Capa</v>
      </c>
      <c r="B385" t="s">
        <v>2243</v>
      </c>
      <c r="C385" t="s">
        <v>64</v>
      </c>
      <c r="D385" t="s">
        <v>546</v>
      </c>
      <c r="E385" s="2">
        <v>6998</v>
      </c>
    </row>
    <row r="386" spans="1:5" x14ac:dyDescent="0.25">
      <c r="A386" t="str">
        <f t="shared" si="6"/>
        <v>Capa</v>
      </c>
      <c r="B386" t="s">
        <v>2243</v>
      </c>
      <c r="C386" t="s">
        <v>64</v>
      </c>
      <c r="D386" t="s">
        <v>547</v>
      </c>
      <c r="E386" s="2">
        <v>6998</v>
      </c>
    </row>
    <row r="387" spans="1:5" x14ac:dyDescent="0.25">
      <c r="A387" t="str">
        <f t="shared" si="6"/>
        <v>Capa</v>
      </c>
      <c r="B387" t="s">
        <v>2243</v>
      </c>
      <c r="C387" t="s">
        <v>64</v>
      </c>
      <c r="D387" t="s">
        <v>548</v>
      </c>
      <c r="E387" s="2">
        <v>6998</v>
      </c>
    </row>
    <row r="388" spans="1:5" x14ac:dyDescent="0.25">
      <c r="A388" t="str">
        <f t="shared" si="6"/>
        <v xml:space="preserve">RST </v>
      </c>
      <c r="B388" t="s">
        <v>549</v>
      </c>
      <c r="C388" t="s">
        <v>207</v>
      </c>
      <c r="D388" t="s">
        <v>550</v>
      </c>
      <c r="E388" s="2">
        <v>6970</v>
      </c>
    </row>
    <row r="389" spans="1:5" x14ac:dyDescent="0.25">
      <c r="A389" t="str">
        <f t="shared" si="6"/>
        <v xml:space="preserve">RST </v>
      </c>
      <c r="B389" t="s">
        <v>549</v>
      </c>
      <c r="C389" t="s">
        <v>551</v>
      </c>
      <c r="D389" t="s">
        <v>552</v>
      </c>
      <c r="E389" s="2">
        <v>6970</v>
      </c>
    </row>
    <row r="390" spans="1:5" x14ac:dyDescent="0.25">
      <c r="A390" t="str">
        <f t="shared" ref="A390:A453" si="7">LEFT(B390,4)</f>
        <v xml:space="preserve">RST </v>
      </c>
      <c r="B390" t="s">
        <v>549</v>
      </c>
      <c r="C390" t="s">
        <v>553</v>
      </c>
      <c r="D390" t="s">
        <v>552</v>
      </c>
      <c r="E390" s="2">
        <v>6970</v>
      </c>
    </row>
    <row r="391" spans="1:5" x14ac:dyDescent="0.25">
      <c r="A391" t="str">
        <f t="shared" si="7"/>
        <v xml:space="preserve">RST </v>
      </c>
      <c r="B391" t="s">
        <v>554</v>
      </c>
      <c r="C391" t="s">
        <v>13</v>
      </c>
      <c r="D391" t="s">
        <v>555</v>
      </c>
      <c r="E391" s="2">
        <v>6741</v>
      </c>
    </row>
    <row r="392" spans="1:5" x14ac:dyDescent="0.25">
      <c r="A392" t="str">
        <f t="shared" si="7"/>
        <v>MOSF</v>
      </c>
      <c r="B392" t="s">
        <v>2477</v>
      </c>
      <c r="C392" t="s">
        <v>556</v>
      </c>
      <c r="D392" t="s">
        <v>557</v>
      </c>
      <c r="E392" s="2">
        <v>6697</v>
      </c>
    </row>
    <row r="393" spans="1:5" x14ac:dyDescent="0.25">
      <c r="A393" t="str">
        <f t="shared" si="7"/>
        <v>MOSF</v>
      </c>
      <c r="B393" t="s">
        <v>2477</v>
      </c>
      <c r="C393" t="s">
        <v>556</v>
      </c>
      <c r="D393" t="s">
        <v>558</v>
      </c>
      <c r="E393" s="2">
        <v>6697</v>
      </c>
    </row>
    <row r="394" spans="1:5" x14ac:dyDescent="0.25">
      <c r="A394" t="str">
        <f t="shared" si="7"/>
        <v>Capa</v>
      </c>
      <c r="B394" t="s">
        <v>2244</v>
      </c>
      <c r="C394" t="s">
        <v>64</v>
      </c>
      <c r="D394" t="s">
        <v>559</v>
      </c>
      <c r="E394" s="2">
        <v>6684</v>
      </c>
    </row>
    <row r="395" spans="1:5" x14ac:dyDescent="0.25">
      <c r="A395" t="str">
        <f t="shared" si="7"/>
        <v>Diod</v>
      </c>
      <c r="B395" t="s">
        <v>2417</v>
      </c>
      <c r="C395" t="s">
        <v>37</v>
      </c>
      <c r="D395" t="s">
        <v>560</v>
      </c>
      <c r="E395" s="2">
        <v>6620</v>
      </c>
    </row>
    <row r="396" spans="1:5" x14ac:dyDescent="0.25">
      <c r="A396" t="str">
        <f t="shared" si="7"/>
        <v>Diod</v>
      </c>
      <c r="B396" t="s">
        <v>2417</v>
      </c>
      <c r="C396" t="s">
        <v>28</v>
      </c>
      <c r="D396" t="s">
        <v>561</v>
      </c>
      <c r="E396" s="2">
        <v>6620</v>
      </c>
    </row>
    <row r="397" spans="1:5" x14ac:dyDescent="0.25">
      <c r="A397" t="str">
        <f t="shared" si="7"/>
        <v xml:space="preserve">RST </v>
      </c>
      <c r="B397" t="s">
        <v>562</v>
      </c>
      <c r="C397" t="s">
        <v>13</v>
      </c>
      <c r="D397" t="s">
        <v>563</v>
      </c>
      <c r="E397" s="2">
        <v>6616</v>
      </c>
    </row>
    <row r="398" spans="1:5" x14ac:dyDescent="0.25">
      <c r="A398" t="str">
        <f t="shared" si="7"/>
        <v xml:space="preserve">RST </v>
      </c>
      <c r="B398" t="s">
        <v>562</v>
      </c>
      <c r="C398" t="s">
        <v>37</v>
      </c>
      <c r="D398" t="s">
        <v>564</v>
      </c>
      <c r="E398" s="2">
        <v>6616</v>
      </c>
    </row>
    <row r="399" spans="1:5" x14ac:dyDescent="0.25">
      <c r="A399" t="str">
        <f t="shared" si="7"/>
        <v xml:space="preserve">RST </v>
      </c>
      <c r="B399" t="s">
        <v>562</v>
      </c>
      <c r="C399" t="s">
        <v>320</v>
      </c>
      <c r="D399" t="s">
        <v>565</v>
      </c>
      <c r="E399" s="2">
        <v>6616</v>
      </c>
    </row>
    <row r="400" spans="1:5" x14ac:dyDescent="0.25">
      <c r="A400" t="str">
        <f t="shared" si="7"/>
        <v xml:space="preserve">RST </v>
      </c>
      <c r="B400" t="s">
        <v>562</v>
      </c>
      <c r="C400" t="s">
        <v>10</v>
      </c>
      <c r="D400" t="s">
        <v>566</v>
      </c>
      <c r="E400" s="2">
        <v>6616</v>
      </c>
    </row>
    <row r="401" spans="1:5" x14ac:dyDescent="0.25">
      <c r="A401" t="str">
        <f t="shared" si="7"/>
        <v>Capa</v>
      </c>
      <c r="B401" t="s">
        <v>2245</v>
      </c>
      <c r="C401" t="s">
        <v>47</v>
      </c>
      <c r="D401" t="s">
        <v>567</v>
      </c>
      <c r="E401" s="2">
        <v>6587</v>
      </c>
    </row>
    <row r="402" spans="1:5" x14ac:dyDescent="0.25">
      <c r="A402" t="str">
        <f t="shared" si="7"/>
        <v>Capa</v>
      </c>
      <c r="B402" t="s">
        <v>2245</v>
      </c>
      <c r="C402" t="s">
        <v>37</v>
      </c>
      <c r="D402" t="s">
        <v>568</v>
      </c>
      <c r="E402" s="2">
        <v>6587</v>
      </c>
    </row>
    <row r="403" spans="1:5" x14ac:dyDescent="0.25">
      <c r="A403" t="str">
        <f t="shared" si="7"/>
        <v>Capa</v>
      </c>
      <c r="B403" t="s">
        <v>2245</v>
      </c>
      <c r="C403" t="s">
        <v>62</v>
      </c>
      <c r="D403" t="s">
        <v>569</v>
      </c>
      <c r="E403" s="2">
        <v>6587</v>
      </c>
    </row>
    <row r="404" spans="1:5" x14ac:dyDescent="0.25">
      <c r="A404" t="str">
        <f t="shared" si="7"/>
        <v xml:space="preserve">RST </v>
      </c>
      <c r="B404" t="s">
        <v>570</v>
      </c>
      <c r="C404" t="s">
        <v>13</v>
      </c>
      <c r="D404" t="s">
        <v>571</v>
      </c>
      <c r="E404" s="2">
        <v>6558</v>
      </c>
    </row>
    <row r="405" spans="1:5" x14ac:dyDescent="0.25">
      <c r="A405" t="str">
        <f t="shared" si="7"/>
        <v xml:space="preserve">RST </v>
      </c>
      <c r="B405" t="s">
        <v>570</v>
      </c>
      <c r="C405" t="s">
        <v>89</v>
      </c>
      <c r="D405" t="s">
        <v>572</v>
      </c>
      <c r="E405" s="2">
        <v>6558</v>
      </c>
    </row>
    <row r="406" spans="1:5" x14ac:dyDescent="0.25">
      <c r="A406" t="str">
        <f t="shared" si="7"/>
        <v>Capa</v>
      </c>
      <c r="B406" t="s">
        <v>2246</v>
      </c>
      <c r="C406" t="s">
        <v>13</v>
      </c>
      <c r="D406" t="s">
        <v>573</v>
      </c>
      <c r="E406" s="2">
        <v>6544</v>
      </c>
    </row>
    <row r="407" spans="1:5" x14ac:dyDescent="0.25">
      <c r="A407" t="str">
        <f t="shared" si="7"/>
        <v xml:space="preserve">RST </v>
      </c>
      <c r="B407" t="s">
        <v>574</v>
      </c>
      <c r="C407" t="s">
        <v>13</v>
      </c>
      <c r="D407" t="s">
        <v>575</v>
      </c>
      <c r="E407" s="2">
        <v>6539</v>
      </c>
    </row>
    <row r="408" spans="1:5" x14ac:dyDescent="0.25">
      <c r="A408" t="str">
        <f t="shared" si="7"/>
        <v xml:space="preserve">RST </v>
      </c>
      <c r="B408" t="s">
        <v>574</v>
      </c>
      <c r="C408" t="s">
        <v>37</v>
      </c>
      <c r="D408" t="s">
        <v>576</v>
      </c>
      <c r="E408" s="2">
        <v>6539</v>
      </c>
    </row>
    <row r="409" spans="1:5" x14ac:dyDescent="0.25">
      <c r="A409" t="str">
        <f t="shared" si="7"/>
        <v>CG21</v>
      </c>
      <c r="B409" t="s">
        <v>577</v>
      </c>
      <c r="C409" t="s">
        <v>57</v>
      </c>
      <c r="D409" t="s">
        <v>577</v>
      </c>
      <c r="E409" s="2">
        <v>6419</v>
      </c>
    </row>
    <row r="410" spans="1:5" x14ac:dyDescent="0.25">
      <c r="A410" t="str">
        <f t="shared" si="7"/>
        <v>CG21</v>
      </c>
      <c r="B410" t="s">
        <v>577</v>
      </c>
      <c r="C410" t="s">
        <v>57</v>
      </c>
      <c r="D410" t="s">
        <v>578</v>
      </c>
      <c r="E410" s="2">
        <v>6419</v>
      </c>
    </row>
    <row r="411" spans="1:5" x14ac:dyDescent="0.25">
      <c r="A411" t="str">
        <f t="shared" si="7"/>
        <v>Capa</v>
      </c>
      <c r="B411" t="s">
        <v>2247</v>
      </c>
      <c r="C411" t="s">
        <v>579</v>
      </c>
      <c r="D411" t="s">
        <v>580</v>
      </c>
      <c r="E411" s="2">
        <v>6345</v>
      </c>
    </row>
    <row r="412" spans="1:5" x14ac:dyDescent="0.25">
      <c r="A412" t="str">
        <f t="shared" si="7"/>
        <v>Capa</v>
      </c>
      <c r="B412" t="s">
        <v>2247</v>
      </c>
      <c r="C412" t="s">
        <v>581</v>
      </c>
      <c r="D412" t="s">
        <v>580</v>
      </c>
      <c r="E412" s="2">
        <v>6345</v>
      </c>
    </row>
    <row r="413" spans="1:5" x14ac:dyDescent="0.25">
      <c r="A413" t="str">
        <f t="shared" si="7"/>
        <v>Capa</v>
      </c>
      <c r="B413" t="s">
        <v>2247</v>
      </c>
      <c r="C413" t="s">
        <v>581</v>
      </c>
      <c r="D413" t="s">
        <v>582</v>
      </c>
      <c r="E413" s="2">
        <v>6345</v>
      </c>
    </row>
    <row r="414" spans="1:5" x14ac:dyDescent="0.25">
      <c r="A414" t="str">
        <f t="shared" si="7"/>
        <v xml:space="preserve">RST </v>
      </c>
      <c r="B414" t="s">
        <v>583</v>
      </c>
      <c r="C414" t="s">
        <v>13</v>
      </c>
      <c r="D414" t="s">
        <v>121</v>
      </c>
      <c r="E414" s="2">
        <v>6319</v>
      </c>
    </row>
    <row r="415" spans="1:5" x14ac:dyDescent="0.25">
      <c r="A415" t="str">
        <f t="shared" si="7"/>
        <v xml:space="preserve">RST </v>
      </c>
      <c r="B415" t="s">
        <v>584</v>
      </c>
      <c r="C415" t="s">
        <v>13</v>
      </c>
      <c r="D415" t="s">
        <v>585</v>
      </c>
      <c r="E415" s="2">
        <v>6317</v>
      </c>
    </row>
    <row r="416" spans="1:5" x14ac:dyDescent="0.25">
      <c r="A416" t="str">
        <f t="shared" si="7"/>
        <v>Capa</v>
      </c>
      <c r="B416" t="s">
        <v>2248</v>
      </c>
      <c r="C416" t="s">
        <v>579</v>
      </c>
      <c r="D416" t="s">
        <v>586</v>
      </c>
      <c r="E416" s="2">
        <v>6310</v>
      </c>
    </row>
    <row r="417" spans="1:5" x14ac:dyDescent="0.25">
      <c r="A417" t="str">
        <f t="shared" si="7"/>
        <v>Capa</v>
      </c>
      <c r="B417" t="s">
        <v>2248</v>
      </c>
      <c r="C417" t="s">
        <v>581</v>
      </c>
      <c r="D417" t="s">
        <v>586</v>
      </c>
      <c r="E417" s="2">
        <v>6310</v>
      </c>
    </row>
    <row r="418" spans="1:5" x14ac:dyDescent="0.25">
      <c r="A418" t="str">
        <f t="shared" si="7"/>
        <v>Capa</v>
      </c>
      <c r="B418" t="s">
        <v>2248</v>
      </c>
      <c r="C418" t="s">
        <v>581</v>
      </c>
      <c r="D418" t="s">
        <v>587</v>
      </c>
      <c r="E418" s="2">
        <v>6310</v>
      </c>
    </row>
    <row r="419" spans="1:5" x14ac:dyDescent="0.25">
      <c r="A419" t="str">
        <f t="shared" si="7"/>
        <v>Diod</v>
      </c>
      <c r="B419" t="s">
        <v>2418</v>
      </c>
      <c r="C419" t="s">
        <v>37</v>
      </c>
      <c r="D419" t="s">
        <v>588</v>
      </c>
      <c r="E419" s="2">
        <v>6281</v>
      </c>
    </row>
    <row r="420" spans="1:5" x14ac:dyDescent="0.25">
      <c r="A420" t="str">
        <f t="shared" si="7"/>
        <v>Diod</v>
      </c>
      <c r="B420" t="s">
        <v>2418</v>
      </c>
      <c r="C420" t="s">
        <v>589</v>
      </c>
      <c r="D420" t="s">
        <v>590</v>
      </c>
      <c r="E420" s="2">
        <v>6281</v>
      </c>
    </row>
    <row r="421" spans="1:5" x14ac:dyDescent="0.25">
      <c r="A421" t="str">
        <f t="shared" si="7"/>
        <v>Diod</v>
      </c>
      <c r="B421" t="s">
        <v>2418</v>
      </c>
      <c r="C421" t="s">
        <v>2468</v>
      </c>
      <c r="D421" t="s">
        <v>591</v>
      </c>
      <c r="E421" s="2">
        <v>6281</v>
      </c>
    </row>
    <row r="422" spans="1:5" x14ac:dyDescent="0.25">
      <c r="A422" t="str">
        <f t="shared" si="7"/>
        <v>Capa</v>
      </c>
      <c r="B422" t="s">
        <v>2249</v>
      </c>
      <c r="C422" t="s">
        <v>10</v>
      </c>
      <c r="D422" t="s">
        <v>592</v>
      </c>
      <c r="E422" s="2">
        <v>6274</v>
      </c>
    </row>
    <row r="423" spans="1:5" x14ac:dyDescent="0.25">
      <c r="A423" t="str">
        <f t="shared" si="7"/>
        <v>Capa</v>
      </c>
      <c r="B423" t="s">
        <v>2250</v>
      </c>
      <c r="C423" t="s">
        <v>184</v>
      </c>
      <c r="D423" t="s">
        <v>593</v>
      </c>
      <c r="E423" s="2">
        <v>6255</v>
      </c>
    </row>
    <row r="424" spans="1:5" x14ac:dyDescent="0.25">
      <c r="A424" t="str">
        <f t="shared" si="7"/>
        <v xml:space="preserve">RST </v>
      </c>
      <c r="B424" t="s">
        <v>594</v>
      </c>
      <c r="C424" t="s">
        <v>13</v>
      </c>
      <c r="D424" t="s">
        <v>595</v>
      </c>
      <c r="E424" s="2">
        <v>6069</v>
      </c>
    </row>
    <row r="425" spans="1:5" x14ac:dyDescent="0.25">
      <c r="A425" t="str">
        <f t="shared" si="7"/>
        <v xml:space="preserve">RST </v>
      </c>
      <c r="B425" t="s">
        <v>596</v>
      </c>
      <c r="C425" t="s">
        <v>13</v>
      </c>
      <c r="D425" t="s">
        <v>597</v>
      </c>
      <c r="E425" s="2">
        <v>6067</v>
      </c>
    </row>
    <row r="426" spans="1:5" x14ac:dyDescent="0.25">
      <c r="A426" t="str">
        <f t="shared" si="7"/>
        <v xml:space="preserve">RST </v>
      </c>
      <c r="B426" t="s">
        <v>596</v>
      </c>
      <c r="C426" t="s">
        <v>37</v>
      </c>
      <c r="D426" t="s">
        <v>598</v>
      </c>
      <c r="E426" s="2">
        <v>6067</v>
      </c>
    </row>
    <row r="427" spans="1:5" x14ac:dyDescent="0.25">
      <c r="A427" t="str">
        <f t="shared" si="7"/>
        <v xml:space="preserve">RST </v>
      </c>
      <c r="B427" t="s">
        <v>596</v>
      </c>
      <c r="C427" t="s">
        <v>202</v>
      </c>
      <c r="D427" t="s">
        <v>599</v>
      </c>
      <c r="E427" s="2">
        <v>6067</v>
      </c>
    </row>
    <row r="428" spans="1:5" x14ac:dyDescent="0.25">
      <c r="A428" t="str">
        <f t="shared" si="7"/>
        <v>Capa</v>
      </c>
      <c r="B428" t="s">
        <v>2251</v>
      </c>
      <c r="C428" t="s">
        <v>13</v>
      </c>
      <c r="D428" t="s">
        <v>600</v>
      </c>
      <c r="E428" s="2">
        <v>6046</v>
      </c>
    </row>
    <row r="429" spans="1:5" x14ac:dyDescent="0.25">
      <c r="A429" t="str">
        <f t="shared" si="7"/>
        <v>Capa</v>
      </c>
      <c r="B429" t="s">
        <v>2251</v>
      </c>
      <c r="C429" t="s">
        <v>47</v>
      </c>
      <c r="D429" t="s">
        <v>601</v>
      </c>
      <c r="E429" s="2">
        <v>6046</v>
      </c>
    </row>
    <row r="430" spans="1:5" x14ac:dyDescent="0.25">
      <c r="A430" t="str">
        <f t="shared" si="7"/>
        <v>Diod</v>
      </c>
      <c r="B430" t="s">
        <v>2419</v>
      </c>
      <c r="C430" t="s">
        <v>28</v>
      </c>
      <c r="D430" t="s">
        <v>602</v>
      </c>
      <c r="E430" s="2">
        <v>6038</v>
      </c>
    </row>
    <row r="431" spans="1:5" x14ac:dyDescent="0.25">
      <c r="A431" t="str">
        <f t="shared" si="7"/>
        <v>MA-1</v>
      </c>
      <c r="B431" t="s">
        <v>603</v>
      </c>
      <c r="C431" t="s">
        <v>13</v>
      </c>
      <c r="D431" t="s">
        <v>604</v>
      </c>
      <c r="E431" s="2">
        <v>5933</v>
      </c>
    </row>
    <row r="432" spans="1:5" x14ac:dyDescent="0.25">
      <c r="A432" t="str">
        <f t="shared" si="7"/>
        <v>MA-1</v>
      </c>
      <c r="B432" t="s">
        <v>603</v>
      </c>
      <c r="C432" t="s">
        <v>64</v>
      </c>
      <c r="D432" t="s">
        <v>65</v>
      </c>
      <c r="E432" s="2">
        <v>5933</v>
      </c>
    </row>
    <row r="433" spans="1:5" x14ac:dyDescent="0.25">
      <c r="A433" t="str">
        <f t="shared" si="7"/>
        <v>MA-1</v>
      </c>
      <c r="B433" t="s">
        <v>603</v>
      </c>
      <c r="C433" t="s">
        <v>8</v>
      </c>
      <c r="D433" t="s">
        <v>605</v>
      </c>
      <c r="E433" s="2">
        <v>5933</v>
      </c>
    </row>
    <row r="434" spans="1:5" x14ac:dyDescent="0.25">
      <c r="A434" t="str">
        <f t="shared" si="7"/>
        <v>MA-1</v>
      </c>
      <c r="B434" t="s">
        <v>603</v>
      </c>
      <c r="C434" t="s">
        <v>62</v>
      </c>
      <c r="D434" t="s">
        <v>606</v>
      </c>
      <c r="E434" s="2">
        <v>5933</v>
      </c>
    </row>
    <row r="435" spans="1:5" x14ac:dyDescent="0.25">
      <c r="A435" t="str">
        <f t="shared" si="7"/>
        <v xml:space="preserve">RST </v>
      </c>
      <c r="B435" t="s">
        <v>607</v>
      </c>
      <c r="C435" t="s">
        <v>13</v>
      </c>
      <c r="D435" t="s">
        <v>608</v>
      </c>
      <c r="E435" s="2">
        <v>5920</v>
      </c>
    </row>
    <row r="436" spans="1:5" x14ac:dyDescent="0.25">
      <c r="A436" t="str">
        <f t="shared" si="7"/>
        <v xml:space="preserve">RST </v>
      </c>
      <c r="B436" t="s">
        <v>607</v>
      </c>
      <c r="C436" t="s">
        <v>37</v>
      </c>
      <c r="D436" t="s">
        <v>609</v>
      </c>
      <c r="E436" s="2">
        <v>5920</v>
      </c>
    </row>
    <row r="437" spans="1:5" x14ac:dyDescent="0.25">
      <c r="A437" t="str">
        <f t="shared" si="7"/>
        <v xml:space="preserve">RST </v>
      </c>
      <c r="B437" t="s">
        <v>607</v>
      </c>
      <c r="C437" t="s">
        <v>466</v>
      </c>
      <c r="D437" t="s">
        <v>610</v>
      </c>
      <c r="E437" s="2">
        <v>5920</v>
      </c>
    </row>
    <row r="438" spans="1:5" x14ac:dyDescent="0.25">
      <c r="A438" t="str">
        <f t="shared" si="7"/>
        <v xml:space="preserve">RST </v>
      </c>
      <c r="B438" t="s">
        <v>607</v>
      </c>
      <c r="C438" t="s">
        <v>10</v>
      </c>
      <c r="D438" t="s">
        <v>611</v>
      </c>
      <c r="E438" s="2">
        <v>5920</v>
      </c>
    </row>
    <row r="439" spans="1:5" x14ac:dyDescent="0.25">
      <c r="A439" t="str">
        <f t="shared" si="7"/>
        <v>FUSE</v>
      </c>
      <c r="B439" t="s">
        <v>612</v>
      </c>
      <c r="C439" t="s">
        <v>57</v>
      </c>
      <c r="D439" t="s">
        <v>613</v>
      </c>
      <c r="E439" s="2">
        <v>5914</v>
      </c>
    </row>
    <row r="440" spans="1:5" x14ac:dyDescent="0.25">
      <c r="A440" t="str">
        <f t="shared" si="7"/>
        <v>FUSE</v>
      </c>
      <c r="B440" t="s">
        <v>612</v>
      </c>
      <c r="C440" t="s">
        <v>57</v>
      </c>
      <c r="D440" t="s">
        <v>614</v>
      </c>
      <c r="E440" s="2">
        <v>5914</v>
      </c>
    </row>
    <row r="441" spans="1:5" x14ac:dyDescent="0.25">
      <c r="A441" t="str">
        <f t="shared" si="7"/>
        <v>MA-1</v>
      </c>
      <c r="B441" t="s">
        <v>615</v>
      </c>
      <c r="C441" t="s">
        <v>13</v>
      </c>
      <c r="D441" t="s">
        <v>616</v>
      </c>
      <c r="E441" s="2">
        <v>5870</v>
      </c>
    </row>
    <row r="442" spans="1:5" x14ac:dyDescent="0.25">
      <c r="A442" t="str">
        <f t="shared" si="7"/>
        <v>MA-1</v>
      </c>
      <c r="B442" t="s">
        <v>615</v>
      </c>
      <c r="C442" t="s">
        <v>320</v>
      </c>
      <c r="D442" t="s">
        <v>617</v>
      </c>
      <c r="E442" s="2">
        <v>5870</v>
      </c>
    </row>
    <row r="443" spans="1:5" x14ac:dyDescent="0.25">
      <c r="A443" t="str">
        <f t="shared" si="7"/>
        <v xml:space="preserve">RST </v>
      </c>
      <c r="B443" t="s">
        <v>618</v>
      </c>
      <c r="C443" t="s">
        <v>13</v>
      </c>
      <c r="D443" t="s">
        <v>619</v>
      </c>
      <c r="E443" s="2">
        <v>5832</v>
      </c>
    </row>
    <row r="444" spans="1:5" x14ac:dyDescent="0.25">
      <c r="A444" t="str">
        <f t="shared" si="7"/>
        <v>Capa</v>
      </c>
      <c r="B444" t="s">
        <v>2252</v>
      </c>
      <c r="C444" t="s">
        <v>64</v>
      </c>
      <c r="D444" t="s">
        <v>620</v>
      </c>
      <c r="E444" s="2">
        <v>5708</v>
      </c>
    </row>
    <row r="445" spans="1:5" x14ac:dyDescent="0.25">
      <c r="A445" t="str">
        <f t="shared" si="7"/>
        <v>Capa</v>
      </c>
      <c r="B445" t="s">
        <v>2252</v>
      </c>
      <c r="C445" t="s">
        <v>343</v>
      </c>
      <c r="D445" t="s">
        <v>621</v>
      </c>
      <c r="E445" s="2">
        <v>5708</v>
      </c>
    </row>
    <row r="446" spans="1:5" x14ac:dyDescent="0.25">
      <c r="A446" t="str">
        <f t="shared" si="7"/>
        <v xml:space="preserve">RST </v>
      </c>
      <c r="B446" t="s">
        <v>622</v>
      </c>
      <c r="C446" t="s">
        <v>13</v>
      </c>
      <c r="D446" t="s">
        <v>623</v>
      </c>
      <c r="E446" s="2">
        <v>5667</v>
      </c>
    </row>
    <row r="447" spans="1:5" x14ac:dyDescent="0.25">
      <c r="A447" t="str">
        <f t="shared" si="7"/>
        <v>Capa</v>
      </c>
      <c r="B447" t="s">
        <v>2253</v>
      </c>
      <c r="C447" t="s">
        <v>64</v>
      </c>
      <c r="D447" t="s">
        <v>624</v>
      </c>
      <c r="E447" s="2">
        <v>5645</v>
      </c>
    </row>
    <row r="448" spans="1:5" x14ac:dyDescent="0.25">
      <c r="A448" t="str">
        <f t="shared" si="7"/>
        <v>Capa</v>
      </c>
      <c r="B448" t="s">
        <v>2253</v>
      </c>
      <c r="C448" t="s">
        <v>10</v>
      </c>
      <c r="D448" t="s">
        <v>625</v>
      </c>
      <c r="E448" s="2">
        <v>5645</v>
      </c>
    </row>
    <row r="449" spans="1:5" x14ac:dyDescent="0.25">
      <c r="A449" t="str">
        <f t="shared" si="7"/>
        <v xml:space="preserve">IND </v>
      </c>
      <c r="B449" t="s">
        <v>626</v>
      </c>
      <c r="C449" t="s">
        <v>64</v>
      </c>
      <c r="D449" t="s">
        <v>627</v>
      </c>
      <c r="E449" s="2">
        <v>5639</v>
      </c>
    </row>
    <row r="450" spans="1:5" x14ac:dyDescent="0.25">
      <c r="A450" t="str">
        <f t="shared" si="7"/>
        <v>FUSE</v>
      </c>
      <c r="B450" t="s">
        <v>628</v>
      </c>
      <c r="C450" t="s">
        <v>507</v>
      </c>
      <c r="D450" t="s">
        <v>629</v>
      </c>
      <c r="E450" s="2">
        <v>5594</v>
      </c>
    </row>
    <row r="451" spans="1:5" x14ac:dyDescent="0.25">
      <c r="A451" t="str">
        <f t="shared" si="7"/>
        <v>Chok</v>
      </c>
      <c r="B451" t="s">
        <v>2400</v>
      </c>
      <c r="C451" t="s">
        <v>184</v>
      </c>
      <c r="D451" t="s">
        <v>630</v>
      </c>
      <c r="E451" s="2">
        <v>5534</v>
      </c>
    </row>
    <row r="452" spans="1:5" x14ac:dyDescent="0.25">
      <c r="A452" t="str">
        <f t="shared" si="7"/>
        <v>Diod</v>
      </c>
      <c r="B452" t="s">
        <v>2420</v>
      </c>
      <c r="C452" t="s">
        <v>37</v>
      </c>
      <c r="D452" t="s">
        <v>631</v>
      </c>
      <c r="E452" s="2">
        <v>5508</v>
      </c>
    </row>
    <row r="453" spans="1:5" x14ac:dyDescent="0.25">
      <c r="A453" t="str">
        <f t="shared" si="7"/>
        <v>Diod</v>
      </c>
      <c r="B453" t="s">
        <v>2420</v>
      </c>
      <c r="C453" t="s">
        <v>37</v>
      </c>
      <c r="D453" t="s">
        <v>632</v>
      </c>
      <c r="E453" s="2">
        <v>5508</v>
      </c>
    </row>
    <row r="454" spans="1:5" x14ac:dyDescent="0.25">
      <c r="A454" t="str">
        <f t="shared" ref="A454:A517" si="8">LEFT(B454,4)</f>
        <v>Diod</v>
      </c>
      <c r="B454" t="s">
        <v>2420</v>
      </c>
      <c r="C454" t="s">
        <v>297</v>
      </c>
      <c r="D454" t="s">
        <v>633</v>
      </c>
      <c r="E454" s="2">
        <v>5508</v>
      </c>
    </row>
    <row r="455" spans="1:5" x14ac:dyDescent="0.25">
      <c r="A455" t="str">
        <f t="shared" si="8"/>
        <v>Diod</v>
      </c>
      <c r="B455" t="s">
        <v>2420</v>
      </c>
      <c r="C455" t="s">
        <v>297</v>
      </c>
      <c r="D455" t="s">
        <v>634</v>
      </c>
      <c r="E455" s="2">
        <v>5508</v>
      </c>
    </row>
    <row r="456" spans="1:5" x14ac:dyDescent="0.25">
      <c r="A456" t="str">
        <f t="shared" si="8"/>
        <v>Diod</v>
      </c>
      <c r="B456" t="s">
        <v>2420</v>
      </c>
      <c r="C456" t="s">
        <v>297</v>
      </c>
      <c r="D456" t="s">
        <v>635</v>
      </c>
      <c r="E456" s="2">
        <v>5508</v>
      </c>
    </row>
    <row r="457" spans="1:5" x14ac:dyDescent="0.25">
      <c r="A457" t="str">
        <f t="shared" si="8"/>
        <v>Diod</v>
      </c>
      <c r="B457" t="s">
        <v>2420</v>
      </c>
      <c r="C457" t="s">
        <v>636</v>
      </c>
      <c r="D457" t="s">
        <v>634</v>
      </c>
      <c r="E457" s="2">
        <v>5508</v>
      </c>
    </row>
    <row r="458" spans="1:5" x14ac:dyDescent="0.25">
      <c r="A458" t="str">
        <f t="shared" si="8"/>
        <v>Diod</v>
      </c>
      <c r="B458" t="s">
        <v>2420</v>
      </c>
      <c r="C458" t="s">
        <v>637</v>
      </c>
      <c r="D458" t="s">
        <v>635</v>
      </c>
      <c r="E458" s="2">
        <v>5508</v>
      </c>
    </row>
    <row r="459" spans="1:5" x14ac:dyDescent="0.25">
      <c r="A459" t="str">
        <f t="shared" si="8"/>
        <v xml:space="preserve">RST </v>
      </c>
      <c r="B459" t="s">
        <v>638</v>
      </c>
      <c r="C459" t="s">
        <v>13</v>
      </c>
      <c r="D459" t="s">
        <v>639</v>
      </c>
      <c r="E459" s="2">
        <v>5454</v>
      </c>
    </row>
    <row r="460" spans="1:5" x14ac:dyDescent="0.25">
      <c r="A460" t="str">
        <f t="shared" si="8"/>
        <v xml:space="preserve">RST </v>
      </c>
      <c r="B460" t="s">
        <v>640</v>
      </c>
      <c r="C460" t="s">
        <v>13</v>
      </c>
      <c r="D460" t="s">
        <v>641</v>
      </c>
      <c r="E460" s="2">
        <v>5416</v>
      </c>
    </row>
    <row r="461" spans="1:5" x14ac:dyDescent="0.25">
      <c r="A461" t="str">
        <f t="shared" si="8"/>
        <v xml:space="preserve">RST </v>
      </c>
      <c r="B461" t="s">
        <v>642</v>
      </c>
      <c r="C461" t="s">
        <v>13</v>
      </c>
      <c r="D461" t="s">
        <v>643</v>
      </c>
      <c r="E461" s="2">
        <v>5406</v>
      </c>
    </row>
    <row r="462" spans="1:5" x14ac:dyDescent="0.25">
      <c r="A462" t="str">
        <f t="shared" si="8"/>
        <v>IC M</v>
      </c>
      <c r="B462" t="s">
        <v>644</v>
      </c>
      <c r="C462" t="s">
        <v>542</v>
      </c>
      <c r="D462" t="s">
        <v>645</v>
      </c>
      <c r="E462" s="2">
        <v>5393</v>
      </c>
    </row>
    <row r="463" spans="1:5" x14ac:dyDescent="0.25">
      <c r="A463" t="str">
        <f t="shared" si="8"/>
        <v xml:space="preserve">RST </v>
      </c>
      <c r="B463" t="s">
        <v>646</v>
      </c>
      <c r="C463" t="s">
        <v>176</v>
      </c>
      <c r="D463" t="s">
        <v>647</v>
      </c>
      <c r="E463" s="2">
        <v>5372</v>
      </c>
    </row>
    <row r="464" spans="1:5" x14ac:dyDescent="0.25">
      <c r="A464" t="str">
        <f t="shared" si="8"/>
        <v xml:space="preserve">RST </v>
      </c>
      <c r="B464" t="s">
        <v>646</v>
      </c>
      <c r="C464" t="s">
        <v>320</v>
      </c>
      <c r="D464" t="s">
        <v>648</v>
      </c>
      <c r="E464" s="2">
        <v>5372</v>
      </c>
    </row>
    <row r="465" spans="1:5" x14ac:dyDescent="0.25">
      <c r="A465" t="str">
        <f t="shared" si="8"/>
        <v xml:space="preserve">RST </v>
      </c>
      <c r="B465" t="s">
        <v>646</v>
      </c>
      <c r="C465" t="s">
        <v>207</v>
      </c>
      <c r="D465" t="s">
        <v>649</v>
      </c>
      <c r="E465" s="2">
        <v>5372</v>
      </c>
    </row>
    <row r="466" spans="1:5" x14ac:dyDescent="0.25">
      <c r="A466" t="str">
        <f t="shared" si="8"/>
        <v>0043</v>
      </c>
      <c r="B466" t="s">
        <v>650</v>
      </c>
      <c r="C466" t="s">
        <v>651</v>
      </c>
      <c r="D466" t="s">
        <v>652</v>
      </c>
      <c r="E466" s="2">
        <v>5360</v>
      </c>
    </row>
    <row r="467" spans="1:5" x14ac:dyDescent="0.25">
      <c r="A467" t="str">
        <f t="shared" si="8"/>
        <v>0043</v>
      </c>
      <c r="B467" t="s">
        <v>650</v>
      </c>
      <c r="C467" t="s">
        <v>653</v>
      </c>
      <c r="D467" t="s">
        <v>650</v>
      </c>
      <c r="E467" s="2">
        <v>5360</v>
      </c>
    </row>
    <row r="468" spans="1:5" x14ac:dyDescent="0.25">
      <c r="A468" t="str">
        <f t="shared" si="8"/>
        <v xml:space="preserve">CTM </v>
      </c>
      <c r="B468" t="s">
        <v>654</v>
      </c>
      <c r="C468" t="s">
        <v>202</v>
      </c>
      <c r="D468" t="s">
        <v>655</v>
      </c>
      <c r="E468" s="2">
        <v>5330</v>
      </c>
    </row>
    <row r="469" spans="1:5" x14ac:dyDescent="0.25">
      <c r="A469" t="str">
        <f t="shared" si="8"/>
        <v>Diod</v>
      </c>
      <c r="B469" t="s">
        <v>2421</v>
      </c>
      <c r="C469" t="s">
        <v>521</v>
      </c>
      <c r="D469" t="s">
        <v>656</v>
      </c>
      <c r="E469" s="2">
        <v>5270</v>
      </c>
    </row>
    <row r="470" spans="1:5" x14ac:dyDescent="0.25">
      <c r="A470" t="str">
        <f t="shared" si="8"/>
        <v xml:space="preserve">RST </v>
      </c>
      <c r="B470" t="s">
        <v>657</v>
      </c>
      <c r="C470" t="s">
        <v>13</v>
      </c>
      <c r="D470" t="s">
        <v>658</v>
      </c>
      <c r="E470" s="2">
        <v>5260</v>
      </c>
    </row>
    <row r="471" spans="1:5" x14ac:dyDescent="0.25">
      <c r="A471" t="str">
        <f t="shared" si="8"/>
        <v xml:space="preserve">RST </v>
      </c>
      <c r="B471" t="s">
        <v>659</v>
      </c>
      <c r="C471" t="s">
        <v>89</v>
      </c>
      <c r="D471" t="s">
        <v>660</v>
      </c>
      <c r="E471" s="2">
        <v>5259</v>
      </c>
    </row>
    <row r="472" spans="1:5" x14ac:dyDescent="0.25">
      <c r="A472" t="str">
        <f t="shared" si="8"/>
        <v xml:space="preserve">RST </v>
      </c>
      <c r="B472" t="s">
        <v>659</v>
      </c>
      <c r="C472" t="s">
        <v>89</v>
      </c>
      <c r="D472" t="s">
        <v>661</v>
      </c>
      <c r="E472" s="2">
        <v>5259</v>
      </c>
    </row>
    <row r="473" spans="1:5" x14ac:dyDescent="0.25">
      <c r="A473" t="str">
        <f t="shared" si="8"/>
        <v xml:space="preserve">PIN </v>
      </c>
      <c r="B473" t="s">
        <v>662</v>
      </c>
      <c r="C473" t="s">
        <v>235</v>
      </c>
      <c r="D473" t="s">
        <v>663</v>
      </c>
      <c r="E473" s="2">
        <v>5226</v>
      </c>
    </row>
    <row r="474" spans="1:5" x14ac:dyDescent="0.25">
      <c r="A474" t="str">
        <f t="shared" si="8"/>
        <v xml:space="preserve">RST </v>
      </c>
      <c r="B474" t="s">
        <v>664</v>
      </c>
      <c r="C474" t="s">
        <v>13</v>
      </c>
      <c r="D474" t="s">
        <v>665</v>
      </c>
      <c r="E474" s="2">
        <v>5225</v>
      </c>
    </row>
    <row r="475" spans="1:5" x14ac:dyDescent="0.25">
      <c r="A475" t="str">
        <f t="shared" si="8"/>
        <v xml:space="preserve">RST </v>
      </c>
      <c r="B475" t="s">
        <v>664</v>
      </c>
      <c r="C475" t="s">
        <v>37</v>
      </c>
      <c r="D475" t="s">
        <v>666</v>
      </c>
      <c r="E475" s="2">
        <v>5225</v>
      </c>
    </row>
    <row r="476" spans="1:5" x14ac:dyDescent="0.25">
      <c r="A476" t="str">
        <f t="shared" si="8"/>
        <v xml:space="preserve">RST </v>
      </c>
      <c r="B476" t="s">
        <v>667</v>
      </c>
      <c r="C476" t="s">
        <v>13</v>
      </c>
      <c r="D476" t="s">
        <v>668</v>
      </c>
      <c r="E476" s="2">
        <v>5214</v>
      </c>
    </row>
    <row r="477" spans="1:5" x14ac:dyDescent="0.25">
      <c r="A477" t="str">
        <f t="shared" si="8"/>
        <v xml:space="preserve">EMI </v>
      </c>
      <c r="B477" t="s">
        <v>669</v>
      </c>
      <c r="C477" t="s">
        <v>64</v>
      </c>
      <c r="D477" t="s">
        <v>670</v>
      </c>
      <c r="E477" s="2">
        <v>5210</v>
      </c>
    </row>
    <row r="478" spans="1:5" x14ac:dyDescent="0.25">
      <c r="A478" t="str">
        <f t="shared" si="8"/>
        <v xml:space="preserve">RST </v>
      </c>
      <c r="B478" t="s">
        <v>671</v>
      </c>
      <c r="C478" t="s">
        <v>37</v>
      </c>
      <c r="D478" t="s">
        <v>672</v>
      </c>
      <c r="E478" s="2">
        <v>5208</v>
      </c>
    </row>
    <row r="479" spans="1:5" x14ac:dyDescent="0.25">
      <c r="A479" t="str">
        <f t="shared" si="8"/>
        <v xml:space="preserve">RST </v>
      </c>
      <c r="B479" t="s">
        <v>671</v>
      </c>
      <c r="C479" t="s">
        <v>37</v>
      </c>
      <c r="D479" t="s">
        <v>673</v>
      </c>
      <c r="E479" s="2">
        <v>5208</v>
      </c>
    </row>
    <row r="480" spans="1:5" x14ac:dyDescent="0.25">
      <c r="A480" t="str">
        <f t="shared" si="8"/>
        <v xml:space="preserve">RST </v>
      </c>
      <c r="B480" t="s">
        <v>671</v>
      </c>
      <c r="C480" t="s">
        <v>10</v>
      </c>
      <c r="D480" t="s">
        <v>674</v>
      </c>
      <c r="E480" s="2">
        <v>5208</v>
      </c>
    </row>
    <row r="481" spans="1:5" x14ac:dyDescent="0.25">
      <c r="A481" t="str">
        <f t="shared" si="8"/>
        <v xml:space="preserve">RST </v>
      </c>
      <c r="B481" t="s">
        <v>675</v>
      </c>
      <c r="C481" t="s">
        <v>13</v>
      </c>
      <c r="D481" t="s">
        <v>676</v>
      </c>
      <c r="E481" s="2">
        <v>5176</v>
      </c>
    </row>
    <row r="482" spans="1:5" x14ac:dyDescent="0.25">
      <c r="A482" t="str">
        <f t="shared" si="8"/>
        <v xml:space="preserve">CNT </v>
      </c>
      <c r="B482" t="s">
        <v>677</v>
      </c>
      <c r="C482" t="s">
        <v>678</v>
      </c>
      <c r="D482" t="s">
        <v>679</v>
      </c>
      <c r="E482" s="2">
        <v>5169</v>
      </c>
    </row>
    <row r="483" spans="1:5" x14ac:dyDescent="0.25">
      <c r="A483" t="str">
        <f t="shared" si="8"/>
        <v xml:space="preserve">CNT </v>
      </c>
      <c r="B483" t="s">
        <v>677</v>
      </c>
      <c r="C483" t="s">
        <v>678</v>
      </c>
      <c r="D483" t="s">
        <v>680</v>
      </c>
      <c r="E483" s="2">
        <v>5169</v>
      </c>
    </row>
    <row r="484" spans="1:5" x14ac:dyDescent="0.25">
      <c r="A484" t="str">
        <f t="shared" si="8"/>
        <v xml:space="preserve">CNT </v>
      </c>
      <c r="B484" t="s">
        <v>677</v>
      </c>
      <c r="C484" t="s">
        <v>678</v>
      </c>
      <c r="D484" t="s">
        <v>681</v>
      </c>
      <c r="E484" s="2">
        <v>5169</v>
      </c>
    </row>
    <row r="485" spans="1:5" x14ac:dyDescent="0.25">
      <c r="A485" t="str">
        <f t="shared" si="8"/>
        <v>CONT</v>
      </c>
      <c r="B485" t="s">
        <v>682</v>
      </c>
      <c r="C485" t="s">
        <v>379</v>
      </c>
      <c r="D485" t="s">
        <v>683</v>
      </c>
      <c r="E485" s="2">
        <v>5169</v>
      </c>
    </row>
    <row r="486" spans="1:5" x14ac:dyDescent="0.25">
      <c r="A486" t="str">
        <f t="shared" si="8"/>
        <v>Diod</v>
      </c>
      <c r="B486" t="s">
        <v>2422</v>
      </c>
      <c r="C486" t="s">
        <v>28</v>
      </c>
      <c r="D486" t="s">
        <v>684</v>
      </c>
      <c r="E486" s="2">
        <v>5133</v>
      </c>
    </row>
    <row r="487" spans="1:5" x14ac:dyDescent="0.25">
      <c r="A487" t="str">
        <f t="shared" si="8"/>
        <v>Diod</v>
      </c>
      <c r="B487" t="s">
        <v>2422</v>
      </c>
      <c r="C487" t="s">
        <v>28</v>
      </c>
      <c r="D487" t="s">
        <v>685</v>
      </c>
      <c r="E487" s="2">
        <v>5133</v>
      </c>
    </row>
    <row r="488" spans="1:5" x14ac:dyDescent="0.25">
      <c r="A488" t="str">
        <f t="shared" si="8"/>
        <v>Diod</v>
      </c>
      <c r="B488" t="s">
        <v>2422</v>
      </c>
      <c r="C488" t="s">
        <v>30</v>
      </c>
      <c r="D488" t="s">
        <v>686</v>
      </c>
      <c r="E488" s="2">
        <v>5133</v>
      </c>
    </row>
    <row r="489" spans="1:5" x14ac:dyDescent="0.25">
      <c r="A489" t="str">
        <f t="shared" si="8"/>
        <v xml:space="preserve">RST </v>
      </c>
      <c r="B489" t="s">
        <v>687</v>
      </c>
      <c r="C489" t="s">
        <v>207</v>
      </c>
      <c r="D489" t="s">
        <v>688</v>
      </c>
      <c r="E489" s="2">
        <v>5118</v>
      </c>
    </row>
    <row r="490" spans="1:5" x14ac:dyDescent="0.25">
      <c r="A490" t="str">
        <f t="shared" si="8"/>
        <v xml:space="preserve">RST </v>
      </c>
      <c r="B490" t="s">
        <v>689</v>
      </c>
      <c r="C490" t="s">
        <v>13</v>
      </c>
      <c r="D490" t="s">
        <v>690</v>
      </c>
      <c r="E490" s="2">
        <v>5104</v>
      </c>
    </row>
    <row r="491" spans="1:5" x14ac:dyDescent="0.25">
      <c r="A491" t="str">
        <f t="shared" si="8"/>
        <v xml:space="preserve">RST </v>
      </c>
      <c r="B491" t="s">
        <v>689</v>
      </c>
      <c r="C491" t="s">
        <v>37</v>
      </c>
      <c r="D491" t="s">
        <v>691</v>
      </c>
      <c r="E491" s="2">
        <v>5104</v>
      </c>
    </row>
    <row r="492" spans="1:5" x14ac:dyDescent="0.25">
      <c r="A492" t="str">
        <f t="shared" si="8"/>
        <v>XTAL</v>
      </c>
      <c r="B492" t="s">
        <v>692</v>
      </c>
      <c r="C492" t="s">
        <v>693</v>
      </c>
      <c r="D492" t="s">
        <v>694</v>
      </c>
      <c r="E492" s="2">
        <v>5099</v>
      </c>
    </row>
    <row r="493" spans="1:5" x14ac:dyDescent="0.25">
      <c r="A493" t="str">
        <f t="shared" si="8"/>
        <v xml:space="preserve">RST </v>
      </c>
      <c r="B493" t="s">
        <v>695</v>
      </c>
      <c r="C493" t="s">
        <v>13</v>
      </c>
      <c r="D493" t="s">
        <v>696</v>
      </c>
      <c r="E493" s="2">
        <v>5086</v>
      </c>
    </row>
    <row r="494" spans="1:5" x14ac:dyDescent="0.25">
      <c r="A494" t="str">
        <f t="shared" si="8"/>
        <v xml:space="preserve">RST </v>
      </c>
      <c r="B494" t="s">
        <v>697</v>
      </c>
      <c r="C494" t="s">
        <v>13</v>
      </c>
      <c r="D494" t="s">
        <v>698</v>
      </c>
      <c r="E494" s="2">
        <v>5076</v>
      </c>
    </row>
    <row r="495" spans="1:5" x14ac:dyDescent="0.25">
      <c r="A495" t="str">
        <f t="shared" si="8"/>
        <v xml:space="preserve">RST </v>
      </c>
      <c r="B495" t="s">
        <v>697</v>
      </c>
      <c r="C495" t="s">
        <v>37</v>
      </c>
      <c r="D495" t="s">
        <v>699</v>
      </c>
      <c r="E495" s="2">
        <v>5076</v>
      </c>
    </row>
    <row r="496" spans="1:5" x14ac:dyDescent="0.25">
      <c r="A496" t="str">
        <f t="shared" si="8"/>
        <v>Capa</v>
      </c>
      <c r="B496" t="s">
        <v>2254</v>
      </c>
      <c r="C496" t="s">
        <v>49</v>
      </c>
      <c r="D496" t="s">
        <v>700</v>
      </c>
      <c r="E496" s="2">
        <v>5068</v>
      </c>
    </row>
    <row r="497" spans="1:5" x14ac:dyDescent="0.25">
      <c r="A497" t="str">
        <f t="shared" si="8"/>
        <v>MA-1</v>
      </c>
      <c r="B497" t="s">
        <v>701</v>
      </c>
      <c r="C497" t="s">
        <v>13</v>
      </c>
      <c r="D497" t="s">
        <v>702</v>
      </c>
      <c r="E497" s="2">
        <v>5065</v>
      </c>
    </row>
    <row r="498" spans="1:5" x14ac:dyDescent="0.25">
      <c r="A498" t="str">
        <f t="shared" si="8"/>
        <v>MA-1</v>
      </c>
      <c r="B498" t="s">
        <v>701</v>
      </c>
      <c r="C498" t="s">
        <v>64</v>
      </c>
      <c r="D498" t="s">
        <v>703</v>
      </c>
      <c r="E498" s="2">
        <v>5065</v>
      </c>
    </row>
    <row r="499" spans="1:5" x14ac:dyDescent="0.25">
      <c r="A499" t="str">
        <f t="shared" si="8"/>
        <v>MA-1</v>
      </c>
      <c r="B499" t="s">
        <v>701</v>
      </c>
      <c r="C499" t="s">
        <v>64</v>
      </c>
      <c r="D499" t="s">
        <v>704</v>
      </c>
      <c r="E499" s="2">
        <v>5065</v>
      </c>
    </row>
    <row r="500" spans="1:5" x14ac:dyDescent="0.25">
      <c r="A500" t="str">
        <f t="shared" si="8"/>
        <v>MA-1</v>
      </c>
      <c r="B500" t="s">
        <v>701</v>
      </c>
      <c r="C500" t="s">
        <v>49</v>
      </c>
      <c r="D500" t="s">
        <v>705</v>
      </c>
      <c r="E500" s="2">
        <v>5065</v>
      </c>
    </row>
    <row r="501" spans="1:5" x14ac:dyDescent="0.25">
      <c r="A501" t="str">
        <f t="shared" si="8"/>
        <v>MA-1</v>
      </c>
      <c r="B501" t="s">
        <v>701</v>
      </c>
      <c r="C501" t="s">
        <v>8</v>
      </c>
      <c r="D501" t="s">
        <v>706</v>
      </c>
      <c r="E501" s="2">
        <v>5065</v>
      </c>
    </row>
    <row r="502" spans="1:5" x14ac:dyDescent="0.25">
      <c r="A502" t="str">
        <f t="shared" si="8"/>
        <v>Capa</v>
      </c>
      <c r="B502" t="s">
        <v>2255</v>
      </c>
      <c r="C502" t="s">
        <v>13</v>
      </c>
      <c r="D502" t="s">
        <v>707</v>
      </c>
      <c r="E502" s="2">
        <v>5058</v>
      </c>
    </row>
    <row r="503" spans="1:5" x14ac:dyDescent="0.25">
      <c r="A503" t="str">
        <f t="shared" si="8"/>
        <v>FUSE</v>
      </c>
      <c r="B503" t="s">
        <v>708</v>
      </c>
      <c r="C503" t="s">
        <v>57</v>
      </c>
      <c r="D503" t="s">
        <v>709</v>
      </c>
      <c r="E503" s="2">
        <v>5025</v>
      </c>
    </row>
    <row r="504" spans="1:5" x14ac:dyDescent="0.25">
      <c r="A504" t="str">
        <f t="shared" si="8"/>
        <v xml:space="preserve">RST </v>
      </c>
      <c r="B504" t="s">
        <v>710</v>
      </c>
      <c r="C504" t="s">
        <v>5</v>
      </c>
      <c r="D504" t="s">
        <v>711</v>
      </c>
      <c r="E504" s="2">
        <v>5014</v>
      </c>
    </row>
    <row r="505" spans="1:5" x14ac:dyDescent="0.25">
      <c r="A505" t="str">
        <f t="shared" si="8"/>
        <v xml:space="preserve">RST </v>
      </c>
      <c r="B505" t="s">
        <v>710</v>
      </c>
      <c r="C505" t="s">
        <v>5</v>
      </c>
      <c r="D505" t="s">
        <v>712</v>
      </c>
      <c r="E505" s="2">
        <v>5014</v>
      </c>
    </row>
    <row r="506" spans="1:5" x14ac:dyDescent="0.25">
      <c r="A506" t="str">
        <f t="shared" si="8"/>
        <v xml:space="preserve">RST </v>
      </c>
      <c r="B506" t="s">
        <v>713</v>
      </c>
      <c r="C506" t="s">
        <v>207</v>
      </c>
      <c r="D506" t="s">
        <v>714</v>
      </c>
      <c r="E506" s="2">
        <v>4989</v>
      </c>
    </row>
    <row r="507" spans="1:5" x14ac:dyDescent="0.25">
      <c r="A507" t="str">
        <f t="shared" si="8"/>
        <v>Capa</v>
      </c>
      <c r="B507" t="s">
        <v>2256</v>
      </c>
      <c r="C507" t="s">
        <v>13</v>
      </c>
      <c r="D507" t="s">
        <v>715</v>
      </c>
      <c r="E507" s="2">
        <v>4976</v>
      </c>
    </row>
    <row r="508" spans="1:5" x14ac:dyDescent="0.25">
      <c r="A508" t="str">
        <f t="shared" si="8"/>
        <v>Capa</v>
      </c>
      <c r="B508" t="s">
        <v>2256</v>
      </c>
      <c r="C508" t="s">
        <v>47</v>
      </c>
      <c r="D508" t="s">
        <v>716</v>
      </c>
      <c r="E508" s="2">
        <v>4976</v>
      </c>
    </row>
    <row r="509" spans="1:5" x14ac:dyDescent="0.25">
      <c r="A509" t="str">
        <f t="shared" si="8"/>
        <v xml:space="preserve">RST </v>
      </c>
      <c r="B509" t="s">
        <v>717</v>
      </c>
      <c r="C509" t="s">
        <v>207</v>
      </c>
      <c r="D509" t="s">
        <v>718</v>
      </c>
      <c r="E509" s="2">
        <v>4970</v>
      </c>
    </row>
    <row r="510" spans="1:5" x14ac:dyDescent="0.25">
      <c r="A510" t="str">
        <f t="shared" si="8"/>
        <v xml:space="preserve">RST </v>
      </c>
      <c r="B510" t="s">
        <v>719</v>
      </c>
      <c r="C510" t="s">
        <v>37</v>
      </c>
      <c r="D510" t="s">
        <v>720</v>
      </c>
      <c r="E510" s="2">
        <v>4966</v>
      </c>
    </row>
    <row r="511" spans="1:5" x14ac:dyDescent="0.25">
      <c r="A511" t="str">
        <f t="shared" si="8"/>
        <v xml:space="preserve">RST </v>
      </c>
      <c r="B511" t="s">
        <v>721</v>
      </c>
      <c r="C511" t="s">
        <v>13</v>
      </c>
      <c r="D511" t="s">
        <v>722</v>
      </c>
      <c r="E511" s="2">
        <v>4965</v>
      </c>
    </row>
    <row r="512" spans="1:5" x14ac:dyDescent="0.25">
      <c r="A512" t="str">
        <f t="shared" si="8"/>
        <v xml:space="preserve">RST </v>
      </c>
      <c r="B512" t="s">
        <v>723</v>
      </c>
      <c r="C512" t="s">
        <v>176</v>
      </c>
      <c r="D512" t="s">
        <v>724</v>
      </c>
      <c r="E512" s="2">
        <v>4965</v>
      </c>
    </row>
    <row r="513" spans="1:5" x14ac:dyDescent="0.25">
      <c r="A513" t="str">
        <f t="shared" si="8"/>
        <v xml:space="preserve">RST </v>
      </c>
      <c r="B513" t="s">
        <v>725</v>
      </c>
      <c r="C513" t="s">
        <v>207</v>
      </c>
      <c r="D513" t="s">
        <v>726</v>
      </c>
      <c r="E513" s="2">
        <v>4962</v>
      </c>
    </row>
    <row r="514" spans="1:5" x14ac:dyDescent="0.25">
      <c r="A514" t="str">
        <f t="shared" si="8"/>
        <v xml:space="preserve">RST </v>
      </c>
      <c r="B514" t="s">
        <v>727</v>
      </c>
      <c r="C514" t="s">
        <v>37</v>
      </c>
      <c r="D514" t="s">
        <v>728</v>
      </c>
      <c r="E514" s="2">
        <v>4959</v>
      </c>
    </row>
    <row r="515" spans="1:5" x14ac:dyDescent="0.25">
      <c r="A515" t="str">
        <f t="shared" si="8"/>
        <v xml:space="preserve">RST </v>
      </c>
      <c r="B515" t="s">
        <v>727</v>
      </c>
      <c r="C515" t="s">
        <v>207</v>
      </c>
      <c r="D515" t="s">
        <v>729</v>
      </c>
      <c r="E515" s="2">
        <v>4959</v>
      </c>
    </row>
    <row r="516" spans="1:5" x14ac:dyDescent="0.25">
      <c r="A516" t="str">
        <f t="shared" si="8"/>
        <v xml:space="preserve">RST </v>
      </c>
      <c r="B516" t="s">
        <v>730</v>
      </c>
      <c r="C516" t="s">
        <v>207</v>
      </c>
      <c r="D516" t="s">
        <v>731</v>
      </c>
      <c r="E516" s="2">
        <v>4947</v>
      </c>
    </row>
    <row r="517" spans="1:5" x14ac:dyDescent="0.25">
      <c r="A517" t="str">
        <f t="shared" si="8"/>
        <v xml:space="preserve">RST </v>
      </c>
      <c r="B517" t="s">
        <v>732</v>
      </c>
      <c r="C517" t="s">
        <v>13</v>
      </c>
      <c r="D517" t="s">
        <v>733</v>
      </c>
      <c r="E517" s="2">
        <v>4936</v>
      </c>
    </row>
    <row r="518" spans="1:5" x14ac:dyDescent="0.25">
      <c r="A518" t="str">
        <f t="shared" ref="A518:A581" si="9">LEFT(B518,4)</f>
        <v xml:space="preserve">IND </v>
      </c>
      <c r="B518" t="s">
        <v>734</v>
      </c>
      <c r="C518" t="s">
        <v>64</v>
      </c>
      <c r="D518" t="s">
        <v>735</v>
      </c>
      <c r="E518" s="2">
        <v>4929</v>
      </c>
    </row>
    <row r="519" spans="1:5" x14ac:dyDescent="0.25">
      <c r="A519" t="str">
        <f t="shared" si="9"/>
        <v xml:space="preserve">RST </v>
      </c>
      <c r="B519" t="s">
        <v>736</v>
      </c>
      <c r="C519" t="s">
        <v>13</v>
      </c>
      <c r="D519" t="s">
        <v>737</v>
      </c>
      <c r="E519" s="2">
        <v>4929</v>
      </c>
    </row>
    <row r="520" spans="1:5" x14ac:dyDescent="0.25">
      <c r="A520" t="str">
        <f t="shared" si="9"/>
        <v xml:space="preserve">RST </v>
      </c>
      <c r="B520" t="s">
        <v>736</v>
      </c>
      <c r="C520" t="s">
        <v>320</v>
      </c>
      <c r="D520" t="s">
        <v>738</v>
      </c>
      <c r="E520" s="2">
        <v>4929</v>
      </c>
    </row>
    <row r="521" spans="1:5" x14ac:dyDescent="0.25">
      <c r="A521" t="str">
        <f t="shared" si="9"/>
        <v xml:space="preserve">RST </v>
      </c>
      <c r="B521" t="s">
        <v>739</v>
      </c>
      <c r="C521" t="s">
        <v>37</v>
      </c>
      <c r="D521" t="s">
        <v>740</v>
      </c>
      <c r="E521" s="2">
        <v>4921</v>
      </c>
    </row>
    <row r="522" spans="1:5" x14ac:dyDescent="0.25">
      <c r="A522" t="str">
        <f t="shared" si="9"/>
        <v xml:space="preserve">RST </v>
      </c>
      <c r="B522" t="s">
        <v>741</v>
      </c>
      <c r="C522" t="s">
        <v>320</v>
      </c>
      <c r="D522" t="s">
        <v>742</v>
      </c>
      <c r="E522" s="2">
        <v>4921</v>
      </c>
    </row>
    <row r="523" spans="1:5" x14ac:dyDescent="0.25">
      <c r="A523" t="str">
        <f t="shared" si="9"/>
        <v xml:space="preserve">RST </v>
      </c>
      <c r="B523" t="s">
        <v>741</v>
      </c>
      <c r="C523" t="s">
        <v>207</v>
      </c>
      <c r="D523" t="s">
        <v>743</v>
      </c>
      <c r="E523" s="2">
        <v>4921</v>
      </c>
    </row>
    <row r="524" spans="1:5" x14ac:dyDescent="0.25">
      <c r="A524" t="str">
        <f t="shared" si="9"/>
        <v xml:space="preserve">RST </v>
      </c>
      <c r="B524" t="s">
        <v>744</v>
      </c>
      <c r="C524" t="s">
        <v>13</v>
      </c>
      <c r="D524" t="s">
        <v>745</v>
      </c>
      <c r="E524" s="2">
        <v>4919</v>
      </c>
    </row>
    <row r="525" spans="1:5" x14ac:dyDescent="0.25">
      <c r="A525" t="str">
        <f t="shared" si="9"/>
        <v xml:space="preserve">RST </v>
      </c>
      <c r="B525" t="s">
        <v>744</v>
      </c>
      <c r="C525" t="s">
        <v>356</v>
      </c>
      <c r="D525" t="s">
        <v>746</v>
      </c>
      <c r="E525" s="2">
        <v>4919</v>
      </c>
    </row>
    <row r="526" spans="1:5" x14ac:dyDescent="0.25">
      <c r="A526" t="str">
        <f t="shared" si="9"/>
        <v xml:space="preserve">RST </v>
      </c>
      <c r="B526" t="s">
        <v>744</v>
      </c>
      <c r="C526" t="s">
        <v>89</v>
      </c>
      <c r="D526" t="s">
        <v>747</v>
      </c>
      <c r="E526" s="2">
        <v>4919</v>
      </c>
    </row>
    <row r="527" spans="1:5" x14ac:dyDescent="0.25">
      <c r="A527" t="str">
        <f t="shared" si="9"/>
        <v xml:space="preserve">RST </v>
      </c>
      <c r="B527" t="s">
        <v>748</v>
      </c>
      <c r="C527" t="s">
        <v>5</v>
      </c>
      <c r="D527" t="s">
        <v>749</v>
      </c>
      <c r="E527" s="2">
        <v>4917</v>
      </c>
    </row>
    <row r="528" spans="1:5" x14ac:dyDescent="0.25">
      <c r="A528" t="str">
        <f t="shared" si="9"/>
        <v xml:space="preserve">RST </v>
      </c>
      <c r="B528" t="s">
        <v>750</v>
      </c>
      <c r="C528" t="s">
        <v>207</v>
      </c>
      <c r="D528" t="s">
        <v>751</v>
      </c>
      <c r="E528" s="2">
        <v>4915</v>
      </c>
    </row>
    <row r="529" spans="1:5" x14ac:dyDescent="0.25">
      <c r="A529" t="str">
        <f t="shared" si="9"/>
        <v>Capa</v>
      </c>
      <c r="B529" t="s">
        <v>2257</v>
      </c>
      <c r="C529" t="s">
        <v>13</v>
      </c>
      <c r="D529" t="s">
        <v>752</v>
      </c>
      <c r="E529" s="2">
        <v>4910</v>
      </c>
    </row>
    <row r="530" spans="1:5" x14ac:dyDescent="0.25">
      <c r="A530" t="str">
        <f t="shared" si="9"/>
        <v xml:space="preserve">RST </v>
      </c>
      <c r="B530" t="s">
        <v>753</v>
      </c>
      <c r="C530" t="s">
        <v>13</v>
      </c>
      <c r="D530" t="s">
        <v>754</v>
      </c>
      <c r="E530" s="2">
        <v>4904</v>
      </c>
    </row>
    <row r="531" spans="1:5" x14ac:dyDescent="0.25">
      <c r="A531" t="str">
        <f t="shared" si="9"/>
        <v xml:space="preserve">RST </v>
      </c>
      <c r="B531" t="s">
        <v>755</v>
      </c>
      <c r="C531" t="s">
        <v>176</v>
      </c>
      <c r="D531" t="s">
        <v>756</v>
      </c>
      <c r="E531" s="2">
        <v>4892</v>
      </c>
    </row>
    <row r="532" spans="1:5" x14ac:dyDescent="0.25">
      <c r="A532" t="str">
        <f t="shared" si="9"/>
        <v xml:space="preserve">RST </v>
      </c>
      <c r="B532" t="s">
        <v>757</v>
      </c>
      <c r="C532" t="s">
        <v>37</v>
      </c>
      <c r="D532" t="s">
        <v>758</v>
      </c>
      <c r="E532" s="2">
        <v>4891</v>
      </c>
    </row>
    <row r="533" spans="1:5" x14ac:dyDescent="0.25">
      <c r="A533" t="str">
        <f t="shared" si="9"/>
        <v xml:space="preserve">RST </v>
      </c>
      <c r="B533" t="s">
        <v>759</v>
      </c>
      <c r="C533" t="s">
        <v>207</v>
      </c>
      <c r="D533" t="s">
        <v>760</v>
      </c>
      <c r="E533" s="2">
        <v>4881</v>
      </c>
    </row>
    <row r="534" spans="1:5" x14ac:dyDescent="0.25">
      <c r="A534" t="str">
        <f t="shared" si="9"/>
        <v xml:space="preserve">LED </v>
      </c>
      <c r="B534" t="s">
        <v>761</v>
      </c>
      <c r="C534" t="s">
        <v>762</v>
      </c>
      <c r="D534" t="s">
        <v>763</v>
      </c>
      <c r="E534" s="2">
        <v>4880</v>
      </c>
    </row>
    <row r="535" spans="1:5" x14ac:dyDescent="0.25">
      <c r="A535" t="str">
        <f t="shared" si="9"/>
        <v xml:space="preserve">LED </v>
      </c>
      <c r="B535" t="s">
        <v>764</v>
      </c>
      <c r="C535" t="s">
        <v>762</v>
      </c>
      <c r="D535" t="s">
        <v>765</v>
      </c>
      <c r="E535" s="2">
        <v>4876</v>
      </c>
    </row>
    <row r="536" spans="1:5" x14ac:dyDescent="0.25">
      <c r="A536" t="str">
        <f t="shared" si="9"/>
        <v xml:space="preserve">IND </v>
      </c>
      <c r="B536" t="s">
        <v>766</v>
      </c>
      <c r="C536" t="s">
        <v>64</v>
      </c>
      <c r="D536" t="s">
        <v>767</v>
      </c>
      <c r="E536" s="2">
        <v>4857</v>
      </c>
    </row>
    <row r="537" spans="1:5" x14ac:dyDescent="0.25">
      <c r="A537" t="str">
        <f t="shared" si="9"/>
        <v xml:space="preserve">RST </v>
      </c>
      <c r="B537" t="s">
        <v>768</v>
      </c>
      <c r="C537" t="s">
        <v>320</v>
      </c>
      <c r="D537" t="s">
        <v>769</v>
      </c>
      <c r="E537" s="2">
        <v>4840</v>
      </c>
    </row>
    <row r="538" spans="1:5" x14ac:dyDescent="0.25">
      <c r="A538" t="str">
        <f t="shared" si="9"/>
        <v xml:space="preserve">RST </v>
      </c>
      <c r="B538" t="s">
        <v>768</v>
      </c>
      <c r="C538" t="s">
        <v>320</v>
      </c>
      <c r="D538" t="s">
        <v>770</v>
      </c>
      <c r="E538" s="2">
        <v>4840</v>
      </c>
    </row>
    <row r="539" spans="1:5" x14ac:dyDescent="0.25">
      <c r="A539" t="str">
        <f t="shared" si="9"/>
        <v xml:space="preserve">RST </v>
      </c>
      <c r="B539" t="s">
        <v>768</v>
      </c>
      <c r="C539" t="s">
        <v>207</v>
      </c>
      <c r="D539" t="s">
        <v>771</v>
      </c>
      <c r="E539" s="2">
        <v>4840</v>
      </c>
    </row>
    <row r="540" spans="1:5" x14ac:dyDescent="0.25">
      <c r="A540" t="str">
        <f t="shared" si="9"/>
        <v xml:space="preserve">RST </v>
      </c>
      <c r="B540" t="s">
        <v>772</v>
      </c>
      <c r="C540" t="s">
        <v>13</v>
      </c>
      <c r="D540" t="s">
        <v>773</v>
      </c>
      <c r="E540" s="2">
        <v>4840</v>
      </c>
    </row>
    <row r="541" spans="1:5" x14ac:dyDescent="0.25">
      <c r="A541" t="str">
        <f t="shared" si="9"/>
        <v xml:space="preserve">RST </v>
      </c>
      <c r="B541" t="s">
        <v>772</v>
      </c>
      <c r="C541" t="s">
        <v>320</v>
      </c>
      <c r="D541" t="s">
        <v>774</v>
      </c>
      <c r="E541" s="2">
        <v>4840</v>
      </c>
    </row>
    <row r="542" spans="1:5" x14ac:dyDescent="0.25">
      <c r="A542" t="str">
        <f t="shared" si="9"/>
        <v xml:space="preserve">RST </v>
      </c>
      <c r="B542" t="s">
        <v>775</v>
      </c>
      <c r="C542" t="s">
        <v>13</v>
      </c>
      <c r="D542" t="s">
        <v>776</v>
      </c>
      <c r="E542" s="2">
        <v>4822</v>
      </c>
    </row>
    <row r="543" spans="1:5" x14ac:dyDescent="0.25">
      <c r="A543" t="str">
        <f t="shared" si="9"/>
        <v xml:space="preserve">RST </v>
      </c>
      <c r="B543" t="s">
        <v>777</v>
      </c>
      <c r="C543" t="s">
        <v>320</v>
      </c>
      <c r="D543" t="s">
        <v>778</v>
      </c>
      <c r="E543" s="2">
        <v>4815</v>
      </c>
    </row>
    <row r="544" spans="1:5" x14ac:dyDescent="0.25">
      <c r="A544" t="str">
        <f t="shared" si="9"/>
        <v xml:space="preserve">RST </v>
      </c>
      <c r="B544" t="s">
        <v>777</v>
      </c>
      <c r="C544" t="s">
        <v>89</v>
      </c>
      <c r="D544" t="s">
        <v>779</v>
      </c>
      <c r="E544" s="2">
        <v>4815</v>
      </c>
    </row>
    <row r="545" spans="1:5" x14ac:dyDescent="0.25">
      <c r="A545" t="str">
        <f t="shared" si="9"/>
        <v>Capa</v>
      </c>
      <c r="B545" t="s">
        <v>2258</v>
      </c>
      <c r="C545" t="s">
        <v>13</v>
      </c>
      <c r="D545" t="s">
        <v>780</v>
      </c>
      <c r="E545" s="2">
        <v>4807</v>
      </c>
    </row>
    <row r="546" spans="1:5" x14ac:dyDescent="0.25">
      <c r="A546" t="str">
        <f t="shared" si="9"/>
        <v xml:space="preserve">RST </v>
      </c>
      <c r="B546" t="s">
        <v>781</v>
      </c>
      <c r="C546" t="s">
        <v>5</v>
      </c>
      <c r="D546" t="s">
        <v>782</v>
      </c>
      <c r="E546" s="2">
        <v>4807</v>
      </c>
    </row>
    <row r="547" spans="1:5" x14ac:dyDescent="0.25">
      <c r="A547" t="str">
        <f t="shared" si="9"/>
        <v xml:space="preserve">RST </v>
      </c>
      <c r="B547" t="s">
        <v>783</v>
      </c>
      <c r="C547" t="s">
        <v>176</v>
      </c>
      <c r="D547" t="s">
        <v>784</v>
      </c>
      <c r="E547" s="2">
        <v>4788</v>
      </c>
    </row>
    <row r="548" spans="1:5" x14ac:dyDescent="0.25">
      <c r="A548" t="str">
        <f t="shared" si="9"/>
        <v xml:space="preserve">RST </v>
      </c>
      <c r="B548" t="s">
        <v>783</v>
      </c>
      <c r="C548" t="s">
        <v>320</v>
      </c>
      <c r="D548" t="s">
        <v>785</v>
      </c>
      <c r="E548" s="2">
        <v>4788</v>
      </c>
    </row>
    <row r="549" spans="1:5" x14ac:dyDescent="0.25">
      <c r="A549" t="str">
        <f t="shared" si="9"/>
        <v>Diod</v>
      </c>
      <c r="B549" t="s">
        <v>2423</v>
      </c>
      <c r="C549" t="s">
        <v>2467</v>
      </c>
      <c r="D549" t="s">
        <v>786</v>
      </c>
      <c r="E549" s="2">
        <v>4786</v>
      </c>
    </row>
    <row r="550" spans="1:5" x14ac:dyDescent="0.25">
      <c r="A550" t="str">
        <f t="shared" si="9"/>
        <v xml:space="preserve">RST </v>
      </c>
      <c r="B550" t="s">
        <v>787</v>
      </c>
      <c r="C550" t="s">
        <v>13</v>
      </c>
      <c r="D550" t="s">
        <v>788</v>
      </c>
      <c r="E550" s="2">
        <v>4785</v>
      </c>
    </row>
    <row r="551" spans="1:5" x14ac:dyDescent="0.25">
      <c r="A551" t="str">
        <f t="shared" si="9"/>
        <v>IC H</v>
      </c>
      <c r="B551" t="s">
        <v>789</v>
      </c>
      <c r="C551" t="s">
        <v>26</v>
      </c>
      <c r="D551" t="s">
        <v>790</v>
      </c>
      <c r="E551" s="2">
        <v>4767</v>
      </c>
    </row>
    <row r="552" spans="1:5" x14ac:dyDescent="0.25">
      <c r="A552" t="str">
        <f t="shared" si="9"/>
        <v>IC H</v>
      </c>
      <c r="B552" t="s">
        <v>789</v>
      </c>
      <c r="C552" t="s">
        <v>30</v>
      </c>
      <c r="D552" t="s">
        <v>790</v>
      </c>
      <c r="E552" s="2">
        <v>4767</v>
      </c>
    </row>
    <row r="553" spans="1:5" x14ac:dyDescent="0.25">
      <c r="A553" t="str">
        <f t="shared" si="9"/>
        <v>Capa</v>
      </c>
      <c r="B553" t="s">
        <v>2259</v>
      </c>
      <c r="C553" t="s">
        <v>49</v>
      </c>
      <c r="D553" t="s">
        <v>791</v>
      </c>
      <c r="E553" s="2">
        <v>4765</v>
      </c>
    </row>
    <row r="554" spans="1:5" x14ac:dyDescent="0.25">
      <c r="A554" t="str">
        <f t="shared" si="9"/>
        <v>MOSF</v>
      </c>
      <c r="B554" t="s">
        <v>2478</v>
      </c>
      <c r="C554" t="s">
        <v>37</v>
      </c>
      <c r="D554" t="s">
        <v>792</v>
      </c>
      <c r="E554" s="2">
        <v>4752</v>
      </c>
    </row>
    <row r="555" spans="1:5" x14ac:dyDescent="0.25">
      <c r="A555" t="str">
        <f t="shared" si="9"/>
        <v>MOSF</v>
      </c>
      <c r="B555" t="s">
        <v>2478</v>
      </c>
      <c r="C555" t="s">
        <v>37</v>
      </c>
      <c r="D555" t="s">
        <v>793</v>
      </c>
      <c r="E555" s="2">
        <v>4752</v>
      </c>
    </row>
    <row r="556" spans="1:5" x14ac:dyDescent="0.25">
      <c r="A556" t="str">
        <f t="shared" si="9"/>
        <v>MOSF</v>
      </c>
      <c r="B556" t="s">
        <v>2478</v>
      </c>
      <c r="C556" t="s">
        <v>37</v>
      </c>
      <c r="D556" t="s">
        <v>794</v>
      </c>
      <c r="E556" s="2">
        <v>4752</v>
      </c>
    </row>
    <row r="557" spans="1:5" x14ac:dyDescent="0.25">
      <c r="A557" t="str">
        <f t="shared" si="9"/>
        <v>CNTF</v>
      </c>
      <c r="B557" t="s">
        <v>795</v>
      </c>
      <c r="C557" t="s">
        <v>202</v>
      </c>
      <c r="D557" t="s">
        <v>796</v>
      </c>
      <c r="E557" s="2">
        <v>4743</v>
      </c>
    </row>
    <row r="558" spans="1:5" x14ac:dyDescent="0.25">
      <c r="A558" t="str">
        <f t="shared" si="9"/>
        <v xml:space="preserve">LED </v>
      </c>
      <c r="B558" t="s">
        <v>797</v>
      </c>
      <c r="C558" t="s">
        <v>130</v>
      </c>
      <c r="D558" t="s">
        <v>798</v>
      </c>
      <c r="E558" s="2">
        <v>4743</v>
      </c>
    </row>
    <row r="559" spans="1:5" x14ac:dyDescent="0.25">
      <c r="A559" t="str">
        <f t="shared" si="9"/>
        <v xml:space="preserve">LED </v>
      </c>
      <c r="B559" t="s">
        <v>797</v>
      </c>
      <c r="C559" t="s">
        <v>130</v>
      </c>
      <c r="D559" t="s">
        <v>799</v>
      </c>
      <c r="E559" s="2">
        <v>4743</v>
      </c>
    </row>
    <row r="560" spans="1:5" x14ac:dyDescent="0.25">
      <c r="A560" t="str">
        <f t="shared" si="9"/>
        <v xml:space="preserve">RST </v>
      </c>
      <c r="B560" t="s">
        <v>800</v>
      </c>
      <c r="C560" t="s">
        <v>10</v>
      </c>
      <c r="D560" t="s">
        <v>801</v>
      </c>
      <c r="E560" s="2">
        <v>4732</v>
      </c>
    </row>
    <row r="561" spans="1:5" x14ac:dyDescent="0.25">
      <c r="A561" t="str">
        <f t="shared" si="9"/>
        <v>Capa</v>
      </c>
      <c r="B561" t="s">
        <v>2260</v>
      </c>
      <c r="C561" t="s">
        <v>47</v>
      </c>
      <c r="D561" t="s">
        <v>802</v>
      </c>
      <c r="E561" s="2">
        <v>4722</v>
      </c>
    </row>
    <row r="562" spans="1:5" x14ac:dyDescent="0.25">
      <c r="A562" t="str">
        <f t="shared" si="9"/>
        <v xml:space="preserve">MOS </v>
      </c>
      <c r="B562" t="s">
        <v>803</v>
      </c>
      <c r="C562" t="s">
        <v>556</v>
      </c>
      <c r="D562" t="s">
        <v>804</v>
      </c>
      <c r="E562" s="2">
        <v>4713</v>
      </c>
    </row>
    <row r="563" spans="1:5" x14ac:dyDescent="0.25">
      <c r="A563" t="str">
        <f t="shared" si="9"/>
        <v xml:space="preserve">MOS </v>
      </c>
      <c r="B563" t="s">
        <v>803</v>
      </c>
      <c r="C563" t="s">
        <v>2467</v>
      </c>
      <c r="D563" t="s">
        <v>805</v>
      </c>
      <c r="E563" s="2">
        <v>4713</v>
      </c>
    </row>
    <row r="564" spans="1:5" x14ac:dyDescent="0.25">
      <c r="A564" t="str">
        <f t="shared" si="9"/>
        <v xml:space="preserve">MOS </v>
      </c>
      <c r="B564" t="s">
        <v>803</v>
      </c>
      <c r="C564" t="s">
        <v>257</v>
      </c>
      <c r="D564" t="s">
        <v>806</v>
      </c>
      <c r="E564" s="2">
        <v>4713</v>
      </c>
    </row>
    <row r="565" spans="1:5" x14ac:dyDescent="0.25">
      <c r="A565" t="str">
        <f t="shared" si="9"/>
        <v>Capa</v>
      </c>
      <c r="B565" t="s">
        <v>2261</v>
      </c>
      <c r="C565" t="s">
        <v>49</v>
      </c>
      <c r="D565" t="s">
        <v>807</v>
      </c>
      <c r="E565" s="2">
        <v>4710</v>
      </c>
    </row>
    <row r="566" spans="1:5" x14ac:dyDescent="0.25">
      <c r="A566" t="str">
        <f t="shared" si="9"/>
        <v xml:space="preserve">LED </v>
      </c>
      <c r="B566" t="s">
        <v>808</v>
      </c>
      <c r="C566" t="s">
        <v>132</v>
      </c>
      <c r="D566" t="s">
        <v>809</v>
      </c>
      <c r="E566" s="2">
        <v>4705</v>
      </c>
    </row>
    <row r="567" spans="1:5" x14ac:dyDescent="0.25">
      <c r="A567" t="str">
        <f t="shared" si="9"/>
        <v xml:space="preserve">LED </v>
      </c>
      <c r="B567" t="s">
        <v>808</v>
      </c>
      <c r="C567" t="s">
        <v>132</v>
      </c>
      <c r="D567" t="s">
        <v>810</v>
      </c>
      <c r="E567" s="2">
        <v>4705</v>
      </c>
    </row>
    <row r="568" spans="1:5" x14ac:dyDescent="0.25">
      <c r="A568" t="str">
        <f t="shared" si="9"/>
        <v xml:space="preserve">LED </v>
      </c>
      <c r="B568" t="s">
        <v>808</v>
      </c>
      <c r="C568" t="s">
        <v>132</v>
      </c>
      <c r="D568" t="s">
        <v>811</v>
      </c>
      <c r="E568" s="2">
        <v>4705</v>
      </c>
    </row>
    <row r="569" spans="1:5" x14ac:dyDescent="0.25">
      <c r="A569" t="str">
        <f t="shared" si="9"/>
        <v xml:space="preserve">LED </v>
      </c>
      <c r="B569" t="s">
        <v>808</v>
      </c>
      <c r="C569" t="s">
        <v>132</v>
      </c>
      <c r="D569" t="s">
        <v>812</v>
      </c>
      <c r="E569" s="2">
        <v>4705</v>
      </c>
    </row>
    <row r="570" spans="1:5" x14ac:dyDescent="0.25">
      <c r="A570" t="str">
        <f t="shared" si="9"/>
        <v xml:space="preserve">LED </v>
      </c>
      <c r="B570" t="s">
        <v>808</v>
      </c>
      <c r="C570" t="s">
        <v>110</v>
      </c>
      <c r="D570" t="s">
        <v>813</v>
      </c>
      <c r="E570" s="2">
        <v>4705</v>
      </c>
    </row>
    <row r="571" spans="1:5" x14ac:dyDescent="0.25">
      <c r="A571" t="str">
        <f t="shared" si="9"/>
        <v xml:space="preserve">LED </v>
      </c>
      <c r="B571" t="s">
        <v>808</v>
      </c>
      <c r="C571" t="s">
        <v>110</v>
      </c>
      <c r="D571" t="s">
        <v>814</v>
      </c>
      <c r="E571" s="2">
        <v>4705</v>
      </c>
    </row>
    <row r="572" spans="1:5" x14ac:dyDescent="0.25">
      <c r="A572" t="str">
        <f t="shared" si="9"/>
        <v xml:space="preserve">LED </v>
      </c>
      <c r="B572" t="s">
        <v>808</v>
      </c>
      <c r="C572" t="s">
        <v>138</v>
      </c>
      <c r="D572" t="s">
        <v>815</v>
      </c>
      <c r="E572" s="2">
        <v>4705</v>
      </c>
    </row>
    <row r="573" spans="1:5" x14ac:dyDescent="0.25">
      <c r="A573" t="str">
        <f t="shared" si="9"/>
        <v xml:space="preserve">LED </v>
      </c>
      <c r="B573" t="s">
        <v>808</v>
      </c>
      <c r="C573" t="s">
        <v>816</v>
      </c>
      <c r="D573" t="s">
        <v>817</v>
      </c>
      <c r="E573" s="2">
        <v>4705</v>
      </c>
    </row>
    <row r="574" spans="1:5" x14ac:dyDescent="0.25">
      <c r="A574" t="str">
        <f t="shared" si="9"/>
        <v xml:space="preserve">RST </v>
      </c>
      <c r="B574" t="s">
        <v>818</v>
      </c>
      <c r="C574" t="s">
        <v>13</v>
      </c>
      <c r="D574" t="s">
        <v>819</v>
      </c>
      <c r="E574" s="2">
        <v>4693</v>
      </c>
    </row>
    <row r="575" spans="1:5" x14ac:dyDescent="0.25">
      <c r="A575" t="str">
        <f t="shared" si="9"/>
        <v xml:space="preserve">RST </v>
      </c>
      <c r="B575" t="s">
        <v>818</v>
      </c>
      <c r="C575" t="s">
        <v>320</v>
      </c>
      <c r="D575" t="s">
        <v>820</v>
      </c>
      <c r="E575" s="2">
        <v>4693</v>
      </c>
    </row>
    <row r="576" spans="1:5" x14ac:dyDescent="0.25">
      <c r="A576" t="str">
        <f t="shared" si="9"/>
        <v xml:space="preserve">RST </v>
      </c>
      <c r="B576" t="s">
        <v>818</v>
      </c>
      <c r="C576" t="s">
        <v>207</v>
      </c>
      <c r="D576" t="s">
        <v>821</v>
      </c>
      <c r="E576" s="2">
        <v>4693</v>
      </c>
    </row>
    <row r="577" spans="1:5" x14ac:dyDescent="0.25">
      <c r="A577" t="str">
        <f t="shared" si="9"/>
        <v xml:space="preserve">RST </v>
      </c>
      <c r="B577" t="s">
        <v>822</v>
      </c>
      <c r="C577" t="s">
        <v>13</v>
      </c>
      <c r="D577" t="s">
        <v>823</v>
      </c>
      <c r="E577" s="2">
        <v>4681</v>
      </c>
    </row>
    <row r="578" spans="1:5" x14ac:dyDescent="0.25">
      <c r="A578" t="str">
        <f t="shared" si="9"/>
        <v xml:space="preserve">RST </v>
      </c>
      <c r="B578" t="s">
        <v>822</v>
      </c>
      <c r="C578" t="s">
        <v>320</v>
      </c>
      <c r="D578" t="s">
        <v>824</v>
      </c>
      <c r="E578" s="2">
        <v>4681</v>
      </c>
    </row>
    <row r="579" spans="1:5" x14ac:dyDescent="0.25">
      <c r="A579" t="str">
        <f t="shared" si="9"/>
        <v>ICI8</v>
      </c>
      <c r="B579" t="s">
        <v>2386</v>
      </c>
      <c r="C579" t="s">
        <v>825</v>
      </c>
      <c r="D579" t="s">
        <v>826</v>
      </c>
      <c r="E579" s="2">
        <v>4676</v>
      </c>
    </row>
    <row r="580" spans="1:5" x14ac:dyDescent="0.25">
      <c r="A580" t="str">
        <f t="shared" si="9"/>
        <v>IC R</v>
      </c>
      <c r="B580" t="s">
        <v>827</v>
      </c>
      <c r="C580" t="s">
        <v>151</v>
      </c>
      <c r="D580" t="s">
        <v>828</v>
      </c>
      <c r="E580" s="2">
        <v>4675</v>
      </c>
    </row>
    <row r="581" spans="1:5" x14ac:dyDescent="0.25">
      <c r="A581" t="str">
        <f t="shared" si="9"/>
        <v>IC R</v>
      </c>
      <c r="B581" t="s">
        <v>827</v>
      </c>
      <c r="C581" t="s">
        <v>151</v>
      </c>
      <c r="D581" t="s">
        <v>829</v>
      </c>
      <c r="E581" s="2">
        <v>4675</v>
      </c>
    </row>
    <row r="582" spans="1:5" x14ac:dyDescent="0.25">
      <c r="A582" t="str">
        <f t="shared" ref="A582:A645" si="10">LEFT(B582,4)</f>
        <v>Diod</v>
      </c>
      <c r="B582" t="s">
        <v>2424</v>
      </c>
      <c r="C582" t="s">
        <v>61</v>
      </c>
      <c r="D582" t="s">
        <v>830</v>
      </c>
      <c r="E582" s="2">
        <v>4674</v>
      </c>
    </row>
    <row r="583" spans="1:5" x14ac:dyDescent="0.25">
      <c r="A583" t="str">
        <f t="shared" si="10"/>
        <v xml:space="preserve">RST </v>
      </c>
      <c r="B583" t="s">
        <v>831</v>
      </c>
      <c r="C583" t="s">
        <v>37</v>
      </c>
      <c r="D583" t="s">
        <v>832</v>
      </c>
      <c r="E583" s="2">
        <v>4662</v>
      </c>
    </row>
    <row r="584" spans="1:5" x14ac:dyDescent="0.25">
      <c r="A584" t="str">
        <f t="shared" si="10"/>
        <v>Capa</v>
      </c>
      <c r="B584" t="s">
        <v>2262</v>
      </c>
      <c r="C584" t="s">
        <v>47</v>
      </c>
      <c r="D584" t="s">
        <v>439</v>
      </c>
      <c r="E584" s="2">
        <v>4661</v>
      </c>
    </row>
    <row r="585" spans="1:5" x14ac:dyDescent="0.25">
      <c r="A585" t="str">
        <f t="shared" si="10"/>
        <v>Capa</v>
      </c>
      <c r="B585" t="s">
        <v>2262</v>
      </c>
      <c r="C585" t="s">
        <v>10</v>
      </c>
      <c r="D585" t="s">
        <v>833</v>
      </c>
      <c r="E585" s="2">
        <v>4661</v>
      </c>
    </row>
    <row r="586" spans="1:5" x14ac:dyDescent="0.25">
      <c r="A586" t="str">
        <f t="shared" si="10"/>
        <v xml:space="preserve">RST </v>
      </c>
      <c r="B586" t="s">
        <v>834</v>
      </c>
      <c r="C586" t="s">
        <v>37</v>
      </c>
      <c r="D586" t="s">
        <v>835</v>
      </c>
      <c r="E586" s="2">
        <v>4656</v>
      </c>
    </row>
    <row r="587" spans="1:5" x14ac:dyDescent="0.25">
      <c r="A587" t="str">
        <f t="shared" si="10"/>
        <v xml:space="preserve">RST </v>
      </c>
      <c r="B587" t="s">
        <v>836</v>
      </c>
      <c r="C587" t="s">
        <v>176</v>
      </c>
      <c r="D587" t="s">
        <v>837</v>
      </c>
      <c r="E587" s="2">
        <v>4630</v>
      </c>
    </row>
    <row r="588" spans="1:5" x14ac:dyDescent="0.25">
      <c r="A588" t="str">
        <f t="shared" si="10"/>
        <v xml:space="preserve">RST </v>
      </c>
      <c r="B588" t="s">
        <v>836</v>
      </c>
      <c r="C588" t="s">
        <v>13</v>
      </c>
      <c r="D588" t="s">
        <v>838</v>
      </c>
      <c r="E588" s="2">
        <v>4630</v>
      </c>
    </row>
    <row r="589" spans="1:5" x14ac:dyDescent="0.25">
      <c r="A589" t="str">
        <f t="shared" si="10"/>
        <v xml:space="preserve">RST </v>
      </c>
      <c r="B589" t="s">
        <v>836</v>
      </c>
      <c r="C589" t="s">
        <v>89</v>
      </c>
      <c r="D589" t="s">
        <v>839</v>
      </c>
      <c r="E589" s="2">
        <v>4630</v>
      </c>
    </row>
    <row r="590" spans="1:5" x14ac:dyDescent="0.25">
      <c r="A590" t="str">
        <f t="shared" si="10"/>
        <v>Diod</v>
      </c>
      <c r="B590" t="s">
        <v>2425</v>
      </c>
      <c r="C590" t="s">
        <v>30</v>
      </c>
      <c r="D590" t="s">
        <v>840</v>
      </c>
      <c r="E590" s="2">
        <v>4563</v>
      </c>
    </row>
    <row r="591" spans="1:5" x14ac:dyDescent="0.25">
      <c r="A591" t="str">
        <f t="shared" si="10"/>
        <v xml:space="preserve">RST </v>
      </c>
      <c r="B591" t="s">
        <v>841</v>
      </c>
      <c r="C591" t="s">
        <v>320</v>
      </c>
      <c r="D591" t="s">
        <v>842</v>
      </c>
      <c r="E591" s="2">
        <v>4525</v>
      </c>
    </row>
    <row r="592" spans="1:5" x14ac:dyDescent="0.25">
      <c r="A592" t="str">
        <f t="shared" si="10"/>
        <v xml:space="preserve">RST </v>
      </c>
      <c r="B592" t="s">
        <v>841</v>
      </c>
      <c r="C592" t="s">
        <v>207</v>
      </c>
      <c r="D592" t="s">
        <v>843</v>
      </c>
      <c r="E592" s="2">
        <v>4525</v>
      </c>
    </row>
    <row r="593" spans="1:5" x14ac:dyDescent="0.25">
      <c r="A593" t="str">
        <f t="shared" si="10"/>
        <v xml:space="preserve">RST </v>
      </c>
      <c r="B593" t="s">
        <v>844</v>
      </c>
      <c r="C593" t="s">
        <v>13</v>
      </c>
      <c r="D593" t="s">
        <v>191</v>
      </c>
      <c r="E593" s="2">
        <v>4520</v>
      </c>
    </row>
    <row r="594" spans="1:5" x14ac:dyDescent="0.25">
      <c r="A594" t="str">
        <f t="shared" si="10"/>
        <v xml:space="preserve">RST </v>
      </c>
      <c r="B594" t="s">
        <v>844</v>
      </c>
      <c r="C594" t="s">
        <v>320</v>
      </c>
      <c r="D594" t="s">
        <v>845</v>
      </c>
      <c r="E594" s="2">
        <v>4520</v>
      </c>
    </row>
    <row r="595" spans="1:5" x14ac:dyDescent="0.25">
      <c r="A595" t="str">
        <f t="shared" si="10"/>
        <v>08-5</v>
      </c>
      <c r="B595" t="s">
        <v>846</v>
      </c>
      <c r="C595" t="s">
        <v>160</v>
      </c>
      <c r="D595" t="s">
        <v>847</v>
      </c>
      <c r="E595" s="2">
        <v>4500</v>
      </c>
    </row>
    <row r="596" spans="1:5" x14ac:dyDescent="0.25">
      <c r="A596" t="str">
        <f t="shared" si="10"/>
        <v>08-5</v>
      </c>
      <c r="B596" t="s">
        <v>846</v>
      </c>
      <c r="C596" t="s">
        <v>160</v>
      </c>
      <c r="D596" t="s">
        <v>846</v>
      </c>
      <c r="E596" s="2">
        <v>4500</v>
      </c>
    </row>
    <row r="597" spans="1:5" x14ac:dyDescent="0.25">
      <c r="A597" t="str">
        <f t="shared" si="10"/>
        <v>08-5</v>
      </c>
      <c r="B597" t="s">
        <v>846</v>
      </c>
      <c r="C597" t="s">
        <v>160</v>
      </c>
      <c r="D597" t="s">
        <v>848</v>
      </c>
      <c r="E597" s="2">
        <v>4500</v>
      </c>
    </row>
    <row r="598" spans="1:5" x14ac:dyDescent="0.25">
      <c r="A598" t="str">
        <f t="shared" si="10"/>
        <v>08-5</v>
      </c>
      <c r="B598" t="s">
        <v>846</v>
      </c>
      <c r="C598" t="s">
        <v>160</v>
      </c>
      <c r="D598" t="s">
        <v>849</v>
      </c>
      <c r="E598" s="2">
        <v>4500</v>
      </c>
    </row>
    <row r="599" spans="1:5" x14ac:dyDescent="0.25">
      <c r="A599" t="str">
        <f t="shared" si="10"/>
        <v>Diod</v>
      </c>
      <c r="B599" t="s">
        <v>2426</v>
      </c>
      <c r="C599" t="s">
        <v>57</v>
      </c>
      <c r="D599" t="s">
        <v>850</v>
      </c>
      <c r="E599" s="2">
        <v>4489</v>
      </c>
    </row>
    <row r="600" spans="1:5" x14ac:dyDescent="0.25">
      <c r="A600" t="str">
        <f t="shared" si="10"/>
        <v>Diod</v>
      </c>
      <c r="B600" t="s">
        <v>2426</v>
      </c>
      <c r="C600" t="s">
        <v>89</v>
      </c>
      <c r="D600" t="s">
        <v>850</v>
      </c>
      <c r="E600" s="2">
        <v>4489</v>
      </c>
    </row>
    <row r="601" spans="1:5" x14ac:dyDescent="0.25">
      <c r="A601" t="str">
        <f t="shared" si="10"/>
        <v xml:space="preserve">RST </v>
      </c>
      <c r="B601" t="s">
        <v>851</v>
      </c>
      <c r="C601" t="s">
        <v>13</v>
      </c>
      <c r="D601" t="s">
        <v>852</v>
      </c>
      <c r="E601" s="2">
        <v>4479</v>
      </c>
    </row>
    <row r="602" spans="1:5" x14ac:dyDescent="0.25">
      <c r="A602" t="str">
        <f t="shared" si="10"/>
        <v>Capa</v>
      </c>
      <c r="B602" t="s">
        <v>2263</v>
      </c>
      <c r="C602" t="s">
        <v>8</v>
      </c>
      <c r="D602" t="s">
        <v>853</v>
      </c>
      <c r="E602" s="2">
        <v>4468</v>
      </c>
    </row>
    <row r="603" spans="1:5" x14ac:dyDescent="0.25">
      <c r="A603" t="str">
        <f t="shared" si="10"/>
        <v>Capa</v>
      </c>
      <c r="B603" t="s">
        <v>2263</v>
      </c>
      <c r="C603" t="s">
        <v>8</v>
      </c>
      <c r="D603" t="s">
        <v>854</v>
      </c>
      <c r="E603" s="2">
        <v>4468</v>
      </c>
    </row>
    <row r="604" spans="1:5" x14ac:dyDescent="0.25">
      <c r="A604" t="str">
        <f t="shared" si="10"/>
        <v>Capa</v>
      </c>
      <c r="B604" t="s">
        <v>2263</v>
      </c>
      <c r="C604" t="s">
        <v>10</v>
      </c>
      <c r="D604" t="s">
        <v>855</v>
      </c>
      <c r="E604" s="2">
        <v>4468</v>
      </c>
    </row>
    <row r="605" spans="1:5" x14ac:dyDescent="0.25">
      <c r="A605" t="str">
        <f t="shared" si="10"/>
        <v xml:space="preserve">RST </v>
      </c>
      <c r="B605" t="s">
        <v>856</v>
      </c>
      <c r="C605" t="s">
        <v>13</v>
      </c>
      <c r="D605" t="s">
        <v>857</v>
      </c>
      <c r="E605" s="2">
        <v>4449</v>
      </c>
    </row>
    <row r="606" spans="1:5" x14ac:dyDescent="0.25">
      <c r="A606" t="str">
        <f t="shared" si="10"/>
        <v xml:space="preserve">RST </v>
      </c>
      <c r="B606" t="s">
        <v>856</v>
      </c>
      <c r="C606" t="s">
        <v>320</v>
      </c>
      <c r="D606" t="s">
        <v>858</v>
      </c>
      <c r="E606" s="2">
        <v>4449</v>
      </c>
    </row>
    <row r="607" spans="1:5" x14ac:dyDescent="0.25">
      <c r="A607" t="str">
        <f t="shared" si="10"/>
        <v xml:space="preserve">RST </v>
      </c>
      <c r="B607" t="s">
        <v>859</v>
      </c>
      <c r="C607" t="s">
        <v>13</v>
      </c>
      <c r="D607" t="s">
        <v>860</v>
      </c>
      <c r="E607" s="2">
        <v>4421</v>
      </c>
    </row>
    <row r="608" spans="1:5" x14ac:dyDescent="0.25">
      <c r="A608" t="str">
        <f t="shared" si="10"/>
        <v xml:space="preserve">RST </v>
      </c>
      <c r="B608" t="s">
        <v>861</v>
      </c>
      <c r="C608" t="s">
        <v>5</v>
      </c>
      <c r="D608" t="s">
        <v>862</v>
      </c>
      <c r="E608" s="2">
        <v>4415</v>
      </c>
    </row>
    <row r="609" spans="1:5" x14ac:dyDescent="0.25">
      <c r="A609" t="str">
        <f t="shared" si="10"/>
        <v xml:space="preserve">RST </v>
      </c>
      <c r="B609" t="s">
        <v>861</v>
      </c>
      <c r="C609" t="s">
        <v>320</v>
      </c>
      <c r="D609" t="s">
        <v>863</v>
      </c>
      <c r="E609" s="2">
        <v>4415</v>
      </c>
    </row>
    <row r="610" spans="1:5" x14ac:dyDescent="0.25">
      <c r="A610" t="str">
        <f t="shared" si="10"/>
        <v xml:space="preserve">RST </v>
      </c>
      <c r="B610" t="s">
        <v>864</v>
      </c>
      <c r="C610" t="s">
        <v>37</v>
      </c>
      <c r="D610" t="s">
        <v>865</v>
      </c>
      <c r="E610" s="2">
        <v>4394</v>
      </c>
    </row>
    <row r="611" spans="1:5" x14ac:dyDescent="0.25">
      <c r="A611" t="str">
        <f t="shared" si="10"/>
        <v xml:space="preserve">RST </v>
      </c>
      <c r="B611" t="s">
        <v>864</v>
      </c>
      <c r="C611" t="s">
        <v>320</v>
      </c>
      <c r="D611" t="s">
        <v>866</v>
      </c>
      <c r="E611" s="2">
        <v>4394</v>
      </c>
    </row>
    <row r="612" spans="1:5" x14ac:dyDescent="0.25">
      <c r="A612" t="str">
        <f t="shared" si="10"/>
        <v xml:space="preserve">RST </v>
      </c>
      <c r="B612" t="s">
        <v>867</v>
      </c>
      <c r="C612" t="s">
        <v>37</v>
      </c>
      <c r="D612" t="s">
        <v>868</v>
      </c>
      <c r="E612" s="2">
        <v>4380</v>
      </c>
    </row>
    <row r="613" spans="1:5" x14ac:dyDescent="0.25">
      <c r="A613" t="str">
        <f t="shared" si="10"/>
        <v xml:space="preserve">RST </v>
      </c>
      <c r="B613" t="s">
        <v>869</v>
      </c>
      <c r="C613" t="s">
        <v>13</v>
      </c>
      <c r="D613" t="s">
        <v>870</v>
      </c>
      <c r="E613" s="2">
        <v>4368</v>
      </c>
    </row>
    <row r="614" spans="1:5" x14ac:dyDescent="0.25">
      <c r="A614" t="str">
        <f t="shared" si="10"/>
        <v xml:space="preserve">RST </v>
      </c>
      <c r="B614" t="s">
        <v>871</v>
      </c>
      <c r="C614" t="s">
        <v>37</v>
      </c>
      <c r="D614" t="s">
        <v>872</v>
      </c>
      <c r="E614" s="2">
        <v>4352</v>
      </c>
    </row>
    <row r="615" spans="1:5" x14ac:dyDescent="0.25">
      <c r="A615" t="str">
        <f t="shared" si="10"/>
        <v>IC L</v>
      </c>
      <c r="B615" t="s">
        <v>873</v>
      </c>
      <c r="C615" t="s">
        <v>28</v>
      </c>
      <c r="D615" t="s">
        <v>874</v>
      </c>
      <c r="E615" s="2">
        <v>4338</v>
      </c>
    </row>
    <row r="616" spans="1:5" x14ac:dyDescent="0.25">
      <c r="A616" t="str">
        <f t="shared" si="10"/>
        <v>IC L</v>
      </c>
      <c r="B616" t="s">
        <v>873</v>
      </c>
      <c r="C616" t="s">
        <v>61</v>
      </c>
      <c r="D616" t="s">
        <v>875</v>
      </c>
      <c r="E616" s="2">
        <v>4338</v>
      </c>
    </row>
    <row r="617" spans="1:5" x14ac:dyDescent="0.25">
      <c r="A617" t="str">
        <f t="shared" si="10"/>
        <v>IC L</v>
      </c>
      <c r="B617" t="s">
        <v>873</v>
      </c>
      <c r="C617" t="s">
        <v>61</v>
      </c>
      <c r="D617" t="s">
        <v>876</v>
      </c>
      <c r="E617" s="2">
        <v>4338</v>
      </c>
    </row>
    <row r="618" spans="1:5" x14ac:dyDescent="0.25">
      <c r="A618" t="str">
        <f t="shared" si="10"/>
        <v xml:space="preserve">RST </v>
      </c>
      <c r="B618" t="s">
        <v>877</v>
      </c>
      <c r="C618" t="s">
        <v>37</v>
      </c>
      <c r="D618" t="s">
        <v>878</v>
      </c>
      <c r="E618" s="2">
        <v>4337</v>
      </c>
    </row>
    <row r="619" spans="1:5" x14ac:dyDescent="0.25">
      <c r="A619" t="str">
        <f t="shared" si="10"/>
        <v>MA-1</v>
      </c>
      <c r="B619" t="s">
        <v>879</v>
      </c>
      <c r="C619" t="s">
        <v>37</v>
      </c>
      <c r="D619" t="s">
        <v>880</v>
      </c>
      <c r="E619" s="2">
        <v>4335</v>
      </c>
    </row>
    <row r="620" spans="1:5" x14ac:dyDescent="0.25">
      <c r="A620" t="str">
        <f t="shared" si="10"/>
        <v>MA-1</v>
      </c>
      <c r="B620" t="s">
        <v>879</v>
      </c>
      <c r="C620" t="s">
        <v>320</v>
      </c>
      <c r="D620" t="s">
        <v>881</v>
      </c>
      <c r="E620" s="2">
        <v>4335</v>
      </c>
    </row>
    <row r="621" spans="1:5" x14ac:dyDescent="0.25">
      <c r="A621" t="str">
        <f t="shared" si="10"/>
        <v>MA-1</v>
      </c>
      <c r="B621" t="s">
        <v>879</v>
      </c>
      <c r="C621" t="s">
        <v>207</v>
      </c>
      <c r="D621" t="s">
        <v>882</v>
      </c>
      <c r="E621" s="2">
        <v>4335</v>
      </c>
    </row>
    <row r="622" spans="1:5" x14ac:dyDescent="0.25">
      <c r="A622" t="str">
        <f t="shared" si="10"/>
        <v>Capa</v>
      </c>
      <c r="B622" t="s">
        <v>2264</v>
      </c>
      <c r="C622" t="s">
        <v>47</v>
      </c>
      <c r="D622" t="s">
        <v>883</v>
      </c>
      <c r="E622" s="2">
        <v>4325</v>
      </c>
    </row>
    <row r="623" spans="1:5" x14ac:dyDescent="0.25">
      <c r="A623" t="str">
        <f t="shared" si="10"/>
        <v>Capa</v>
      </c>
      <c r="B623" t="s">
        <v>2264</v>
      </c>
      <c r="C623" t="s">
        <v>123</v>
      </c>
      <c r="D623" t="s">
        <v>884</v>
      </c>
      <c r="E623" s="2">
        <v>4325</v>
      </c>
    </row>
    <row r="624" spans="1:5" x14ac:dyDescent="0.25">
      <c r="A624" t="str">
        <f t="shared" si="10"/>
        <v xml:space="preserve">RST </v>
      </c>
      <c r="B624" t="s">
        <v>885</v>
      </c>
      <c r="C624" t="s">
        <v>5</v>
      </c>
      <c r="D624" t="s">
        <v>886</v>
      </c>
      <c r="E624" s="2">
        <v>4324</v>
      </c>
    </row>
    <row r="625" spans="1:5" x14ac:dyDescent="0.25">
      <c r="A625" t="str">
        <f t="shared" si="10"/>
        <v>Diod</v>
      </c>
      <c r="B625" t="s">
        <v>2427</v>
      </c>
      <c r="C625" t="s">
        <v>37</v>
      </c>
      <c r="D625" t="s">
        <v>887</v>
      </c>
      <c r="E625" s="2">
        <v>4320</v>
      </c>
    </row>
    <row r="626" spans="1:5" x14ac:dyDescent="0.25">
      <c r="A626" t="str">
        <f t="shared" si="10"/>
        <v>Diod</v>
      </c>
      <c r="B626" t="s">
        <v>2427</v>
      </c>
      <c r="C626" t="s">
        <v>2467</v>
      </c>
      <c r="D626" t="s">
        <v>888</v>
      </c>
      <c r="E626" s="2">
        <v>4320</v>
      </c>
    </row>
    <row r="627" spans="1:5" x14ac:dyDescent="0.25">
      <c r="A627" t="str">
        <f t="shared" si="10"/>
        <v>Diod</v>
      </c>
      <c r="B627" t="s">
        <v>2427</v>
      </c>
      <c r="C627" t="s">
        <v>61</v>
      </c>
      <c r="D627" t="s">
        <v>889</v>
      </c>
      <c r="E627" s="2">
        <v>4320</v>
      </c>
    </row>
    <row r="628" spans="1:5" x14ac:dyDescent="0.25">
      <c r="A628" t="str">
        <f t="shared" si="10"/>
        <v>Diod</v>
      </c>
      <c r="B628" t="s">
        <v>2427</v>
      </c>
      <c r="C628" t="s">
        <v>30</v>
      </c>
      <c r="D628" t="s">
        <v>890</v>
      </c>
      <c r="E628" s="2">
        <v>4320</v>
      </c>
    </row>
    <row r="629" spans="1:5" x14ac:dyDescent="0.25">
      <c r="A629" t="str">
        <f t="shared" si="10"/>
        <v>Capa</v>
      </c>
      <c r="B629" t="s">
        <v>2265</v>
      </c>
      <c r="C629" t="s">
        <v>49</v>
      </c>
      <c r="D629" t="s">
        <v>891</v>
      </c>
      <c r="E629" s="2">
        <v>4259</v>
      </c>
    </row>
    <row r="630" spans="1:5" x14ac:dyDescent="0.25">
      <c r="A630" t="str">
        <f t="shared" si="10"/>
        <v xml:space="preserve">IND </v>
      </c>
      <c r="B630" t="s">
        <v>892</v>
      </c>
      <c r="C630" t="s">
        <v>64</v>
      </c>
      <c r="D630" t="s">
        <v>893</v>
      </c>
      <c r="E630" s="2">
        <v>4245</v>
      </c>
    </row>
    <row r="631" spans="1:5" x14ac:dyDescent="0.25">
      <c r="A631" t="str">
        <f t="shared" si="10"/>
        <v xml:space="preserve">IND </v>
      </c>
      <c r="B631" t="s">
        <v>892</v>
      </c>
      <c r="C631" t="s">
        <v>62</v>
      </c>
      <c r="D631" t="s">
        <v>894</v>
      </c>
      <c r="E631" s="2">
        <v>4245</v>
      </c>
    </row>
    <row r="632" spans="1:5" x14ac:dyDescent="0.25">
      <c r="A632" t="str">
        <f t="shared" si="10"/>
        <v xml:space="preserve">IND </v>
      </c>
      <c r="B632" t="s">
        <v>892</v>
      </c>
      <c r="C632" t="s">
        <v>62</v>
      </c>
      <c r="D632" t="s">
        <v>895</v>
      </c>
      <c r="E632" s="2">
        <v>4245</v>
      </c>
    </row>
    <row r="633" spans="1:5" x14ac:dyDescent="0.25">
      <c r="A633" t="str">
        <f t="shared" si="10"/>
        <v xml:space="preserve">RST </v>
      </c>
      <c r="B633" t="s">
        <v>896</v>
      </c>
      <c r="C633" t="s">
        <v>13</v>
      </c>
      <c r="D633" t="s">
        <v>897</v>
      </c>
      <c r="E633" s="2">
        <v>4225</v>
      </c>
    </row>
    <row r="634" spans="1:5" x14ac:dyDescent="0.25">
      <c r="A634" t="str">
        <f t="shared" si="10"/>
        <v>Capa</v>
      </c>
      <c r="B634" t="s">
        <v>2266</v>
      </c>
      <c r="C634" t="s">
        <v>13</v>
      </c>
      <c r="D634" t="s">
        <v>898</v>
      </c>
      <c r="E634" s="2">
        <v>4214</v>
      </c>
    </row>
    <row r="635" spans="1:5" x14ac:dyDescent="0.25">
      <c r="A635" t="str">
        <f t="shared" si="10"/>
        <v>Capa</v>
      </c>
      <c r="B635" t="s">
        <v>2266</v>
      </c>
      <c r="C635" t="s">
        <v>47</v>
      </c>
      <c r="D635" t="s">
        <v>899</v>
      </c>
      <c r="E635" s="2">
        <v>4214</v>
      </c>
    </row>
    <row r="636" spans="1:5" x14ac:dyDescent="0.25">
      <c r="A636" t="str">
        <f t="shared" si="10"/>
        <v>Capa</v>
      </c>
      <c r="B636" t="s">
        <v>2266</v>
      </c>
      <c r="C636" t="s">
        <v>37</v>
      </c>
      <c r="D636" t="s">
        <v>900</v>
      </c>
      <c r="E636" s="2">
        <v>4214</v>
      </c>
    </row>
    <row r="637" spans="1:5" x14ac:dyDescent="0.25">
      <c r="A637" t="str">
        <f t="shared" si="10"/>
        <v xml:space="preserve">RST </v>
      </c>
      <c r="B637" t="s">
        <v>901</v>
      </c>
      <c r="C637" t="s">
        <v>37</v>
      </c>
      <c r="D637" t="s">
        <v>902</v>
      </c>
      <c r="E637" s="2">
        <v>4214</v>
      </c>
    </row>
    <row r="638" spans="1:5" x14ac:dyDescent="0.25">
      <c r="A638" t="str">
        <f t="shared" si="10"/>
        <v xml:space="preserve">RST </v>
      </c>
      <c r="B638" t="s">
        <v>901</v>
      </c>
      <c r="C638" t="s">
        <v>320</v>
      </c>
      <c r="D638" t="s">
        <v>903</v>
      </c>
      <c r="E638" s="2">
        <v>4214</v>
      </c>
    </row>
    <row r="639" spans="1:5" x14ac:dyDescent="0.25">
      <c r="A639" t="str">
        <f t="shared" si="10"/>
        <v xml:space="preserve">RST </v>
      </c>
      <c r="B639" t="s">
        <v>904</v>
      </c>
      <c r="C639" t="s">
        <v>13</v>
      </c>
      <c r="D639" t="s">
        <v>905</v>
      </c>
      <c r="E639" s="2">
        <v>4200</v>
      </c>
    </row>
    <row r="640" spans="1:5" x14ac:dyDescent="0.25">
      <c r="A640" t="str">
        <f t="shared" si="10"/>
        <v xml:space="preserve">RST </v>
      </c>
      <c r="B640" t="s">
        <v>904</v>
      </c>
      <c r="C640" t="s">
        <v>320</v>
      </c>
      <c r="D640" t="s">
        <v>906</v>
      </c>
      <c r="E640" s="2">
        <v>4200</v>
      </c>
    </row>
    <row r="641" spans="1:5" x14ac:dyDescent="0.25">
      <c r="A641" t="str">
        <f t="shared" si="10"/>
        <v xml:space="preserve">RST </v>
      </c>
      <c r="B641" t="s">
        <v>907</v>
      </c>
      <c r="C641" t="s">
        <v>13</v>
      </c>
      <c r="D641" t="s">
        <v>908</v>
      </c>
      <c r="E641" s="2">
        <v>4192</v>
      </c>
    </row>
    <row r="642" spans="1:5" x14ac:dyDescent="0.25">
      <c r="A642" t="str">
        <f t="shared" si="10"/>
        <v xml:space="preserve">RST </v>
      </c>
      <c r="B642" t="s">
        <v>907</v>
      </c>
      <c r="C642" t="s">
        <v>320</v>
      </c>
      <c r="D642" t="s">
        <v>909</v>
      </c>
      <c r="E642" s="2">
        <v>4192</v>
      </c>
    </row>
    <row r="643" spans="1:5" x14ac:dyDescent="0.25">
      <c r="A643" t="str">
        <f t="shared" si="10"/>
        <v xml:space="preserve">RST </v>
      </c>
      <c r="B643" t="s">
        <v>910</v>
      </c>
      <c r="C643" t="s">
        <v>176</v>
      </c>
      <c r="D643" t="s">
        <v>911</v>
      </c>
      <c r="E643" s="2">
        <v>4190</v>
      </c>
    </row>
    <row r="644" spans="1:5" x14ac:dyDescent="0.25">
      <c r="A644" t="str">
        <f t="shared" si="10"/>
        <v xml:space="preserve">RST </v>
      </c>
      <c r="B644" t="s">
        <v>910</v>
      </c>
      <c r="C644" t="s">
        <v>207</v>
      </c>
      <c r="D644" t="s">
        <v>912</v>
      </c>
      <c r="E644" s="2">
        <v>4190</v>
      </c>
    </row>
    <row r="645" spans="1:5" x14ac:dyDescent="0.25">
      <c r="A645" t="str">
        <f t="shared" si="10"/>
        <v xml:space="preserve">RST </v>
      </c>
      <c r="B645" t="s">
        <v>913</v>
      </c>
      <c r="C645" t="s">
        <v>13</v>
      </c>
      <c r="D645" t="s">
        <v>914</v>
      </c>
      <c r="E645" s="2">
        <v>4186</v>
      </c>
    </row>
    <row r="646" spans="1:5" x14ac:dyDescent="0.25">
      <c r="A646" t="str">
        <f t="shared" ref="A646:A709" si="11">LEFT(B646,4)</f>
        <v xml:space="preserve">RST </v>
      </c>
      <c r="B646" t="s">
        <v>913</v>
      </c>
      <c r="C646" t="s">
        <v>13</v>
      </c>
      <c r="D646" t="s">
        <v>915</v>
      </c>
      <c r="E646" s="2">
        <v>4186</v>
      </c>
    </row>
    <row r="647" spans="1:5" x14ac:dyDescent="0.25">
      <c r="A647" t="str">
        <f t="shared" si="11"/>
        <v xml:space="preserve">RST </v>
      </c>
      <c r="B647" t="s">
        <v>913</v>
      </c>
      <c r="C647" t="s">
        <v>10</v>
      </c>
      <c r="D647" t="s">
        <v>916</v>
      </c>
      <c r="E647" s="2">
        <v>4186</v>
      </c>
    </row>
    <row r="648" spans="1:5" x14ac:dyDescent="0.25">
      <c r="A648" t="str">
        <f t="shared" si="11"/>
        <v>MA-1</v>
      </c>
      <c r="B648" t="s">
        <v>917</v>
      </c>
      <c r="C648" t="s">
        <v>13</v>
      </c>
      <c r="D648" t="s">
        <v>918</v>
      </c>
      <c r="E648" s="2">
        <v>4175</v>
      </c>
    </row>
    <row r="649" spans="1:5" x14ac:dyDescent="0.25">
      <c r="A649" t="str">
        <f t="shared" si="11"/>
        <v>MA-1</v>
      </c>
      <c r="B649" t="s">
        <v>917</v>
      </c>
      <c r="C649" t="s">
        <v>47</v>
      </c>
      <c r="D649" t="s">
        <v>919</v>
      </c>
      <c r="E649" s="2">
        <v>4175</v>
      </c>
    </row>
    <row r="650" spans="1:5" x14ac:dyDescent="0.25">
      <c r="A650" t="str">
        <f t="shared" si="11"/>
        <v>MA-1</v>
      </c>
      <c r="B650" t="s">
        <v>917</v>
      </c>
      <c r="C650" t="s">
        <v>49</v>
      </c>
      <c r="D650" t="s">
        <v>920</v>
      </c>
      <c r="E650" s="2">
        <v>4175</v>
      </c>
    </row>
    <row r="651" spans="1:5" x14ac:dyDescent="0.25">
      <c r="A651" t="str">
        <f t="shared" si="11"/>
        <v>MA-1</v>
      </c>
      <c r="B651" t="s">
        <v>917</v>
      </c>
      <c r="C651" t="s">
        <v>8</v>
      </c>
      <c r="D651" t="s">
        <v>921</v>
      </c>
      <c r="E651" s="2">
        <v>4175</v>
      </c>
    </row>
    <row r="652" spans="1:5" x14ac:dyDescent="0.25">
      <c r="A652" t="str">
        <f t="shared" si="11"/>
        <v>MA-1</v>
      </c>
      <c r="B652" t="s">
        <v>917</v>
      </c>
      <c r="C652" t="s">
        <v>62</v>
      </c>
      <c r="D652" t="s">
        <v>922</v>
      </c>
      <c r="E652" s="2">
        <v>4175</v>
      </c>
    </row>
    <row r="653" spans="1:5" x14ac:dyDescent="0.25">
      <c r="A653" t="str">
        <f t="shared" si="11"/>
        <v>MA-1</v>
      </c>
      <c r="B653" t="s">
        <v>923</v>
      </c>
      <c r="C653" t="s">
        <v>13</v>
      </c>
      <c r="D653" t="s">
        <v>924</v>
      </c>
      <c r="E653" s="2">
        <v>4164</v>
      </c>
    </row>
    <row r="654" spans="1:5" x14ac:dyDescent="0.25">
      <c r="A654" t="str">
        <f t="shared" si="11"/>
        <v>MA-1</v>
      </c>
      <c r="B654" t="s">
        <v>923</v>
      </c>
      <c r="C654" t="s">
        <v>47</v>
      </c>
      <c r="D654" t="s">
        <v>925</v>
      </c>
      <c r="E654" s="2">
        <v>4164</v>
      </c>
    </row>
    <row r="655" spans="1:5" x14ac:dyDescent="0.25">
      <c r="A655" t="str">
        <f t="shared" si="11"/>
        <v>MA-1</v>
      </c>
      <c r="B655" t="s">
        <v>923</v>
      </c>
      <c r="C655" t="s">
        <v>64</v>
      </c>
      <c r="D655" t="s">
        <v>926</v>
      </c>
      <c r="E655" s="2">
        <v>4164</v>
      </c>
    </row>
    <row r="656" spans="1:5" x14ac:dyDescent="0.25">
      <c r="A656" t="str">
        <f t="shared" si="11"/>
        <v>MA-1</v>
      </c>
      <c r="B656" t="s">
        <v>923</v>
      </c>
      <c r="C656" t="s">
        <v>62</v>
      </c>
      <c r="D656" t="s">
        <v>927</v>
      </c>
      <c r="E656" s="2">
        <v>4164</v>
      </c>
    </row>
    <row r="657" spans="1:5" x14ac:dyDescent="0.25">
      <c r="A657" t="str">
        <f t="shared" si="11"/>
        <v>MA-1</v>
      </c>
      <c r="B657" t="s">
        <v>923</v>
      </c>
      <c r="C657" t="s">
        <v>10</v>
      </c>
      <c r="D657" t="s">
        <v>592</v>
      </c>
      <c r="E657" s="2">
        <v>4164</v>
      </c>
    </row>
    <row r="658" spans="1:5" x14ac:dyDescent="0.25">
      <c r="A658" t="str">
        <f t="shared" si="11"/>
        <v xml:space="preserve">RST </v>
      </c>
      <c r="B658" t="s">
        <v>928</v>
      </c>
      <c r="C658" t="s">
        <v>10</v>
      </c>
      <c r="D658" t="s">
        <v>929</v>
      </c>
      <c r="E658" s="2">
        <v>4154</v>
      </c>
    </row>
    <row r="659" spans="1:5" x14ac:dyDescent="0.25">
      <c r="A659" t="str">
        <f t="shared" si="11"/>
        <v>MA-1</v>
      </c>
      <c r="B659" t="s">
        <v>930</v>
      </c>
      <c r="C659" t="s">
        <v>37</v>
      </c>
      <c r="D659" t="s">
        <v>931</v>
      </c>
      <c r="E659" s="2">
        <v>4152</v>
      </c>
    </row>
    <row r="660" spans="1:5" x14ac:dyDescent="0.25">
      <c r="A660" t="str">
        <f t="shared" si="11"/>
        <v>MA-1</v>
      </c>
      <c r="B660" t="s">
        <v>930</v>
      </c>
      <c r="C660" t="s">
        <v>320</v>
      </c>
      <c r="D660" t="s">
        <v>932</v>
      </c>
      <c r="E660" s="2">
        <v>4152</v>
      </c>
    </row>
    <row r="661" spans="1:5" x14ac:dyDescent="0.25">
      <c r="A661" t="str">
        <f t="shared" si="11"/>
        <v>FUSE</v>
      </c>
      <c r="B661" t="s">
        <v>933</v>
      </c>
      <c r="C661" t="s">
        <v>379</v>
      </c>
      <c r="D661" t="s">
        <v>934</v>
      </c>
      <c r="E661" s="2">
        <v>4142</v>
      </c>
    </row>
    <row r="662" spans="1:5" x14ac:dyDescent="0.25">
      <c r="A662" t="str">
        <f t="shared" si="11"/>
        <v>Diod</v>
      </c>
      <c r="B662" t="s">
        <v>2428</v>
      </c>
      <c r="C662" t="s">
        <v>30</v>
      </c>
      <c r="D662" t="s">
        <v>935</v>
      </c>
      <c r="E662" s="2">
        <v>4137</v>
      </c>
    </row>
    <row r="663" spans="1:5" x14ac:dyDescent="0.25">
      <c r="A663" t="str">
        <f t="shared" si="11"/>
        <v xml:space="preserve">RST </v>
      </c>
      <c r="B663" t="s">
        <v>936</v>
      </c>
      <c r="C663" t="s">
        <v>13</v>
      </c>
      <c r="D663" t="s">
        <v>937</v>
      </c>
      <c r="E663" s="2">
        <v>4107</v>
      </c>
    </row>
    <row r="664" spans="1:5" x14ac:dyDescent="0.25">
      <c r="A664" t="str">
        <f t="shared" si="11"/>
        <v xml:space="preserve">RST </v>
      </c>
      <c r="B664" t="s">
        <v>936</v>
      </c>
      <c r="C664" t="s">
        <v>5</v>
      </c>
      <c r="D664" t="s">
        <v>938</v>
      </c>
      <c r="E664" s="2">
        <v>4107</v>
      </c>
    </row>
    <row r="665" spans="1:5" x14ac:dyDescent="0.25">
      <c r="A665" t="str">
        <f t="shared" si="11"/>
        <v xml:space="preserve">RST </v>
      </c>
      <c r="B665" t="s">
        <v>936</v>
      </c>
      <c r="C665" t="s">
        <v>320</v>
      </c>
      <c r="D665" t="s">
        <v>939</v>
      </c>
      <c r="E665" s="2">
        <v>4107</v>
      </c>
    </row>
    <row r="666" spans="1:5" x14ac:dyDescent="0.25">
      <c r="A666" t="str">
        <f t="shared" si="11"/>
        <v>Diod</v>
      </c>
      <c r="B666" t="s">
        <v>2429</v>
      </c>
      <c r="C666" t="s">
        <v>30</v>
      </c>
      <c r="D666" t="s">
        <v>940</v>
      </c>
      <c r="E666" s="2">
        <v>4095</v>
      </c>
    </row>
    <row r="667" spans="1:5" x14ac:dyDescent="0.25">
      <c r="A667" t="str">
        <f t="shared" si="11"/>
        <v xml:space="preserve">RST </v>
      </c>
      <c r="B667" t="s">
        <v>941</v>
      </c>
      <c r="C667" t="s">
        <v>5</v>
      </c>
      <c r="D667" t="s">
        <v>942</v>
      </c>
      <c r="E667" s="2">
        <v>4090</v>
      </c>
    </row>
    <row r="668" spans="1:5" x14ac:dyDescent="0.25">
      <c r="A668" t="str">
        <f t="shared" si="11"/>
        <v xml:space="preserve">RST </v>
      </c>
      <c r="B668" t="s">
        <v>941</v>
      </c>
      <c r="C668" t="s">
        <v>320</v>
      </c>
      <c r="D668" t="s">
        <v>943</v>
      </c>
      <c r="E668" s="2">
        <v>4090</v>
      </c>
    </row>
    <row r="669" spans="1:5" x14ac:dyDescent="0.25">
      <c r="A669" t="str">
        <f t="shared" si="11"/>
        <v xml:space="preserve">RST </v>
      </c>
      <c r="B669" t="s">
        <v>941</v>
      </c>
      <c r="C669" t="s">
        <v>10</v>
      </c>
      <c r="D669" t="s">
        <v>944</v>
      </c>
      <c r="E669" s="2">
        <v>4090</v>
      </c>
    </row>
    <row r="670" spans="1:5" x14ac:dyDescent="0.25">
      <c r="A670" t="str">
        <f t="shared" si="11"/>
        <v>HEAD</v>
      </c>
      <c r="B670" t="s">
        <v>945</v>
      </c>
      <c r="C670" t="s">
        <v>946</v>
      </c>
      <c r="D670" t="s">
        <v>947</v>
      </c>
      <c r="E670" s="2">
        <v>4081</v>
      </c>
    </row>
    <row r="671" spans="1:5" x14ac:dyDescent="0.25">
      <c r="A671" t="str">
        <f t="shared" si="11"/>
        <v>ICCF</v>
      </c>
      <c r="B671" t="s">
        <v>2470</v>
      </c>
      <c r="C671" t="s">
        <v>26</v>
      </c>
      <c r="D671" t="s">
        <v>948</v>
      </c>
      <c r="E671" s="2">
        <v>4077</v>
      </c>
    </row>
    <row r="672" spans="1:5" x14ac:dyDescent="0.25">
      <c r="A672" t="str">
        <f t="shared" si="11"/>
        <v>ICCF</v>
      </c>
      <c r="B672" t="s">
        <v>2470</v>
      </c>
      <c r="C672" t="s">
        <v>30</v>
      </c>
      <c r="D672" t="s">
        <v>948</v>
      </c>
      <c r="E672" s="2">
        <v>4077</v>
      </c>
    </row>
    <row r="673" spans="1:5" x14ac:dyDescent="0.25">
      <c r="A673" t="str">
        <f t="shared" si="11"/>
        <v xml:space="preserve">RST </v>
      </c>
      <c r="B673" t="s">
        <v>949</v>
      </c>
      <c r="C673" t="s">
        <v>13</v>
      </c>
      <c r="D673" t="s">
        <v>950</v>
      </c>
      <c r="E673" s="2">
        <v>4070</v>
      </c>
    </row>
    <row r="674" spans="1:5" x14ac:dyDescent="0.25">
      <c r="A674" t="str">
        <f t="shared" si="11"/>
        <v xml:space="preserve">RST </v>
      </c>
      <c r="B674" t="s">
        <v>949</v>
      </c>
      <c r="C674" t="s">
        <v>13</v>
      </c>
      <c r="D674" t="s">
        <v>951</v>
      </c>
      <c r="E674" s="2">
        <v>4070</v>
      </c>
    </row>
    <row r="675" spans="1:5" x14ac:dyDescent="0.25">
      <c r="A675" t="str">
        <f t="shared" si="11"/>
        <v>Capa</v>
      </c>
      <c r="B675" t="s">
        <v>2267</v>
      </c>
      <c r="C675" t="s">
        <v>73</v>
      </c>
      <c r="D675" t="s">
        <v>952</v>
      </c>
      <c r="E675" s="2">
        <v>4053</v>
      </c>
    </row>
    <row r="676" spans="1:5" x14ac:dyDescent="0.25">
      <c r="A676" t="str">
        <f t="shared" si="11"/>
        <v>Capa</v>
      </c>
      <c r="B676" t="s">
        <v>2267</v>
      </c>
      <c r="C676" t="s">
        <v>49</v>
      </c>
      <c r="D676" t="s">
        <v>953</v>
      </c>
      <c r="E676" s="2">
        <v>4053</v>
      </c>
    </row>
    <row r="677" spans="1:5" x14ac:dyDescent="0.25">
      <c r="A677" t="str">
        <f t="shared" si="11"/>
        <v xml:space="preserve">LED </v>
      </c>
      <c r="B677" t="s">
        <v>954</v>
      </c>
      <c r="C677" t="s">
        <v>132</v>
      </c>
      <c r="D677" t="s">
        <v>955</v>
      </c>
      <c r="E677" s="2">
        <v>4048</v>
      </c>
    </row>
    <row r="678" spans="1:5" x14ac:dyDescent="0.25">
      <c r="A678" t="str">
        <f t="shared" si="11"/>
        <v xml:space="preserve">RST </v>
      </c>
      <c r="B678" t="s">
        <v>956</v>
      </c>
      <c r="C678" t="s">
        <v>13</v>
      </c>
      <c r="D678" t="s">
        <v>14</v>
      </c>
      <c r="E678" s="2">
        <v>4039</v>
      </c>
    </row>
    <row r="679" spans="1:5" x14ac:dyDescent="0.25">
      <c r="A679" t="str">
        <f t="shared" si="11"/>
        <v xml:space="preserve">RST </v>
      </c>
      <c r="B679" t="s">
        <v>956</v>
      </c>
      <c r="C679" t="s">
        <v>89</v>
      </c>
      <c r="D679" t="s">
        <v>957</v>
      </c>
      <c r="E679" s="2">
        <v>4039</v>
      </c>
    </row>
    <row r="680" spans="1:5" x14ac:dyDescent="0.25">
      <c r="A680" t="str">
        <f t="shared" si="11"/>
        <v>C330</v>
      </c>
      <c r="B680" t="s">
        <v>958</v>
      </c>
      <c r="C680" t="s">
        <v>13</v>
      </c>
      <c r="D680" t="s">
        <v>959</v>
      </c>
      <c r="E680" s="2">
        <v>4022</v>
      </c>
    </row>
    <row r="681" spans="1:5" x14ac:dyDescent="0.25">
      <c r="A681" t="str">
        <f t="shared" si="11"/>
        <v xml:space="preserve">BLE </v>
      </c>
      <c r="B681" t="s">
        <v>960</v>
      </c>
      <c r="C681" t="s">
        <v>556</v>
      </c>
      <c r="D681" t="s">
        <v>961</v>
      </c>
      <c r="E681" s="2">
        <v>4018</v>
      </c>
    </row>
    <row r="682" spans="1:5" x14ac:dyDescent="0.25">
      <c r="A682" t="str">
        <f t="shared" si="11"/>
        <v xml:space="preserve">RST </v>
      </c>
      <c r="B682" t="s">
        <v>962</v>
      </c>
      <c r="C682" t="s">
        <v>320</v>
      </c>
      <c r="D682" t="s">
        <v>963</v>
      </c>
      <c r="E682" s="2">
        <v>4011</v>
      </c>
    </row>
    <row r="683" spans="1:5" x14ac:dyDescent="0.25">
      <c r="A683" t="str">
        <f t="shared" si="11"/>
        <v xml:space="preserve">RST </v>
      </c>
      <c r="B683" t="s">
        <v>962</v>
      </c>
      <c r="C683" t="s">
        <v>207</v>
      </c>
      <c r="D683" t="s">
        <v>964</v>
      </c>
      <c r="E683" s="2">
        <v>4011</v>
      </c>
    </row>
    <row r="684" spans="1:5" x14ac:dyDescent="0.25">
      <c r="A684" t="str">
        <f t="shared" si="11"/>
        <v>Capa</v>
      </c>
      <c r="B684" t="s">
        <v>2268</v>
      </c>
      <c r="C684" t="s">
        <v>13</v>
      </c>
      <c r="D684" t="s">
        <v>425</v>
      </c>
      <c r="E684" s="2">
        <v>3983</v>
      </c>
    </row>
    <row r="685" spans="1:5" x14ac:dyDescent="0.25">
      <c r="A685" t="str">
        <f t="shared" si="11"/>
        <v>Capa</v>
      </c>
      <c r="B685" t="s">
        <v>2268</v>
      </c>
      <c r="C685" t="s">
        <v>8</v>
      </c>
      <c r="D685" t="s">
        <v>427</v>
      </c>
      <c r="E685" s="2">
        <v>3983</v>
      </c>
    </row>
    <row r="686" spans="1:5" x14ac:dyDescent="0.25">
      <c r="A686" t="str">
        <f t="shared" si="11"/>
        <v>CLIP</v>
      </c>
      <c r="B686" t="s">
        <v>965</v>
      </c>
      <c r="C686" t="s">
        <v>966</v>
      </c>
      <c r="D686" t="s">
        <v>967</v>
      </c>
      <c r="E686" s="2">
        <v>3982</v>
      </c>
    </row>
    <row r="687" spans="1:5" x14ac:dyDescent="0.25">
      <c r="A687" t="str">
        <f t="shared" si="11"/>
        <v xml:space="preserve">RST </v>
      </c>
      <c r="B687" t="s">
        <v>968</v>
      </c>
      <c r="C687" t="s">
        <v>320</v>
      </c>
      <c r="D687" t="s">
        <v>969</v>
      </c>
      <c r="E687" s="2">
        <v>3956</v>
      </c>
    </row>
    <row r="688" spans="1:5" x14ac:dyDescent="0.25">
      <c r="A688" t="str">
        <f t="shared" si="11"/>
        <v xml:space="preserve">RST </v>
      </c>
      <c r="B688" t="s">
        <v>968</v>
      </c>
      <c r="C688" t="s">
        <v>207</v>
      </c>
      <c r="D688" t="s">
        <v>970</v>
      </c>
      <c r="E688" s="2">
        <v>3956</v>
      </c>
    </row>
    <row r="689" spans="1:5" x14ac:dyDescent="0.25">
      <c r="A689" t="str">
        <f t="shared" si="11"/>
        <v xml:space="preserve">RST </v>
      </c>
      <c r="B689" t="s">
        <v>971</v>
      </c>
      <c r="C689" t="s">
        <v>13</v>
      </c>
      <c r="D689" t="s">
        <v>972</v>
      </c>
      <c r="E689" s="2">
        <v>3955</v>
      </c>
    </row>
    <row r="690" spans="1:5" x14ac:dyDescent="0.25">
      <c r="A690" t="str">
        <f t="shared" si="11"/>
        <v>Capa</v>
      </c>
      <c r="B690" t="s">
        <v>2269</v>
      </c>
      <c r="C690" t="s">
        <v>45</v>
      </c>
      <c r="D690" t="s">
        <v>973</v>
      </c>
      <c r="E690" s="2">
        <v>3930</v>
      </c>
    </row>
    <row r="691" spans="1:5" x14ac:dyDescent="0.25">
      <c r="A691" t="str">
        <f t="shared" si="11"/>
        <v>Capa</v>
      </c>
      <c r="B691" t="s">
        <v>2269</v>
      </c>
      <c r="C691" t="s">
        <v>45</v>
      </c>
      <c r="D691" t="s">
        <v>974</v>
      </c>
      <c r="E691" s="2">
        <v>3930</v>
      </c>
    </row>
    <row r="692" spans="1:5" x14ac:dyDescent="0.25">
      <c r="A692" t="str">
        <f t="shared" si="11"/>
        <v>Capa</v>
      </c>
      <c r="B692" t="s">
        <v>2269</v>
      </c>
      <c r="C692" t="s">
        <v>47</v>
      </c>
      <c r="D692" t="s">
        <v>975</v>
      </c>
      <c r="E692" s="2">
        <v>3930</v>
      </c>
    </row>
    <row r="693" spans="1:5" x14ac:dyDescent="0.25">
      <c r="A693" t="str">
        <f t="shared" si="11"/>
        <v xml:space="preserve">RST </v>
      </c>
      <c r="B693" t="s">
        <v>976</v>
      </c>
      <c r="C693" t="s">
        <v>37</v>
      </c>
      <c r="D693" t="s">
        <v>977</v>
      </c>
      <c r="E693" s="2">
        <v>3925</v>
      </c>
    </row>
    <row r="694" spans="1:5" x14ac:dyDescent="0.25">
      <c r="A694" t="str">
        <f t="shared" si="11"/>
        <v xml:space="preserve">RST </v>
      </c>
      <c r="B694" t="s">
        <v>976</v>
      </c>
      <c r="C694" t="s">
        <v>510</v>
      </c>
      <c r="D694" t="s">
        <v>978</v>
      </c>
      <c r="E694" s="2">
        <v>3925</v>
      </c>
    </row>
    <row r="695" spans="1:5" x14ac:dyDescent="0.25">
      <c r="A695" t="str">
        <f t="shared" si="11"/>
        <v xml:space="preserve">RST </v>
      </c>
      <c r="B695" t="s">
        <v>976</v>
      </c>
      <c r="C695" t="s">
        <v>89</v>
      </c>
      <c r="D695" t="s">
        <v>979</v>
      </c>
      <c r="E695" s="2">
        <v>3925</v>
      </c>
    </row>
    <row r="696" spans="1:5" x14ac:dyDescent="0.25">
      <c r="A696" t="str">
        <f t="shared" si="11"/>
        <v>Capa</v>
      </c>
      <c r="B696" t="s">
        <v>2270</v>
      </c>
      <c r="C696" t="s">
        <v>13</v>
      </c>
      <c r="D696" t="s">
        <v>980</v>
      </c>
      <c r="E696" s="2">
        <v>3923</v>
      </c>
    </row>
    <row r="697" spans="1:5" x14ac:dyDescent="0.25">
      <c r="A697" t="str">
        <f t="shared" si="11"/>
        <v xml:space="preserve">RST </v>
      </c>
      <c r="B697" t="s">
        <v>981</v>
      </c>
      <c r="C697" t="s">
        <v>320</v>
      </c>
      <c r="D697" t="s">
        <v>982</v>
      </c>
      <c r="E697" s="2">
        <v>3905</v>
      </c>
    </row>
    <row r="698" spans="1:5" x14ac:dyDescent="0.25">
      <c r="A698" t="str">
        <f t="shared" si="11"/>
        <v xml:space="preserve">RST </v>
      </c>
      <c r="B698" t="s">
        <v>983</v>
      </c>
      <c r="C698" t="s">
        <v>510</v>
      </c>
      <c r="D698" t="s">
        <v>984</v>
      </c>
      <c r="E698" s="2">
        <v>3902</v>
      </c>
    </row>
    <row r="699" spans="1:5" x14ac:dyDescent="0.25">
      <c r="A699" t="str">
        <f t="shared" si="11"/>
        <v xml:space="preserve">RST </v>
      </c>
      <c r="B699" t="s">
        <v>983</v>
      </c>
      <c r="C699" t="s">
        <v>320</v>
      </c>
      <c r="D699" t="s">
        <v>985</v>
      </c>
      <c r="E699" s="2">
        <v>3902</v>
      </c>
    </row>
    <row r="700" spans="1:5" x14ac:dyDescent="0.25">
      <c r="A700" t="str">
        <f t="shared" si="11"/>
        <v xml:space="preserve">RST </v>
      </c>
      <c r="B700" t="s">
        <v>986</v>
      </c>
      <c r="C700" t="s">
        <v>13</v>
      </c>
      <c r="D700" t="s">
        <v>987</v>
      </c>
      <c r="E700" s="2">
        <v>3885</v>
      </c>
    </row>
    <row r="701" spans="1:5" x14ac:dyDescent="0.25">
      <c r="A701" t="str">
        <f t="shared" si="11"/>
        <v xml:space="preserve">RST </v>
      </c>
      <c r="B701" t="s">
        <v>986</v>
      </c>
      <c r="C701" t="s">
        <v>320</v>
      </c>
      <c r="D701" t="s">
        <v>988</v>
      </c>
      <c r="E701" s="2">
        <v>3885</v>
      </c>
    </row>
    <row r="702" spans="1:5" x14ac:dyDescent="0.25">
      <c r="A702" t="str">
        <f t="shared" si="11"/>
        <v>Capa</v>
      </c>
      <c r="B702" t="s">
        <v>2271</v>
      </c>
      <c r="C702" t="s">
        <v>13</v>
      </c>
      <c r="D702" t="s">
        <v>989</v>
      </c>
      <c r="E702" s="2">
        <v>3884</v>
      </c>
    </row>
    <row r="703" spans="1:5" x14ac:dyDescent="0.25">
      <c r="A703" t="str">
        <f t="shared" si="11"/>
        <v>Capa</v>
      </c>
      <c r="B703" t="s">
        <v>2271</v>
      </c>
      <c r="C703" t="s">
        <v>47</v>
      </c>
      <c r="D703" t="s">
        <v>990</v>
      </c>
      <c r="E703" s="2">
        <v>3884</v>
      </c>
    </row>
    <row r="704" spans="1:5" x14ac:dyDescent="0.25">
      <c r="A704" t="str">
        <f t="shared" si="11"/>
        <v>Capa</v>
      </c>
      <c r="B704" t="s">
        <v>2271</v>
      </c>
      <c r="C704" t="s">
        <v>8</v>
      </c>
      <c r="D704" t="s">
        <v>991</v>
      </c>
      <c r="E704" s="2">
        <v>3884</v>
      </c>
    </row>
    <row r="705" spans="1:5" x14ac:dyDescent="0.25">
      <c r="A705" t="str">
        <f t="shared" si="11"/>
        <v>Capa</v>
      </c>
      <c r="B705" t="s">
        <v>2271</v>
      </c>
      <c r="C705" t="s">
        <v>343</v>
      </c>
      <c r="D705" t="s">
        <v>992</v>
      </c>
      <c r="E705" s="2">
        <v>3884</v>
      </c>
    </row>
    <row r="706" spans="1:5" x14ac:dyDescent="0.25">
      <c r="A706" t="str">
        <f t="shared" si="11"/>
        <v>Capa</v>
      </c>
      <c r="B706" t="s">
        <v>2272</v>
      </c>
      <c r="C706" t="s">
        <v>13</v>
      </c>
      <c r="D706" t="s">
        <v>993</v>
      </c>
      <c r="E706" s="2">
        <v>3868</v>
      </c>
    </row>
    <row r="707" spans="1:5" x14ac:dyDescent="0.25">
      <c r="A707" t="str">
        <f t="shared" si="11"/>
        <v>Capa</v>
      </c>
      <c r="B707" t="s">
        <v>2272</v>
      </c>
      <c r="C707" t="s">
        <v>47</v>
      </c>
      <c r="D707" t="s">
        <v>994</v>
      </c>
      <c r="E707" s="2">
        <v>3868</v>
      </c>
    </row>
    <row r="708" spans="1:5" x14ac:dyDescent="0.25">
      <c r="A708" t="str">
        <f t="shared" si="11"/>
        <v>Capa</v>
      </c>
      <c r="B708" t="s">
        <v>2272</v>
      </c>
      <c r="C708" t="s">
        <v>47</v>
      </c>
      <c r="D708" t="s">
        <v>995</v>
      </c>
      <c r="E708" s="2">
        <v>3868</v>
      </c>
    </row>
    <row r="709" spans="1:5" x14ac:dyDescent="0.25">
      <c r="A709" t="str">
        <f t="shared" si="11"/>
        <v>Capa</v>
      </c>
      <c r="B709" t="s">
        <v>2273</v>
      </c>
      <c r="C709" t="s">
        <v>13</v>
      </c>
      <c r="D709" t="s">
        <v>996</v>
      </c>
      <c r="E709" s="2">
        <v>3860</v>
      </c>
    </row>
    <row r="710" spans="1:5" x14ac:dyDescent="0.25">
      <c r="A710" t="str">
        <f t="shared" ref="A710:A773" si="12">LEFT(B710,4)</f>
        <v>Diod</v>
      </c>
      <c r="B710" t="s">
        <v>2430</v>
      </c>
      <c r="C710" t="s">
        <v>30</v>
      </c>
      <c r="D710" t="s">
        <v>997</v>
      </c>
      <c r="E710" s="2">
        <v>3853</v>
      </c>
    </row>
    <row r="711" spans="1:5" x14ac:dyDescent="0.25">
      <c r="A711" t="str">
        <f t="shared" si="12"/>
        <v xml:space="preserve">RST </v>
      </c>
      <c r="B711" t="s">
        <v>998</v>
      </c>
      <c r="C711" t="s">
        <v>13</v>
      </c>
      <c r="D711" t="s">
        <v>999</v>
      </c>
      <c r="E711" s="2">
        <v>3840</v>
      </c>
    </row>
    <row r="712" spans="1:5" x14ac:dyDescent="0.25">
      <c r="A712" t="str">
        <f t="shared" si="12"/>
        <v xml:space="preserve">RST </v>
      </c>
      <c r="B712" t="s">
        <v>998</v>
      </c>
      <c r="C712" t="s">
        <v>37</v>
      </c>
      <c r="D712" t="s">
        <v>1000</v>
      </c>
      <c r="E712" s="2">
        <v>3840</v>
      </c>
    </row>
    <row r="713" spans="1:5" x14ac:dyDescent="0.25">
      <c r="A713" t="str">
        <f t="shared" si="12"/>
        <v xml:space="preserve">RST </v>
      </c>
      <c r="B713" t="s">
        <v>998</v>
      </c>
      <c r="C713" t="s">
        <v>320</v>
      </c>
      <c r="D713" t="s">
        <v>1001</v>
      </c>
      <c r="E713" s="2">
        <v>3840</v>
      </c>
    </row>
    <row r="714" spans="1:5" x14ac:dyDescent="0.25">
      <c r="A714" t="str">
        <f t="shared" si="12"/>
        <v>Chok</v>
      </c>
      <c r="B714" t="s">
        <v>2401</v>
      </c>
      <c r="C714" t="s">
        <v>64</v>
      </c>
      <c r="D714" t="s">
        <v>1002</v>
      </c>
      <c r="E714" s="2">
        <v>3837</v>
      </c>
    </row>
    <row r="715" spans="1:5" x14ac:dyDescent="0.25">
      <c r="A715" t="str">
        <f t="shared" si="12"/>
        <v xml:space="preserve">RST </v>
      </c>
      <c r="B715" t="s">
        <v>1003</v>
      </c>
      <c r="C715" t="s">
        <v>207</v>
      </c>
      <c r="D715" t="s">
        <v>1004</v>
      </c>
      <c r="E715" s="2">
        <v>3835</v>
      </c>
    </row>
    <row r="716" spans="1:5" x14ac:dyDescent="0.25">
      <c r="A716" t="str">
        <f t="shared" si="12"/>
        <v>Capa</v>
      </c>
      <c r="B716" t="s">
        <v>2274</v>
      </c>
      <c r="C716" t="s">
        <v>13</v>
      </c>
      <c r="D716" t="s">
        <v>1005</v>
      </c>
      <c r="E716" s="2">
        <v>3833</v>
      </c>
    </row>
    <row r="717" spans="1:5" x14ac:dyDescent="0.25">
      <c r="A717" t="str">
        <f t="shared" si="12"/>
        <v>Capa</v>
      </c>
      <c r="B717" t="s">
        <v>2275</v>
      </c>
      <c r="C717" t="s">
        <v>13</v>
      </c>
      <c r="D717" t="s">
        <v>1006</v>
      </c>
      <c r="E717" s="2">
        <v>3826</v>
      </c>
    </row>
    <row r="718" spans="1:5" x14ac:dyDescent="0.25">
      <c r="A718" t="str">
        <f t="shared" si="12"/>
        <v>Capa</v>
      </c>
      <c r="B718" t="s">
        <v>2275</v>
      </c>
      <c r="C718" t="s">
        <v>47</v>
      </c>
      <c r="D718" t="s">
        <v>1007</v>
      </c>
      <c r="E718" s="2">
        <v>3826</v>
      </c>
    </row>
    <row r="719" spans="1:5" x14ac:dyDescent="0.25">
      <c r="A719" t="str">
        <f t="shared" si="12"/>
        <v>Capa</v>
      </c>
      <c r="B719" t="s">
        <v>2275</v>
      </c>
      <c r="C719" t="s">
        <v>49</v>
      </c>
      <c r="D719" t="s">
        <v>1008</v>
      </c>
      <c r="E719" s="2">
        <v>3826</v>
      </c>
    </row>
    <row r="720" spans="1:5" x14ac:dyDescent="0.25">
      <c r="A720" t="str">
        <f t="shared" si="12"/>
        <v>Capa</v>
      </c>
      <c r="B720" t="s">
        <v>2276</v>
      </c>
      <c r="C720" t="s">
        <v>13</v>
      </c>
      <c r="D720" t="s">
        <v>1009</v>
      </c>
      <c r="E720" s="2">
        <v>3820</v>
      </c>
    </row>
    <row r="721" spans="1:5" x14ac:dyDescent="0.25">
      <c r="A721" t="str">
        <f t="shared" si="12"/>
        <v>Capa</v>
      </c>
      <c r="B721" t="s">
        <v>2276</v>
      </c>
      <c r="C721" t="s">
        <v>47</v>
      </c>
      <c r="D721" t="s">
        <v>1010</v>
      </c>
      <c r="E721" s="2">
        <v>3820</v>
      </c>
    </row>
    <row r="722" spans="1:5" x14ac:dyDescent="0.25">
      <c r="A722" t="str">
        <f t="shared" si="12"/>
        <v>Capa</v>
      </c>
      <c r="B722" t="s">
        <v>2276</v>
      </c>
      <c r="C722" t="s">
        <v>64</v>
      </c>
      <c r="D722" t="s">
        <v>1011</v>
      </c>
      <c r="E722" s="2">
        <v>3820</v>
      </c>
    </row>
    <row r="723" spans="1:5" x14ac:dyDescent="0.25">
      <c r="A723" t="str">
        <f t="shared" si="12"/>
        <v xml:space="preserve">RST </v>
      </c>
      <c r="B723" t="s">
        <v>1012</v>
      </c>
      <c r="C723" t="s">
        <v>37</v>
      </c>
      <c r="D723" t="s">
        <v>1013</v>
      </c>
      <c r="E723" s="2">
        <v>3820</v>
      </c>
    </row>
    <row r="724" spans="1:5" x14ac:dyDescent="0.25">
      <c r="A724" t="str">
        <f t="shared" si="12"/>
        <v xml:space="preserve">RST </v>
      </c>
      <c r="B724" t="s">
        <v>1014</v>
      </c>
      <c r="C724" t="s">
        <v>13</v>
      </c>
      <c r="D724" t="s">
        <v>1015</v>
      </c>
      <c r="E724" s="2">
        <v>3815</v>
      </c>
    </row>
    <row r="725" spans="1:5" x14ac:dyDescent="0.25">
      <c r="A725" t="str">
        <f t="shared" si="12"/>
        <v xml:space="preserve">RST </v>
      </c>
      <c r="B725" t="s">
        <v>1016</v>
      </c>
      <c r="C725" t="s">
        <v>13</v>
      </c>
      <c r="D725" t="s">
        <v>1017</v>
      </c>
      <c r="E725" s="2">
        <v>3814</v>
      </c>
    </row>
    <row r="726" spans="1:5" x14ac:dyDescent="0.25">
      <c r="A726" t="str">
        <f t="shared" si="12"/>
        <v xml:space="preserve">RST </v>
      </c>
      <c r="B726" t="s">
        <v>1016</v>
      </c>
      <c r="C726" t="s">
        <v>10</v>
      </c>
      <c r="D726" t="s">
        <v>1018</v>
      </c>
      <c r="E726" s="2">
        <v>3814</v>
      </c>
    </row>
    <row r="727" spans="1:5" x14ac:dyDescent="0.25">
      <c r="A727" t="str">
        <f t="shared" si="12"/>
        <v xml:space="preserve">RST </v>
      </c>
      <c r="B727" t="s">
        <v>1019</v>
      </c>
      <c r="C727" t="s">
        <v>176</v>
      </c>
      <c r="D727" t="s">
        <v>1020</v>
      </c>
      <c r="E727" s="2">
        <v>3806</v>
      </c>
    </row>
    <row r="728" spans="1:5" x14ac:dyDescent="0.25">
      <c r="A728" t="str">
        <f t="shared" si="12"/>
        <v xml:space="preserve">RST </v>
      </c>
      <c r="B728" t="s">
        <v>1019</v>
      </c>
      <c r="C728" t="s">
        <v>5</v>
      </c>
      <c r="D728" t="s">
        <v>1021</v>
      </c>
      <c r="E728" s="2">
        <v>3806</v>
      </c>
    </row>
    <row r="729" spans="1:5" x14ac:dyDescent="0.25">
      <c r="A729" t="str">
        <f t="shared" si="12"/>
        <v xml:space="preserve">RST </v>
      </c>
      <c r="B729" t="s">
        <v>1019</v>
      </c>
      <c r="C729" t="s">
        <v>320</v>
      </c>
      <c r="D729" t="s">
        <v>1022</v>
      </c>
      <c r="E729" s="2">
        <v>3806</v>
      </c>
    </row>
    <row r="730" spans="1:5" x14ac:dyDescent="0.25">
      <c r="A730" t="str">
        <f t="shared" si="12"/>
        <v>Capa</v>
      </c>
      <c r="B730" t="s">
        <v>2277</v>
      </c>
      <c r="C730" t="s">
        <v>47</v>
      </c>
      <c r="D730" t="s">
        <v>1023</v>
      </c>
      <c r="E730" s="2">
        <v>3795</v>
      </c>
    </row>
    <row r="731" spans="1:5" x14ac:dyDescent="0.25">
      <c r="A731" t="str">
        <f t="shared" si="12"/>
        <v>Capa</v>
      </c>
      <c r="B731" t="s">
        <v>2277</v>
      </c>
      <c r="C731" t="s">
        <v>49</v>
      </c>
      <c r="D731" t="s">
        <v>1024</v>
      </c>
      <c r="E731" s="2">
        <v>3795</v>
      </c>
    </row>
    <row r="732" spans="1:5" x14ac:dyDescent="0.25">
      <c r="A732" t="str">
        <f t="shared" si="12"/>
        <v>Capa</v>
      </c>
      <c r="B732" t="s">
        <v>2278</v>
      </c>
      <c r="C732" t="s">
        <v>13</v>
      </c>
      <c r="D732" t="s">
        <v>1025</v>
      </c>
      <c r="E732" s="2">
        <v>3792</v>
      </c>
    </row>
    <row r="733" spans="1:5" x14ac:dyDescent="0.25">
      <c r="A733" t="str">
        <f t="shared" si="12"/>
        <v>Diod</v>
      </c>
      <c r="B733" t="s">
        <v>2431</v>
      </c>
      <c r="C733" t="s">
        <v>26</v>
      </c>
      <c r="D733" t="s">
        <v>1026</v>
      </c>
      <c r="E733" s="2">
        <v>3783</v>
      </c>
    </row>
    <row r="734" spans="1:5" x14ac:dyDescent="0.25">
      <c r="A734" t="str">
        <f t="shared" si="12"/>
        <v xml:space="preserve">RST </v>
      </c>
      <c r="B734" t="s">
        <v>1027</v>
      </c>
      <c r="C734" t="s">
        <v>13</v>
      </c>
      <c r="D734" t="s">
        <v>1028</v>
      </c>
      <c r="E734" s="2">
        <v>3779</v>
      </c>
    </row>
    <row r="735" spans="1:5" x14ac:dyDescent="0.25">
      <c r="A735" t="str">
        <f t="shared" si="12"/>
        <v xml:space="preserve">RST </v>
      </c>
      <c r="B735" t="s">
        <v>1027</v>
      </c>
      <c r="C735" t="s">
        <v>89</v>
      </c>
      <c r="D735" t="s">
        <v>1029</v>
      </c>
      <c r="E735" s="2">
        <v>3779</v>
      </c>
    </row>
    <row r="736" spans="1:5" x14ac:dyDescent="0.25">
      <c r="A736" t="str">
        <f t="shared" si="12"/>
        <v xml:space="preserve">RST </v>
      </c>
      <c r="B736" t="s">
        <v>1030</v>
      </c>
      <c r="C736" t="s">
        <v>37</v>
      </c>
      <c r="D736" t="s">
        <v>1031</v>
      </c>
      <c r="E736" s="2">
        <v>3776</v>
      </c>
    </row>
    <row r="737" spans="1:5" x14ac:dyDescent="0.25">
      <c r="A737" t="str">
        <f t="shared" si="12"/>
        <v xml:space="preserve">RST </v>
      </c>
      <c r="B737" t="s">
        <v>1030</v>
      </c>
      <c r="C737" t="s">
        <v>320</v>
      </c>
      <c r="D737" t="s">
        <v>1032</v>
      </c>
      <c r="E737" s="2">
        <v>3776</v>
      </c>
    </row>
    <row r="738" spans="1:5" x14ac:dyDescent="0.25">
      <c r="A738" t="str">
        <f t="shared" si="12"/>
        <v xml:space="preserve">RST </v>
      </c>
      <c r="B738" t="s">
        <v>1033</v>
      </c>
      <c r="C738" t="s">
        <v>320</v>
      </c>
      <c r="D738" t="s">
        <v>1034</v>
      </c>
      <c r="E738" s="2">
        <v>3774</v>
      </c>
    </row>
    <row r="739" spans="1:5" x14ac:dyDescent="0.25">
      <c r="A739" t="str">
        <f t="shared" si="12"/>
        <v xml:space="preserve">RST </v>
      </c>
      <c r="B739" t="s">
        <v>1033</v>
      </c>
      <c r="C739" t="s">
        <v>207</v>
      </c>
      <c r="D739" t="s">
        <v>1035</v>
      </c>
      <c r="E739" s="2">
        <v>3774</v>
      </c>
    </row>
    <row r="740" spans="1:5" x14ac:dyDescent="0.25">
      <c r="A740" t="str">
        <f t="shared" si="12"/>
        <v xml:space="preserve">RST </v>
      </c>
      <c r="B740" t="s">
        <v>1036</v>
      </c>
      <c r="C740" t="s">
        <v>5</v>
      </c>
      <c r="D740" t="s">
        <v>1037</v>
      </c>
      <c r="E740" s="2">
        <v>3768</v>
      </c>
    </row>
    <row r="741" spans="1:5" x14ac:dyDescent="0.25">
      <c r="A741" t="str">
        <f t="shared" si="12"/>
        <v xml:space="preserve">RST </v>
      </c>
      <c r="B741" t="s">
        <v>1036</v>
      </c>
      <c r="C741" t="s">
        <v>320</v>
      </c>
      <c r="D741" t="s">
        <v>1038</v>
      </c>
      <c r="E741" s="2">
        <v>3768</v>
      </c>
    </row>
    <row r="742" spans="1:5" x14ac:dyDescent="0.25">
      <c r="A742" t="str">
        <f t="shared" si="12"/>
        <v xml:space="preserve">RST </v>
      </c>
      <c r="B742" t="s">
        <v>1039</v>
      </c>
      <c r="C742" t="s">
        <v>37</v>
      </c>
      <c r="D742" t="s">
        <v>1040</v>
      </c>
      <c r="E742" s="2">
        <v>3766</v>
      </c>
    </row>
    <row r="743" spans="1:5" x14ac:dyDescent="0.25">
      <c r="A743" t="str">
        <f t="shared" si="12"/>
        <v xml:space="preserve">RST </v>
      </c>
      <c r="B743" t="s">
        <v>1039</v>
      </c>
      <c r="C743" t="s">
        <v>320</v>
      </c>
      <c r="D743" t="s">
        <v>1041</v>
      </c>
      <c r="E743" s="2">
        <v>3766</v>
      </c>
    </row>
    <row r="744" spans="1:5" x14ac:dyDescent="0.25">
      <c r="A744" t="str">
        <f t="shared" si="12"/>
        <v xml:space="preserve">RST </v>
      </c>
      <c r="B744" t="s">
        <v>1042</v>
      </c>
      <c r="C744" t="s">
        <v>320</v>
      </c>
      <c r="D744" t="s">
        <v>1043</v>
      </c>
      <c r="E744" s="2">
        <v>3750</v>
      </c>
    </row>
    <row r="745" spans="1:5" x14ac:dyDescent="0.25">
      <c r="A745" t="str">
        <f t="shared" si="12"/>
        <v xml:space="preserve">RST </v>
      </c>
      <c r="B745" t="s">
        <v>1042</v>
      </c>
      <c r="C745" t="s">
        <v>89</v>
      </c>
      <c r="D745" t="s">
        <v>1044</v>
      </c>
      <c r="E745" s="2">
        <v>3750</v>
      </c>
    </row>
    <row r="746" spans="1:5" x14ac:dyDescent="0.25">
      <c r="A746" t="str">
        <f t="shared" si="12"/>
        <v xml:space="preserve">RST </v>
      </c>
      <c r="B746" t="s">
        <v>1045</v>
      </c>
      <c r="C746" t="s">
        <v>13</v>
      </c>
      <c r="D746" t="s">
        <v>1046</v>
      </c>
      <c r="E746" s="2">
        <v>3743</v>
      </c>
    </row>
    <row r="747" spans="1:5" x14ac:dyDescent="0.25">
      <c r="A747" t="str">
        <f t="shared" si="12"/>
        <v xml:space="preserve">RST </v>
      </c>
      <c r="B747" t="s">
        <v>1045</v>
      </c>
      <c r="C747" t="s">
        <v>89</v>
      </c>
      <c r="D747" t="s">
        <v>1047</v>
      </c>
      <c r="E747" s="2">
        <v>3743</v>
      </c>
    </row>
    <row r="748" spans="1:5" x14ac:dyDescent="0.25">
      <c r="A748" t="str">
        <f t="shared" si="12"/>
        <v>Capa</v>
      </c>
      <c r="B748" t="s">
        <v>2279</v>
      </c>
      <c r="C748" t="s">
        <v>47</v>
      </c>
      <c r="D748" t="s">
        <v>1048</v>
      </c>
      <c r="E748" s="2">
        <v>3734</v>
      </c>
    </row>
    <row r="749" spans="1:5" x14ac:dyDescent="0.25">
      <c r="A749" t="str">
        <f t="shared" si="12"/>
        <v>Capa</v>
      </c>
      <c r="B749" t="s">
        <v>2279</v>
      </c>
      <c r="C749" t="s">
        <v>47</v>
      </c>
      <c r="D749" t="s">
        <v>1049</v>
      </c>
      <c r="E749" s="2">
        <v>3734</v>
      </c>
    </row>
    <row r="750" spans="1:5" x14ac:dyDescent="0.25">
      <c r="A750" t="str">
        <f t="shared" si="12"/>
        <v xml:space="preserve">RST </v>
      </c>
      <c r="B750" t="s">
        <v>1050</v>
      </c>
      <c r="C750" t="s">
        <v>5</v>
      </c>
      <c r="D750" t="s">
        <v>1051</v>
      </c>
      <c r="E750" s="2">
        <v>3720</v>
      </c>
    </row>
    <row r="751" spans="1:5" x14ac:dyDescent="0.25">
      <c r="A751" t="str">
        <f t="shared" si="12"/>
        <v>Capa</v>
      </c>
      <c r="B751" t="s">
        <v>2280</v>
      </c>
      <c r="C751" t="s">
        <v>290</v>
      </c>
      <c r="D751" t="s">
        <v>1052</v>
      </c>
      <c r="E751" s="2">
        <v>3718</v>
      </c>
    </row>
    <row r="752" spans="1:5" x14ac:dyDescent="0.25">
      <c r="A752" t="str">
        <f t="shared" si="12"/>
        <v xml:space="preserve">RST </v>
      </c>
      <c r="B752" t="s">
        <v>1053</v>
      </c>
      <c r="C752" t="s">
        <v>13</v>
      </c>
      <c r="D752" t="s">
        <v>1054</v>
      </c>
      <c r="E752" s="2">
        <v>3711</v>
      </c>
    </row>
    <row r="753" spans="1:5" x14ac:dyDescent="0.25">
      <c r="A753" t="str">
        <f t="shared" si="12"/>
        <v xml:space="preserve">RST </v>
      </c>
      <c r="B753" t="s">
        <v>1053</v>
      </c>
      <c r="C753" t="s">
        <v>320</v>
      </c>
      <c r="D753" t="s">
        <v>1055</v>
      </c>
      <c r="E753" s="2">
        <v>3711</v>
      </c>
    </row>
    <row r="754" spans="1:5" x14ac:dyDescent="0.25">
      <c r="A754" t="str">
        <f t="shared" si="12"/>
        <v xml:space="preserve">RST </v>
      </c>
      <c r="B754" t="s">
        <v>1056</v>
      </c>
      <c r="C754" t="s">
        <v>13</v>
      </c>
      <c r="D754" t="s">
        <v>1057</v>
      </c>
      <c r="E754" s="2">
        <v>3703</v>
      </c>
    </row>
    <row r="755" spans="1:5" x14ac:dyDescent="0.25">
      <c r="A755" t="str">
        <f t="shared" si="12"/>
        <v>Capa</v>
      </c>
      <c r="B755" t="s">
        <v>2281</v>
      </c>
      <c r="C755" t="s">
        <v>47</v>
      </c>
      <c r="D755" t="s">
        <v>1058</v>
      </c>
      <c r="E755" s="2">
        <v>3700</v>
      </c>
    </row>
    <row r="756" spans="1:5" x14ac:dyDescent="0.25">
      <c r="A756" t="str">
        <f t="shared" si="12"/>
        <v>Capa</v>
      </c>
      <c r="B756" t="s">
        <v>2281</v>
      </c>
      <c r="C756" t="s">
        <v>8</v>
      </c>
      <c r="D756" t="s">
        <v>1059</v>
      </c>
      <c r="E756" s="2">
        <v>3700</v>
      </c>
    </row>
    <row r="757" spans="1:5" x14ac:dyDescent="0.25">
      <c r="A757" t="str">
        <f t="shared" si="12"/>
        <v>Chok</v>
      </c>
      <c r="B757" t="s">
        <v>2402</v>
      </c>
      <c r="C757" t="s">
        <v>45</v>
      </c>
      <c r="D757" t="s">
        <v>1060</v>
      </c>
      <c r="E757" s="2">
        <v>3676</v>
      </c>
    </row>
    <row r="758" spans="1:5" x14ac:dyDescent="0.25">
      <c r="A758" t="str">
        <f t="shared" si="12"/>
        <v>FUSE</v>
      </c>
      <c r="B758" t="s">
        <v>1061</v>
      </c>
      <c r="C758" t="s">
        <v>507</v>
      </c>
      <c r="D758" t="s">
        <v>1062</v>
      </c>
      <c r="E758" s="2">
        <v>3664</v>
      </c>
    </row>
    <row r="759" spans="1:5" x14ac:dyDescent="0.25">
      <c r="A759" t="str">
        <f t="shared" si="12"/>
        <v xml:space="preserve">RST </v>
      </c>
      <c r="B759" t="s">
        <v>1063</v>
      </c>
      <c r="C759" t="s">
        <v>10</v>
      </c>
      <c r="D759" t="s">
        <v>1064</v>
      </c>
      <c r="E759" s="2">
        <v>3654</v>
      </c>
    </row>
    <row r="760" spans="1:5" x14ac:dyDescent="0.25">
      <c r="A760" t="str">
        <f t="shared" si="12"/>
        <v xml:space="preserve">RST </v>
      </c>
      <c r="B760" t="s">
        <v>1065</v>
      </c>
      <c r="C760" t="s">
        <v>13</v>
      </c>
      <c r="D760" t="s">
        <v>1066</v>
      </c>
      <c r="E760" s="2">
        <v>3619</v>
      </c>
    </row>
    <row r="761" spans="1:5" x14ac:dyDescent="0.25">
      <c r="A761" t="str">
        <f t="shared" si="12"/>
        <v xml:space="preserve">RST </v>
      </c>
      <c r="B761" t="s">
        <v>1065</v>
      </c>
      <c r="C761" t="s">
        <v>320</v>
      </c>
      <c r="D761" t="s">
        <v>1067</v>
      </c>
      <c r="E761" s="2">
        <v>3619</v>
      </c>
    </row>
    <row r="762" spans="1:5" x14ac:dyDescent="0.25">
      <c r="A762" t="str">
        <f t="shared" si="12"/>
        <v xml:space="preserve">RST </v>
      </c>
      <c r="B762" t="s">
        <v>1065</v>
      </c>
      <c r="C762" t="s">
        <v>320</v>
      </c>
      <c r="D762" t="s">
        <v>1068</v>
      </c>
      <c r="E762" s="2">
        <v>3619</v>
      </c>
    </row>
    <row r="763" spans="1:5" x14ac:dyDescent="0.25">
      <c r="A763" t="str">
        <f t="shared" si="12"/>
        <v xml:space="preserve">RST </v>
      </c>
      <c r="B763" t="s">
        <v>1069</v>
      </c>
      <c r="C763" t="s">
        <v>13</v>
      </c>
      <c r="D763" t="s">
        <v>1070</v>
      </c>
      <c r="E763" s="2">
        <v>3595</v>
      </c>
    </row>
    <row r="764" spans="1:5" x14ac:dyDescent="0.25">
      <c r="A764" t="str">
        <f t="shared" si="12"/>
        <v xml:space="preserve">RST </v>
      </c>
      <c r="B764" t="s">
        <v>1069</v>
      </c>
      <c r="C764" t="s">
        <v>13</v>
      </c>
      <c r="D764" t="s">
        <v>1071</v>
      </c>
      <c r="E764" s="2">
        <v>3595</v>
      </c>
    </row>
    <row r="765" spans="1:5" x14ac:dyDescent="0.25">
      <c r="A765" t="str">
        <f t="shared" si="12"/>
        <v xml:space="preserve">RST </v>
      </c>
      <c r="B765" t="s">
        <v>1069</v>
      </c>
      <c r="C765" t="s">
        <v>10</v>
      </c>
      <c r="D765" t="s">
        <v>1072</v>
      </c>
      <c r="E765" s="2">
        <v>3595</v>
      </c>
    </row>
    <row r="766" spans="1:5" x14ac:dyDescent="0.25">
      <c r="A766" t="str">
        <f t="shared" si="12"/>
        <v xml:space="preserve">RST </v>
      </c>
      <c r="B766" t="s">
        <v>1073</v>
      </c>
      <c r="C766" t="s">
        <v>37</v>
      </c>
      <c r="D766" t="s">
        <v>1074</v>
      </c>
      <c r="E766" s="2">
        <v>3593</v>
      </c>
    </row>
    <row r="767" spans="1:5" x14ac:dyDescent="0.25">
      <c r="A767" t="str">
        <f t="shared" si="12"/>
        <v xml:space="preserve">RST </v>
      </c>
      <c r="B767" t="s">
        <v>1075</v>
      </c>
      <c r="C767" t="s">
        <v>320</v>
      </c>
      <c r="D767" t="s">
        <v>1076</v>
      </c>
      <c r="E767" s="2">
        <v>3590</v>
      </c>
    </row>
    <row r="768" spans="1:5" x14ac:dyDescent="0.25">
      <c r="A768" t="str">
        <f t="shared" si="12"/>
        <v xml:space="preserve">RST </v>
      </c>
      <c r="B768" t="s">
        <v>1077</v>
      </c>
      <c r="C768" t="s">
        <v>176</v>
      </c>
      <c r="D768" t="s">
        <v>1078</v>
      </c>
      <c r="E768" s="2">
        <v>3584</v>
      </c>
    </row>
    <row r="769" spans="1:5" x14ac:dyDescent="0.25">
      <c r="A769" t="str">
        <f t="shared" si="12"/>
        <v>Capa</v>
      </c>
      <c r="B769" t="s">
        <v>2282</v>
      </c>
      <c r="C769" t="s">
        <v>45</v>
      </c>
      <c r="D769" t="s">
        <v>1079</v>
      </c>
      <c r="E769" s="2">
        <v>3582</v>
      </c>
    </row>
    <row r="770" spans="1:5" x14ac:dyDescent="0.25">
      <c r="A770" t="str">
        <f t="shared" si="12"/>
        <v>Capa</v>
      </c>
      <c r="B770" t="s">
        <v>2282</v>
      </c>
      <c r="C770" t="s">
        <v>45</v>
      </c>
      <c r="D770" t="s">
        <v>1080</v>
      </c>
      <c r="E770" s="2">
        <v>3582</v>
      </c>
    </row>
    <row r="771" spans="1:5" x14ac:dyDescent="0.25">
      <c r="A771" t="str">
        <f t="shared" si="12"/>
        <v>Capa</v>
      </c>
      <c r="B771" t="s">
        <v>2282</v>
      </c>
      <c r="C771" t="s">
        <v>45</v>
      </c>
      <c r="D771" t="s">
        <v>1081</v>
      </c>
      <c r="E771" s="2">
        <v>3582</v>
      </c>
    </row>
    <row r="772" spans="1:5" x14ac:dyDescent="0.25">
      <c r="A772" t="str">
        <f t="shared" si="12"/>
        <v>Capa</v>
      </c>
      <c r="B772" t="s">
        <v>2282</v>
      </c>
      <c r="C772" t="s">
        <v>45</v>
      </c>
      <c r="D772" t="s">
        <v>1082</v>
      </c>
      <c r="E772" s="2">
        <v>3582</v>
      </c>
    </row>
    <row r="773" spans="1:5" x14ac:dyDescent="0.25">
      <c r="A773" t="str">
        <f t="shared" si="12"/>
        <v>MOSF</v>
      </c>
      <c r="B773" t="s">
        <v>2479</v>
      </c>
      <c r="C773" t="s">
        <v>37</v>
      </c>
      <c r="D773" t="s">
        <v>1083</v>
      </c>
      <c r="E773" s="2">
        <v>3556</v>
      </c>
    </row>
    <row r="774" spans="1:5" x14ac:dyDescent="0.25">
      <c r="A774" t="str">
        <f t="shared" ref="A774:A837" si="13">LEFT(B774,4)</f>
        <v>MOSF</v>
      </c>
      <c r="B774" t="s">
        <v>2479</v>
      </c>
      <c r="C774" t="s">
        <v>37</v>
      </c>
      <c r="D774" t="s">
        <v>1084</v>
      </c>
      <c r="E774" s="2">
        <v>3556</v>
      </c>
    </row>
    <row r="775" spans="1:5" x14ac:dyDescent="0.25">
      <c r="A775" t="str">
        <f t="shared" si="13"/>
        <v xml:space="preserve">CNT </v>
      </c>
      <c r="B775" t="s">
        <v>1085</v>
      </c>
      <c r="C775" t="s">
        <v>678</v>
      </c>
      <c r="D775" t="s">
        <v>1086</v>
      </c>
      <c r="E775" s="2">
        <v>3544</v>
      </c>
    </row>
    <row r="776" spans="1:5" x14ac:dyDescent="0.25">
      <c r="A776" t="str">
        <f t="shared" si="13"/>
        <v xml:space="preserve">CNT </v>
      </c>
      <c r="B776" t="s">
        <v>1085</v>
      </c>
      <c r="C776" t="s">
        <v>678</v>
      </c>
      <c r="D776" t="s">
        <v>1087</v>
      </c>
      <c r="E776" s="2">
        <v>3544</v>
      </c>
    </row>
    <row r="777" spans="1:5" x14ac:dyDescent="0.25">
      <c r="A777" t="str">
        <f t="shared" si="13"/>
        <v xml:space="preserve">RST </v>
      </c>
      <c r="B777" t="s">
        <v>1088</v>
      </c>
      <c r="C777" t="s">
        <v>176</v>
      </c>
      <c r="D777" t="s">
        <v>1089</v>
      </c>
      <c r="E777" s="2">
        <v>3539</v>
      </c>
    </row>
    <row r="778" spans="1:5" x14ac:dyDescent="0.25">
      <c r="A778" t="str">
        <f t="shared" si="13"/>
        <v xml:space="preserve">RST </v>
      </c>
      <c r="B778" t="s">
        <v>1088</v>
      </c>
      <c r="C778" t="s">
        <v>320</v>
      </c>
      <c r="D778" t="s">
        <v>1090</v>
      </c>
      <c r="E778" s="2">
        <v>3539</v>
      </c>
    </row>
    <row r="779" spans="1:5" x14ac:dyDescent="0.25">
      <c r="A779" t="str">
        <f t="shared" si="13"/>
        <v xml:space="preserve">RST </v>
      </c>
      <c r="B779" t="s">
        <v>1088</v>
      </c>
      <c r="C779" t="s">
        <v>207</v>
      </c>
      <c r="D779" t="s">
        <v>1091</v>
      </c>
      <c r="E779" s="2">
        <v>3539</v>
      </c>
    </row>
    <row r="780" spans="1:5" x14ac:dyDescent="0.25">
      <c r="A780" t="str">
        <f t="shared" si="13"/>
        <v xml:space="preserve">RST </v>
      </c>
      <c r="B780" t="s">
        <v>1092</v>
      </c>
      <c r="C780" t="s">
        <v>13</v>
      </c>
      <c r="D780" t="s">
        <v>1093</v>
      </c>
      <c r="E780" s="2">
        <v>3536</v>
      </c>
    </row>
    <row r="781" spans="1:5" x14ac:dyDescent="0.25">
      <c r="A781" t="str">
        <f t="shared" si="13"/>
        <v xml:space="preserve">RST </v>
      </c>
      <c r="B781" t="s">
        <v>1092</v>
      </c>
      <c r="C781" t="s">
        <v>37</v>
      </c>
      <c r="D781" t="s">
        <v>1094</v>
      </c>
      <c r="E781" s="2">
        <v>3536</v>
      </c>
    </row>
    <row r="782" spans="1:5" x14ac:dyDescent="0.25">
      <c r="A782" t="str">
        <f t="shared" si="13"/>
        <v xml:space="preserve">RST </v>
      </c>
      <c r="B782" t="s">
        <v>1092</v>
      </c>
      <c r="C782" t="s">
        <v>356</v>
      </c>
      <c r="D782" t="s">
        <v>1095</v>
      </c>
      <c r="E782" s="2">
        <v>3536</v>
      </c>
    </row>
    <row r="783" spans="1:5" x14ac:dyDescent="0.25">
      <c r="A783" t="str">
        <f t="shared" si="13"/>
        <v xml:space="preserve">RST </v>
      </c>
      <c r="B783" t="s">
        <v>1092</v>
      </c>
      <c r="C783" t="s">
        <v>89</v>
      </c>
      <c r="D783" t="s">
        <v>1096</v>
      </c>
      <c r="E783" s="2">
        <v>3536</v>
      </c>
    </row>
    <row r="784" spans="1:5" x14ac:dyDescent="0.25">
      <c r="A784" t="str">
        <f t="shared" si="13"/>
        <v xml:space="preserve">RST </v>
      </c>
      <c r="B784" t="s">
        <v>1097</v>
      </c>
      <c r="C784" t="s">
        <v>37</v>
      </c>
      <c r="D784" t="s">
        <v>1098</v>
      </c>
      <c r="E784" s="2">
        <v>3534</v>
      </c>
    </row>
    <row r="785" spans="1:5" x14ac:dyDescent="0.25">
      <c r="A785" t="str">
        <f t="shared" si="13"/>
        <v xml:space="preserve">RST </v>
      </c>
      <c r="B785" t="s">
        <v>1099</v>
      </c>
      <c r="C785" t="s">
        <v>37</v>
      </c>
      <c r="D785" t="s">
        <v>1100</v>
      </c>
      <c r="E785" s="2">
        <v>3525</v>
      </c>
    </row>
    <row r="786" spans="1:5" x14ac:dyDescent="0.25">
      <c r="A786" t="str">
        <f t="shared" si="13"/>
        <v xml:space="preserve">RST </v>
      </c>
      <c r="B786" t="s">
        <v>1099</v>
      </c>
      <c r="C786" t="s">
        <v>37</v>
      </c>
      <c r="D786" t="s">
        <v>1101</v>
      </c>
      <c r="E786" s="2">
        <v>3525</v>
      </c>
    </row>
    <row r="787" spans="1:5" x14ac:dyDescent="0.25">
      <c r="A787" t="str">
        <f t="shared" si="13"/>
        <v xml:space="preserve">RST </v>
      </c>
      <c r="B787" t="s">
        <v>1099</v>
      </c>
      <c r="C787" t="s">
        <v>320</v>
      </c>
      <c r="D787" t="s">
        <v>1102</v>
      </c>
      <c r="E787" s="2">
        <v>3525</v>
      </c>
    </row>
    <row r="788" spans="1:5" x14ac:dyDescent="0.25">
      <c r="A788" t="str">
        <f t="shared" si="13"/>
        <v xml:space="preserve">RST </v>
      </c>
      <c r="B788" t="s">
        <v>1099</v>
      </c>
      <c r="C788" t="s">
        <v>10</v>
      </c>
      <c r="D788" t="s">
        <v>1103</v>
      </c>
      <c r="E788" s="2">
        <v>3525</v>
      </c>
    </row>
    <row r="789" spans="1:5" x14ac:dyDescent="0.25">
      <c r="A789" t="str">
        <f t="shared" si="13"/>
        <v xml:space="preserve">RST </v>
      </c>
      <c r="B789" t="s">
        <v>1099</v>
      </c>
      <c r="C789" t="s">
        <v>89</v>
      </c>
      <c r="D789" t="s">
        <v>1104</v>
      </c>
      <c r="E789" s="2">
        <v>3525</v>
      </c>
    </row>
    <row r="790" spans="1:5" x14ac:dyDescent="0.25">
      <c r="A790" t="str">
        <f t="shared" si="13"/>
        <v xml:space="preserve">RST </v>
      </c>
      <c r="B790" t="s">
        <v>1105</v>
      </c>
      <c r="C790" t="s">
        <v>946</v>
      </c>
      <c r="D790" t="s">
        <v>1106</v>
      </c>
      <c r="E790" s="2">
        <v>3520</v>
      </c>
    </row>
    <row r="791" spans="1:5" x14ac:dyDescent="0.25">
      <c r="A791" t="str">
        <f t="shared" si="13"/>
        <v xml:space="preserve">RST </v>
      </c>
      <c r="B791" t="s">
        <v>1105</v>
      </c>
      <c r="C791" t="s">
        <v>320</v>
      </c>
      <c r="D791" t="s">
        <v>1107</v>
      </c>
      <c r="E791" s="2">
        <v>3520</v>
      </c>
    </row>
    <row r="792" spans="1:5" x14ac:dyDescent="0.25">
      <c r="A792" t="str">
        <f t="shared" si="13"/>
        <v xml:space="preserve">RST </v>
      </c>
      <c r="B792" t="s">
        <v>1108</v>
      </c>
      <c r="C792" t="s">
        <v>13</v>
      </c>
      <c r="D792" t="s">
        <v>1054</v>
      </c>
      <c r="E792" s="2">
        <v>3519</v>
      </c>
    </row>
    <row r="793" spans="1:5" x14ac:dyDescent="0.25">
      <c r="A793" t="str">
        <f t="shared" si="13"/>
        <v xml:space="preserve">RST </v>
      </c>
      <c r="B793" t="s">
        <v>1108</v>
      </c>
      <c r="C793" t="s">
        <v>37</v>
      </c>
      <c r="D793" t="s">
        <v>1109</v>
      </c>
      <c r="E793" s="2">
        <v>3519</v>
      </c>
    </row>
    <row r="794" spans="1:5" x14ac:dyDescent="0.25">
      <c r="A794" t="str">
        <f t="shared" si="13"/>
        <v xml:space="preserve">RST </v>
      </c>
      <c r="B794" t="s">
        <v>1108</v>
      </c>
      <c r="C794" t="s">
        <v>320</v>
      </c>
      <c r="D794" t="s">
        <v>1055</v>
      </c>
      <c r="E794" s="2">
        <v>3519</v>
      </c>
    </row>
    <row r="795" spans="1:5" x14ac:dyDescent="0.25">
      <c r="A795" t="str">
        <f t="shared" si="13"/>
        <v xml:space="preserve">RST </v>
      </c>
      <c r="B795" t="s">
        <v>1110</v>
      </c>
      <c r="C795" t="s">
        <v>176</v>
      </c>
      <c r="D795" t="s">
        <v>1111</v>
      </c>
      <c r="E795" s="2">
        <v>3505</v>
      </c>
    </row>
    <row r="796" spans="1:5" x14ac:dyDescent="0.25">
      <c r="A796" t="str">
        <f t="shared" si="13"/>
        <v xml:space="preserve">RST </v>
      </c>
      <c r="B796" t="s">
        <v>1110</v>
      </c>
      <c r="C796" t="s">
        <v>320</v>
      </c>
      <c r="D796" t="s">
        <v>1112</v>
      </c>
      <c r="E796" s="2">
        <v>3505</v>
      </c>
    </row>
    <row r="797" spans="1:5" x14ac:dyDescent="0.25">
      <c r="A797" t="str">
        <f t="shared" si="13"/>
        <v>Chok</v>
      </c>
      <c r="B797" t="s">
        <v>2403</v>
      </c>
      <c r="C797" t="s">
        <v>184</v>
      </c>
      <c r="D797" t="s">
        <v>1113</v>
      </c>
      <c r="E797" s="2">
        <v>3501</v>
      </c>
    </row>
    <row r="798" spans="1:5" x14ac:dyDescent="0.25">
      <c r="A798" t="str">
        <f t="shared" si="13"/>
        <v>ICMD</v>
      </c>
      <c r="B798" t="s">
        <v>2387</v>
      </c>
      <c r="C798" t="s">
        <v>26</v>
      </c>
      <c r="D798" t="s">
        <v>1114</v>
      </c>
      <c r="E798" s="2">
        <v>3470</v>
      </c>
    </row>
    <row r="799" spans="1:5" x14ac:dyDescent="0.25">
      <c r="A799" t="str">
        <f t="shared" si="13"/>
        <v>ICMD</v>
      </c>
      <c r="B799" t="s">
        <v>2387</v>
      </c>
      <c r="C799" t="s">
        <v>26</v>
      </c>
      <c r="D799" t="s">
        <v>1115</v>
      </c>
      <c r="E799" s="2">
        <v>3470</v>
      </c>
    </row>
    <row r="800" spans="1:5" x14ac:dyDescent="0.25">
      <c r="A800" t="str">
        <f t="shared" si="13"/>
        <v>ICMD</v>
      </c>
      <c r="B800" t="s">
        <v>2387</v>
      </c>
      <c r="C800" t="s">
        <v>26</v>
      </c>
      <c r="D800" t="s">
        <v>1116</v>
      </c>
      <c r="E800" s="2">
        <v>3470</v>
      </c>
    </row>
    <row r="801" spans="1:5" x14ac:dyDescent="0.25">
      <c r="A801" t="str">
        <f t="shared" si="13"/>
        <v>Diod</v>
      </c>
      <c r="B801" t="s">
        <v>2432</v>
      </c>
      <c r="C801" t="s">
        <v>521</v>
      </c>
      <c r="D801" t="s">
        <v>1117</v>
      </c>
      <c r="E801" s="2">
        <v>3442</v>
      </c>
    </row>
    <row r="802" spans="1:5" x14ac:dyDescent="0.25">
      <c r="A802" t="str">
        <f t="shared" si="13"/>
        <v xml:space="preserve">RST </v>
      </c>
      <c r="B802" t="s">
        <v>1118</v>
      </c>
      <c r="C802" t="s">
        <v>13</v>
      </c>
      <c r="D802" t="s">
        <v>1119</v>
      </c>
      <c r="E802" s="2">
        <v>3437</v>
      </c>
    </row>
    <row r="803" spans="1:5" x14ac:dyDescent="0.25">
      <c r="A803" t="str">
        <f t="shared" si="13"/>
        <v>TRAN</v>
      </c>
      <c r="B803" t="s">
        <v>1120</v>
      </c>
      <c r="C803" t="s">
        <v>28</v>
      </c>
      <c r="D803" t="s">
        <v>1121</v>
      </c>
      <c r="E803" s="2">
        <v>3436</v>
      </c>
    </row>
    <row r="804" spans="1:5" x14ac:dyDescent="0.25">
      <c r="A804" t="str">
        <f t="shared" si="13"/>
        <v xml:space="preserve">CTF </v>
      </c>
      <c r="B804" t="s">
        <v>1122</v>
      </c>
      <c r="C804" t="s">
        <v>160</v>
      </c>
      <c r="D804" t="s">
        <v>1123</v>
      </c>
      <c r="E804" s="2">
        <v>3429</v>
      </c>
    </row>
    <row r="805" spans="1:5" x14ac:dyDescent="0.25">
      <c r="A805" t="str">
        <f t="shared" si="13"/>
        <v>Diod</v>
      </c>
      <c r="B805" t="s">
        <v>2433</v>
      </c>
      <c r="C805" t="s">
        <v>2467</v>
      </c>
      <c r="D805" t="s">
        <v>1124</v>
      </c>
      <c r="E805" s="2">
        <v>3408</v>
      </c>
    </row>
    <row r="806" spans="1:5" x14ac:dyDescent="0.25">
      <c r="A806" t="str">
        <f t="shared" si="13"/>
        <v>Diod</v>
      </c>
      <c r="B806" t="s">
        <v>2433</v>
      </c>
      <c r="C806" t="s">
        <v>30</v>
      </c>
      <c r="D806" t="s">
        <v>1125</v>
      </c>
      <c r="E806" s="2">
        <v>3408</v>
      </c>
    </row>
    <row r="807" spans="1:5" x14ac:dyDescent="0.25">
      <c r="A807" t="str">
        <f t="shared" si="13"/>
        <v xml:space="preserve">RST </v>
      </c>
      <c r="B807" t="s">
        <v>1126</v>
      </c>
      <c r="C807" t="s">
        <v>13</v>
      </c>
      <c r="D807" t="s">
        <v>1127</v>
      </c>
      <c r="E807" s="2">
        <v>3386</v>
      </c>
    </row>
    <row r="808" spans="1:5" x14ac:dyDescent="0.25">
      <c r="A808" t="str">
        <f t="shared" si="13"/>
        <v xml:space="preserve">RST </v>
      </c>
      <c r="B808" t="s">
        <v>1126</v>
      </c>
      <c r="C808" t="s">
        <v>320</v>
      </c>
      <c r="D808" t="s">
        <v>1128</v>
      </c>
      <c r="E808" s="2">
        <v>3386</v>
      </c>
    </row>
    <row r="809" spans="1:5" x14ac:dyDescent="0.25">
      <c r="A809" t="str">
        <f t="shared" si="13"/>
        <v xml:space="preserve">RST </v>
      </c>
      <c r="B809" t="s">
        <v>1129</v>
      </c>
      <c r="C809" t="s">
        <v>10</v>
      </c>
      <c r="D809" t="s">
        <v>1130</v>
      </c>
      <c r="E809" s="2">
        <v>3384</v>
      </c>
    </row>
    <row r="810" spans="1:5" x14ac:dyDescent="0.25">
      <c r="A810" t="str">
        <f t="shared" si="13"/>
        <v>Capa</v>
      </c>
      <c r="B810" t="s">
        <v>2283</v>
      </c>
      <c r="C810" t="s">
        <v>13</v>
      </c>
      <c r="D810" t="s">
        <v>1005</v>
      </c>
      <c r="E810" s="2">
        <v>3382</v>
      </c>
    </row>
    <row r="811" spans="1:5" x14ac:dyDescent="0.25">
      <c r="A811" t="str">
        <f t="shared" si="13"/>
        <v xml:space="preserve">RST </v>
      </c>
      <c r="B811" t="s">
        <v>1131</v>
      </c>
      <c r="C811" t="s">
        <v>13</v>
      </c>
      <c r="D811" t="s">
        <v>1132</v>
      </c>
      <c r="E811" s="2">
        <v>3374</v>
      </c>
    </row>
    <row r="812" spans="1:5" x14ac:dyDescent="0.25">
      <c r="A812" t="str">
        <f t="shared" si="13"/>
        <v xml:space="preserve">RST </v>
      </c>
      <c r="B812" t="s">
        <v>1131</v>
      </c>
      <c r="C812" t="s">
        <v>5</v>
      </c>
      <c r="D812" t="s">
        <v>1133</v>
      </c>
      <c r="E812" s="2">
        <v>3374</v>
      </c>
    </row>
    <row r="813" spans="1:5" x14ac:dyDescent="0.25">
      <c r="A813" t="str">
        <f t="shared" si="13"/>
        <v xml:space="preserve">RST </v>
      </c>
      <c r="B813" t="s">
        <v>1131</v>
      </c>
      <c r="C813" t="s">
        <v>5</v>
      </c>
      <c r="D813" t="s">
        <v>1134</v>
      </c>
      <c r="E813" s="2">
        <v>3374</v>
      </c>
    </row>
    <row r="814" spans="1:5" x14ac:dyDescent="0.25">
      <c r="A814" t="str">
        <f t="shared" si="13"/>
        <v xml:space="preserve">RST </v>
      </c>
      <c r="B814" t="s">
        <v>1131</v>
      </c>
      <c r="C814" t="s">
        <v>10</v>
      </c>
      <c r="D814" t="s">
        <v>1135</v>
      </c>
      <c r="E814" s="2">
        <v>3374</v>
      </c>
    </row>
    <row r="815" spans="1:5" x14ac:dyDescent="0.25">
      <c r="A815" t="str">
        <f t="shared" si="13"/>
        <v>Capa</v>
      </c>
      <c r="B815" t="s">
        <v>2284</v>
      </c>
      <c r="C815" t="s">
        <v>45</v>
      </c>
      <c r="D815" t="s">
        <v>1136</v>
      </c>
      <c r="E815" s="2">
        <v>3361</v>
      </c>
    </row>
    <row r="816" spans="1:5" x14ac:dyDescent="0.25">
      <c r="A816" t="str">
        <f t="shared" si="13"/>
        <v>Capa</v>
      </c>
      <c r="B816" t="s">
        <v>2284</v>
      </c>
      <c r="C816" t="s">
        <v>47</v>
      </c>
      <c r="D816" t="s">
        <v>1137</v>
      </c>
      <c r="E816" s="2">
        <v>3361</v>
      </c>
    </row>
    <row r="817" spans="1:5" x14ac:dyDescent="0.25">
      <c r="A817" t="str">
        <f t="shared" si="13"/>
        <v>MA-1</v>
      </c>
      <c r="B817" t="s">
        <v>1138</v>
      </c>
      <c r="C817" t="s">
        <v>13</v>
      </c>
      <c r="D817" t="s">
        <v>1139</v>
      </c>
      <c r="E817" s="2">
        <v>3358</v>
      </c>
    </row>
    <row r="818" spans="1:5" x14ac:dyDescent="0.25">
      <c r="A818" t="str">
        <f t="shared" si="13"/>
        <v>MA-1</v>
      </c>
      <c r="B818" t="s">
        <v>1138</v>
      </c>
      <c r="C818" t="s">
        <v>47</v>
      </c>
      <c r="D818" t="s">
        <v>1140</v>
      </c>
      <c r="E818" s="2">
        <v>3358</v>
      </c>
    </row>
    <row r="819" spans="1:5" x14ac:dyDescent="0.25">
      <c r="A819" t="str">
        <f t="shared" si="13"/>
        <v>MA-1</v>
      </c>
      <c r="B819" t="s">
        <v>1138</v>
      </c>
      <c r="C819" t="s">
        <v>49</v>
      </c>
      <c r="D819" t="s">
        <v>1141</v>
      </c>
      <c r="E819" s="2">
        <v>3358</v>
      </c>
    </row>
    <row r="820" spans="1:5" x14ac:dyDescent="0.25">
      <c r="A820" t="str">
        <f t="shared" si="13"/>
        <v>MA-1</v>
      </c>
      <c r="B820" t="s">
        <v>1138</v>
      </c>
      <c r="C820" t="s">
        <v>8</v>
      </c>
      <c r="D820" t="s">
        <v>1142</v>
      </c>
      <c r="E820" s="2">
        <v>3358</v>
      </c>
    </row>
    <row r="821" spans="1:5" x14ac:dyDescent="0.25">
      <c r="A821" t="str">
        <f t="shared" si="13"/>
        <v>MA-1</v>
      </c>
      <c r="B821" t="s">
        <v>1138</v>
      </c>
      <c r="C821" t="s">
        <v>62</v>
      </c>
      <c r="D821" t="s">
        <v>1143</v>
      </c>
      <c r="E821" s="2">
        <v>3358</v>
      </c>
    </row>
    <row r="822" spans="1:5" x14ac:dyDescent="0.25">
      <c r="A822" t="str">
        <f t="shared" si="13"/>
        <v xml:space="preserve">RST </v>
      </c>
      <c r="B822" t="s">
        <v>1144</v>
      </c>
      <c r="C822" t="s">
        <v>13</v>
      </c>
      <c r="D822" t="s">
        <v>1145</v>
      </c>
      <c r="E822" s="2">
        <v>3356</v>
      </c>
    </row>
    <row r="823" spans="1:5" x14ac:dyDescent="0.25">
      <c r="A823" t="str">
        <f t="shared" si="13"/>
        <v xml:space="preserve">RST </v>
      </c>
      <c r="B823" t="s">
        <v>1144</v>
      </c>
      <c r="C823" t="s">
        <v>13</v>
      </c>
      <c r="D823" t="s">
        <v>1146</v>
      </c>
      <c r="E823" s="2">
        <v>3356</v>
      </c>
    </row>
    <row r="824" spans="1:5" x14ac:dyDescent="0.25">
      <c r="A824" t="str">
        <f t="shared" si="13"/>
        <v xml:space="preserve">RST </v>
      </c>
      <c r="B824" t="s">
        <v>1144</v>
      </c>
      <c r="C824" t="s">
        <v>5</v>
      </c>
      <c r="D824" t="s">
        <v>1147</v>
      </c>
      <c r="E824" s="2">
        <v>3356</v>
      </c>
    </row>
    <row r="825" spans="1:5" x14ac:dyDescent="0.25">
      <c r="A825" t="str">
        <f t="shared" si="13"/>
        <v xml:space="preserve">RST </v>
      </c>
      <c r="B825" t="s">
        <v>1144</v>
      </c>
      <c r="C825" t="s">
        <v>10</v>
      </c>
      <c r="D825" t="s">
        <v>1148</v>
      </c>
      <c r="E825" s="2">
        <v>3356</v>
      </c>
    </row>
    <row r="826" spans="1:5" x14ac:dyDescent="0.25">
      <c r="A826" t="str">
        <f t="shared" si="13"/>
        <v xml:space="preserve">RST </v>
      </c>
      <c r="B826" t="s">
        <v>1144</v>
      </c>
      <c r="C826" t="s">
        <v>10</v>
      </c>
      <c r="D826" t="s">
        <v>1149</v>
      </c>
      <c r="E826" s="2">
        <v>3356</v>
      </c>
    </row>
    <row r="827" spans="1:5" x14ac:dyDescent="0.25">
      <c r="A827" t="str">
        <f t="shared" si="13"/>
        <v>CRYS</v>
      </c>
      <c r="B827" t="s">
        <v>1150</v>
      </c>
      <c r="C827" t="s">
        <v>1151</v>
      </c>
      <c r="D827" t="s">
        <v>1152</v>
      </c>
      <c r="E827" s="2">
        <v>3346</v>
      </c>
    </row>
    <row r="828" spans="1:5" x14ac:dyDescent="0.25">
      <c r="A828" t="str">
        <f t="shared" si="13"/>
        <v>CRYS</v>
      </c>
      <c r="B828" t="s">
        <v>1150</v>
      </c>
      <c r="C828" t="s">
        <v>1151</v>
      </c>
      <c r="D828" t="s">
        <v>1153</v>
      </c>
      <c r="E828" s="2">
        <v>3346</v>
      </c>
    </row>
    <row r="829" spans="1:5" x14ac:dyDescent="0.25">
      <c r="A829" t="str">
        <f t="shared" si="13"/>
        <v>CRYS</v>
      </c>
      <c r="B829" t="s">
        <v>1150</v>
      </c>
      <c r="C829" t="s">
        <v>1154</v>
      </c>
      <c r="D829" t="s">
        <v>1155</v>
      </c>
      <c r="E829" s="2">
        <v>3346</v>
      </c>
    </row>
    <row r="830" spans="1:5" x14ac:dyDescent="0.25">
      <c r="A830" t="str">
        <f t="shared" si="13"/>
        <v>CRYS</v>
      </c>
      <c r="B830" t="s">
        <v>1150</v>
      </c>
      <c r="C830" t="s">
        <v>1156</v>
      </c>
      <c r="D830" t="s">
        <v>1157</v>
      </c>
      <c r="E830" s="2">
        <v>3346</v>
      </c>
    </row>
    <row r="831" spans="1:5" x14ac:dyDescent="0.25">
      <c r="A831" t="str">
        <f t="shared" si="13"/>
        <v>CRYS</v>
      </c>
      <c r="B831" t="s">
        <v>1150</v>
      </c>
      <c r="C831" t="s">
        <v>1158</v>
      </c>
      <c r="D831" t="s">
        <v>1159</v>
      </c>
      <c r="E831" s="2">
        <v>3346</v>
      </c>
    </row>
    <row r="832" spans="1:5" x14ac:dyDescent="0.25">
      <c r="A832" t="str">
        <f t="shared" si="13"/>
        <v>CRYS</v>
      </c>
      <c r="B832" t="s">
        <v>1150</v>
      </c>
      <c r="C832" t="s">
        <v>1160</v>
      </c>
      <c r="D832" t="s">
        <v>1161</v>
      </c>
      <c r="E832" s="2">
        <v>3346</v>
      </c>
    </row>
    <row r="833" spans="1:5" x14ac:dyDescent="0.25">
      <c r="A833" t="str">
        <f t="shared" si="13"/>
        <v xml:space="preserve">RST </v>
      </c>
      <c r="B833" t="s">
        <v>1162</v>
      </c>
      <c r="C833" t="s">
        <v>13</v>
      </c>
      <c r="D833" t="s">
        <v>1163</v>
      </c>
      <c r="E833" s="2">
        <v>3337</v>
      </c>
    </row>
    <row r="834" spans="1:5" x14ac:dyDescent="0.25">
      <c r="A834" t="str">
        <f t="shared" si="13"/>
        <v>Capa</v>
      </c>
      <c r="B834" t="s">
        <v>2285</v>
      </c>
      <c r="C834" t="s">
        <v>8</v>
      </c>
      <c r="D834" t="s">
        <v>1164</v>
      </c>
      <c r="E834" s="2">
        <v>3334</v>
      </c>
    </row>
    <row r="835" spans="1:5" x14ac:dyDescent="0.25">
      <c r="A835" t="str">
        <f t="shared" si="13"/>
        <v>SENS</v>
      </c>
      <c r="B835" t="s">
        <v>1165</v>
      </c>
      <c r="C835" t="s">
        <v>510</v>
      </c>
      <c r="D835" t="s">
        <v>1166</v>
      </c>
      <c r="E835" s="2">
        <v>3324</v>
      </c>
    </row>
    <row r="836" spans="1:5" x14ac:dyDescent="0.25">
      <c r="A836" t="str">
        <f t="shared" si="13"/>
        <v xml:space="preserve">RST </v>
      </c>
      <c r="B836" t="s">
        <v>1167</v>
      </c>
      <c r="C836" t="s">
        <v>37</v>
      </c>
      <c r="D836" t="s">
        <v>1168</v>
      </c>
      <c r="E836" s="2">
        <v>3318</v>
      </c>
    </row>
    <row r="837" spans="1:5" x14ac:dyDescent="0.25">
      <c r="A837" t="str">
        <f t="shared" si="13"/>
        <v xml:space="preserve">RST </v>
      </c>
      <c r="B837" t="s">
        <v>1167</v>
      </c>
      <c r="C837" t="s">
        <v>510</v>
      </c>
      <c r="D837" t="s">
        <v>1169</v>
      </c>
      <c r="E837" s="2">
        <v>3318</v>
      </c>
    </row>
    <row r="838" spans="1:5" x14ac:dyDescent="0.25">
      <c r="A838" t="str">
        <f t="shared" ref="A838:A901" si="14">LEFT(B838,4)</f>
        <v>SW B</v>
      </c>
      <c r="B838" t="s">
        <v>1170</v>
      </c>
      <c r="C838" t="s">
        <v>1171</v>
      </c>
      <c r="D838" t="s">
        <v>1172</v>
      </c>
      <c r="E838" s="2">
        <v>3309</v>
      </c>
    </row>
    <row r="839" spans="1:5" x14ac:dyDescent="0.25">
      <c r="A839" t="str">
        <f t="shared" si="14"/>
        <v xml:space="preserve">RST </v>
      </c>
      <c r="B839" t="s">
        <v>1173</v>
      </c>
      <c r="C839" t="s">
        <v>37</v>
      </c>
      <c r="D839" t="s">
        <v>1174</v>
      </c>
      <c r="E839" s="2">
        <v>3296</v>
      </c>
    </row>
    <row r="840" spans="1:5" x14ac:dyDescent="0.25">
      <c r="A840" t="str">
        <f t="shared" si="14"/>
        <v xml:space="preserve">RST </v>
      </c>
      <c r="B840" t="s">
        <v>1173</v>
      </c>
      <c r="C840" t="s">
        <v>320</v>
      </c>
      <c r="D840" t="s">
        <v>1175</v>
      </c>
      <c r="E840" s="2">
        <v>3296</v>
      </c>
    </row>
    <row r="841" spans="1:5" x14ac:dyDescent="0.25">
      <c r="A841" t="str">
        <f t="shared" si="14"/>
        <v>TRAN</v>
      </c>
      <c r="B841" t="s">
        <v>1176</v>
      </c>
      <c r="C841" t="s">
        <v>2467</v>
      </c>
      <c r="D841" t="s">
        <v>1177</v>
      </c>
      <c r="E841" s="2">
        <v>3293</v>
      </c>
    </row>
    <row r="842" spans="1:5" x14ac:dyDescent="0.25">
      <c r="A842" t="str">
        <f t="shared" si="14"/>
        <v>TRAN</v>
      </c>
      <c r="B842" t="s">
        <v>1176</v>
      </c>
      <c r="C842" t="s">
        <v>28</v>
      </c>
      <c r="D842" t="s">
        <v>1177</v>
      </c>
      <c r="E842" s="2">
        <v>3293</v>
      </c>
    </row>
    <row r="843" spans="1:5" x14ac:dyDescent="0.25">
      <c r="A843" t="str">
        <f t="shared" si="14"/>
        <v>TRAN</v>
      </c>
      <c r="B843" t="s">
        <v>1176</v>
      </c>
      <c r="C843" t="s">
        <v>28</v>
      </c>
      <c r="D843" t="s">
        <v>1178</v>
      </c>
      <c r="E843" s="2">
        <v>3293</v>
      </c>
    </row>
    <row r="844" spans="1:5" x14ac:dyDescent="0.25">
      <c r="A844" t="str">
        <f t="shared" si="14"/>
        <v>TRAN</v>
      </c>
      <c r="B844" t="s">
        <v>1176</v>
      </c>
      <c r="C844" t="s">
        <v>28</v>
      </c>
      <c r="D844" t="s">
        <v>1179</v>
      </c>
      <c r="E844" s="2">
        <v>3293</v>
      </c>
    </row>
    <row r="845" spans="1:5" x14ac:dyDescent="0.25">
      <c r="A845" t="str">
        <f t="shared" si="14"/>
        <v>TRAN</v>
      </c>
      <c r="B845" t="s">
        <v>1176</v>
      </c>
      <c r="C845" t="s">
        <v>28</v>
      </c>
      <c r="D845" t="s">
        <v>1180</v>
      </c>
      <c r="E845" s="2">
        <v>3293</v>
      </c>
    </row>
    <row r="846" spans="1:5" x14ac:dyDescent="0.25">
      <c r="A846" t="str">
        <f t="shared" si="14"/>
        <v>TRAN</v>
      </c>
      <c r="B846" t="s">
        <v>1176</v>
      </c>
      <c r="C846" t="s">
        <v>28</v>
      </c>
      <c r="D846" t="s">
        <v>1181</v>
      </c>
      <c r="E846" s="2">
        <v>3293</v>
      </c>
    </row>
    <row r="847" spans="1:5" x14ac:dyDescent="0.25">
      <c r="A847" t="str">
        <f t="shared" si="14"/>
        <v>TRAN</v>
      </c>
      <c r="B847" t="s">
        <v>1176</v>
      </c>
      <c r="C847" t="s">
        <v>30</v>
      </c>
      <c r="D847" t="s">
        <v>1182</v>
      </c>
      <c r="E847" s="2">
        <v>3293</v>
      </c>
    </row>
    <row r="848" spans="1:5" x14ac:dyDescent="0.25">
      <c r="A848" t="str">
        <f t="shared" si="14"/>
        <v xml:space="preserve">RST </v>
      </c>
      <c r="B848" t="s">
        <v>1183</v>
      </c>
      <c r="C848" t="s">
        <v>13</v>
      </c>
      <c r="D848" t="s">
        <v>1184</v>
      </c>
      <c r="E848" s="2">
        <v>3287</v>
      </c>
    </row>
    <row r="849" spans="1:5" x14ac:dyDescent="0.25">
      <c r="A849" t="str">
        <f t="shared" si="14"/>
        <v xml:space="preserve">RST </v>
      </c>
      <c r="B849" t="s">
        <v>1183</v>
      </c>
      <c r="C849" t="s">
        <v>5</v>
      </c>
      <c r="D849" t="s">
        <v>1185</v>
      </c>
      <c r="E849" s="2">
        <v>3287</v>
      </c>
    </row>
    <row r="850" spans="1:5" x14ac:dyDescent="0.25">
      <c r="A850" t="str">
        <f t="shared" si="14"/>
        <v xml:space="preserve">RST </v>
      </c>
      <c r="B850" t="s">
        <v>1183</v>
      </c>
      <c r="C850" t="s">
        <v>320</v>
      </c>
      <c r="D850" t="s">
        <v>1186</v>
      </c>
      <c r="E850" s="2">
        <v>3287</v>
      </c>
    </row>
    <row r="851" spans="1:5" x14ac:dyDescent="0.25">
      <c r="A851" t="str">
        <f t="shared" si="14"/>
        <v>COPP</v>
      </c>
      <c r="B851" t="s">
        <v>1187</v>
      </c>
      <c r="C851" t="s">
        <v>1188</v>
      </c>
      <c r="D851" t="s">
        <v>1189</v>
      </c>
      <c r="E851" s="2">
        <v>3280</v>
      </c>
    </row>
    <row r="852" spans="1:5" x14ac:dyDescent="0.25">
      <c r="A852" t="str">
        <f t="shared" si="14"/>
        <v xml:space="preserve">CTM </v>
      </c>
      <c r="B852" t="s">
        <v>1190</v>
      </c>
      <c r="C852" t="s">
        <v>160</v>
      </c>
      <c r="D852" t="s">
        <v>1191</v>
      </c>
      <c r="E852" s="2">
        <v>3278</v>
      </c>
    </row>
    <row r="853" spans="1:5" x14ac:dyDescent="0.25">
      <c r="A853" t="str">
        <f t="shared" si="14"/>
        <v xml:space="preserve">RST </v>
      </c>
      <c r="B853" t="s">
        <v>1192</v>
      </c>
      <c r="C853" t="s">
        <v>13</v>
      </c>
      <c r="D853" t="s">
        <v>1193</v>
      </c>
      <c r="E853" s="2">
        <v>3276</v>
      </c>
    </row>
    <row r="854" spans="1:5" x14ac:dyDescent="0.25">
      <c r="A854" t="str">
        <f t="shared" si="14"/>
        <v xml:space="preserve">RST </v>
      </c>
      <c r="B854" t="s">
        <v>1192</v>
      </c>
      <c r="C854" t="s">
        <v>13</v>
      </c>
      <c r="D854" t="s">
        <v>1194</v>
      </c>
      <c r="E854" s="2">
        <v>3276</v>
      </c>
    </row>
    <row r="855" spans="1:5" x14ac:dyDescent="0.25">
      <c r="A855" t="str">
        <f t="shared" si="14"/>
        <v xml:space="preserve">RST </v>
      </c>
      <c r="B855" t="s">
        <v>1192</v>
      </c>
      <c r="C855" t="s">
        <v>5</v>
      </c>
      <c r="D855" t="s">
        <v>1195</v>
      </c>
      <c r="E855" s="2">
        <v>3276</v>
      </c>
    </row>
    <row r="856" spans="1:5" x14ac:dyDescent="0.25">
      <c r="A856" t="str">
        <f t="shared" si="14"/>
        <v xml:space="preserve">RST </v>
      </c>
      <c r="B856" t="s">
        <v>1192</v>
      </c>
      <c r="C856" t="s">
        <v>10</v>
      </c>
      <c r="D856" t="s">
        <v>1196</v>
      </c>
      <c r="E856" s="2">
        <v>3276</v>
      </c>
    </row>
    <row r="857" spans="1:5" x14ac:dyDescent="0.25">
      <c r="A857" t="str">
        <f t="shared" si="14"/>
        <v xml:space="preserve">RST </v>
      </c>
      <c r="B857" t="s">
        <v>1197</v>
      </c>
      <c r="C857" t="s">
        <v>320</v>
      </c>
      <c r="D857" t="s">
        <v>1198</v>
      </c>
      <c r="E857" s="2">
        <v>3259</v>
      </c>
    </row>
    <row r="858" spans="1:5" x14ac:dyDescent="0.25">
      <c r="A858" t="str">
        <f t="shared" si="14"/>
        <v xml:space="preserve">RST </v>
      </c>
      <c r="B858" t="s">
        <v>1197</v>
      </c>
      <c r="C858" t="s">
        <v>10</v>
      </c>
      <c r="D858" t="s">
        <v>1064</v>
      </c>
      <c r="E858" s="2">
        <v>3259</v>
      </c>
    </row>
    <row r="859" spans="1:5" x14ac:dyDescent="0.25">
      <c r="A859" t="str">
        <f t="shared" si="14"/>
        <v xml:space="preserve">MOS </v>
      </c>
      <c r="B859" t="s">
        <v>1199</v>
      </c>
      <c r="C859" t="s">
        <v>61</v>
      </c>
      <c r="D859" t="s">
        <v>1200</v>
      </c>
      <c r="E859" s="2">
        <v>3258</v>
      </c>
    </row>
    <row r="860" spans="1:5" x14ac:dyDescent="0.25">
      <c r="A860" t="str">
        <f t="shared" si="14"/>
        <v>IC V</v>
      </c>
      <c r="B860" t="s">
        <v>1201</v>
      </c>
      <c r="C860" t="s">
        <v>61</v>
      </c>
      <c r="D860" t="s">
        <v>1202</v>
      </c>
      <c r="E860" s="2">
        <v>3256</v>
      </c>
    </row>
    <row r="861" spans="1:5" x14ac:dyDescent="0.25">
      <c r="A861" t="str">
        <f t="shared" si="14"/>
        <v>Capa</v>
      </c>
      <c r="B861" t="s">
        <v>2286</v>
      </c>
      <c r="C861" t="s">
        <v>249</v>
      </c>
      <c r="D861" t="s">
        <v>1203</v>
      </c>
      <c r="E861" s="2">
        <v>3247</v>
      </c>
    </row>
    <row r="862" spans="1:5" x14ac:dyDescent="0.25">
      <c r="A862" t="str">
        <f t="shared" si="14"/>
        <v>Capa</v>
      </c>
      <c r="B862" t="s">
        <v>2286</v>
      </c>
      <c r="C862" t="s">
        <v>249</v>
      </c>
      <c r="D862" t="s">
        <v>1204</v>
      </c>
      <c r="E862" s="2">
        <v>3247</v>
      </c>
    </row>
    <row r="863" spans="1:5" x14ac:dyDescent="0.25">
      <c r="A863" t="str">
        <f t="shared" si="14"/>
        <v>Capa</v>
      </c>
      <c r="B863" t="s">
        <v>2286</v>
      </c>
      <c r="C863" t="s">
        <v>1205</v>
      </c>
      <c r="D863" t="s">
        <v>1206</v>
      </c>
      <c r="E863" s="2">
        <v>3247</v>
      </c>
    </row>
    <row r="864" spans="1:5" x14ac:dyDescent="0.25">
      <c r="A864" t="str">
        <f t="shared" si="14"/>
        <v>Capa</v>
      </c>
      <c r="B864" t="s">
        <v>2286</v>
      </c>
      <c r="C864" t="s">
        <v>204</v>
      </c>
      <c r="D864" t="s">
        <v>1207</v>
      </c>
      <c r="E864" s="2">
        <v>3247</v>
      </c>
    </row>
    <row r="865" spans="1:5" x14ac:dyDescent="0.25">
      <c r="A865" t="str">
        <f t="shared" si="14"/>
        <v>Capa</v>
      </c>
      <c r="B865" t="s">
        <v>2286</v>
      </c>
      <c r="C865" t="s">
        <v>1208</v>
      </c>
      <c r="D865" t="s">
        <v>1206</v>
      </c>
      <c r="E865" s="2">
        <v>3247</v>
      </c>
    </row>
    <row r="866" spans="1:5" x14ac:dyDescent="0.25">
      <c r="A866" t="str">
        <f t="shared" si="14"/>
        <v>Capa</v>
      </c>
      <c r="B866" t="s">
        <v>2286</v>
      </c>
      <c r="C866" t="s">
        <v>1208</v>
      </c>
      <c r="D866" t="s">
        <v>1209</v>
      </c>
      <c r="E866" s="2">
        <v>3247</v>
      </c>
    </row>
    <row r="867" spans="1:5" x14ac:dyDescent="0.25">
      <c r="A867" t="str">
        <f t="shared" si="14"/>
        <v xml:space="preserve">CTF </v>
      </c>
      <c r="B867" t="s">
        <v>1210</v>
      </c>
      <c r="C867" t="s">
        <v>160</v>
      </c>
      <c r="D867" t="s">
        <v>1211</v>
      </c>
      <c r="E867" s="2">
        <v>3221</v>
      </c>
    </row>
    <row r="868" spans="1:5" x14ac:dyDescent="0.25">
      <c r="A868" t="str">
        <f t="shared" si="14"/>
        <v>Capa</v>
      </c>
      <c r="B868" t="s">
        <v>2287</v>
      </c>
      <c r="C868" t="s">
        <v>13</v>
      </c>
      <c r="D868" t="s">
        <v>1212</v>
      </c>
      <c r="E868" s="2">
        <v>3218</v>
      </c>
    </row>
    <row r="869" spans="1:5" x14ac:dyDescent="0.25">
      <c r="A869" t="str">
        <f t="shared" si="14"/>
        <v>Capa</v>
      </c>
      <c r="B869" t="s">
        <v>2287</v>
      </c>
      <c r="C869" t="s">
        <v>47</v>
      </c>
      <c r="D869" t="s">
        <v>1213</v>
      </c>
      <c r="E869" s="2">
        <v>3218</v>
      </c>
    </row>
    <row r="870" spans="1:5" x14ac:dyDescent="0.25">
      <c r="A870" t="str">
        <f t="shared" si="14"/>
        <v xml:space="preserve">IND </v>
      </c>
      <c r="B870" t="s">
        <v>1214</v>
      </c>
      <c r="C870" t="s">
        <v>184</v>
      </c>
      <c r="D870" t="s">
        <v>1215</v>
      </c>
      <c r="E870" s="2">
        <v>3198</v>
      </c>
    </row>
    <row r="871" spans="1:5" x14ac:dyDescent="0.25">
      <c r="A871" t="str">
        <f t="shared" si="14"/>
        <v xml:space="preserve">IND </v>
      </c>
      <c r="B871" t="s">
        <v>1214</v>
      </c>
      <c r="C871" t="s">
        <v>62</v>
      </c>
      <c r="D871" t="s">
        <v>1216</v>
      </c>
      <c r="E871" s="2">
        <v>3198</v>
      </c>
    </row>
    <row r="872" spans="1:5" x14ac:dyDescent="0.25">
      <c r="A872" t="str">
        <f t="shared" si="14"/>
        <v xml:space="preserve">IND </v>
      </c>
      <c r="B872" t="s">
        <v>1214</v>
      </c>
      <c r="C872" t="s">
        <v>89</v>
      </c>
      <c r="D872" t="s">
        <v>1217</v>
      </c>
      <c r="E872" s="2">
        <v>3198</v>
      </c>
    </row>
    <row r="873" spans="1:5" x14ac:dyDescent="0.25">
      <c r="A873" t="str">
        <f t="shared" si="14"/>
        <v>Diod</v>
      </c>
      <c r="B873" t="s">
        <v>2434</v>
      </c>
      <c r="C873" t="s">
        <v>328</v>
      </c>
      <c r="D873" t="s">
        <v>1218</v>
      </c>
      <c r="E873" s="2">
        <v>3197</v>
      </c>
    </row>
    <row r="874" spans="1:5" x14ac:dyDescent="0.25">
      <c r="A874" t="str">
        <f t="shared" si="14"/>
        <v>Diod</v>
      </c>
      <c r="B874" t="s">
        <v>2435</v>
      </c>
      <c r="C874" t="s">
        <v>37</v>
      </c>
      <c r="D874" t="s">
        <v>1219</v>
      </c>
      <c r="E874" s="2">
        <v>3189</v>
      </c>
    </row>
    <row r="875" spans="1:5" x14ac:dyDescent="0.25">
      <c r="A875" t="str">
        <f t="shared" si="14"/>
        <v>Diod</v>
      </c>
      <c r="B875" t="s">
        <v>2435</v>
      </c>
      <c r="C875" t="s">
        <v>37</v>
      </c>
      <c r="D875" t="s">
        <v>1220</v>
      </c>
      <c r="E875" s="2">
        <v>3189</v>
      </c>
    </row>
    <row r="876" spans="1:5" x14ac:dyDescent="0.25">
      <c r="A876" t="str">
        <f t="shared" si="14"/>
        <v>Diod</v>
      </c>
      <c r="B876" t="s">
        <v>2435</v>
      </c>
      <c r="C876" t="s">
        <v>28</v>
      </c>
      <c r="D876" t="s">
        <v>1221</v>
      </c>
      <c r="E876" s="2">
        <v>3189</v>
      </c>
    </row>
    <row r="877" spans="1:5" x14ac:dyDescent="0.25">
      <c r="A877" t="str">
        <f t="shared" si="14"/>
        <v>IC 2</v>
      </c>
      <c r="B877" t="s">
        <v>1222</v>
      </c>
      <c r="C877" t="s">
        <v>61</v>
      </c>
      <c r="D877" t="s">
        <v>1223</v>
      </c>
      <c r="E877" s="2">
        <v>3184</v>
      </c>
    </row>
    <row r="878" spans="1:5" x14ac:dyDescent="0.25">
      <c r="A878" t="str">
        <f t="shared" si="14"/>
        <v>IC 2</v>
      </c>
      <c r="B878" t="s">
        <v>1222</v>
      </c>
      <c r="C878" t="s">
        <v>542</v>
      </c>
      <c r="D878" t="s">
        <v>1224</v>
      </c>
      <c r="E878" s="2">
        <v>3184</v>
      </c>
    </row>
    <row r="879" spans="1:5" x14ac:dyDescent="0.25">
      <c r="A879" t="str">
        <f t="shared" si="14"/>
        <v xml:space="preserve">LED </v>
      </c>
      <c r="B879" t="s">
        <v>1225</v>
      </c>
      <c r="C879" t="s">
        <v>138</v>
      </c>
      <c r="D879" t="s">
        <v>1226</v>
      </c>
      <c r="E879" s="2">
        <v>3167</v>
      </c>
    </row>
    <row r="880" spans="1:5" x14ac:dyDescent="0.25">
      <c r="A880" t="str">
        <f t="shared" si="14"/>
        <v>TRAN</v>
      </c>
      <c r="B880" t="s">
        <v>1227</v>
      </c>
      <c r="C880" t="s">
        <v>2467</v>
      </c>
      <c r="D880" t="s">
        <v>1228</v>
      </c>
      <c r="E880" s="2">
        <v>3162</v>
      </c>
    </row>
    <row r="881" spans="1:5" x14ac:dyDescent="0.25">
      <c r="A881" t="str">
        <f t="shared" si="14"/>
        <v>TRAN</v>
      </c>
      <c r="B881" t="s">
        <v>1227</v>
      </c>
      <c r="C881" t="s">
        <v>2467</v>
      </c>
      <c r="D881" t="s">
        <v>1229</v>
      </c>
      <c r="E881" s="2">
        <v>3162</v>
      </c>
    </row>
    <row r="882" spans="1:5" x14ac:dyDescent="0.25">
      <c r="A882" t="str">
        <f t="shared" si="14"/>
        <v>Diod</v>
      </c>
      <c r="B882" t="s">
        <v>2436</v>
      </c>
      <c r="C882" t="s">
        <v>37</v>
      </c>
      <c r="D882" t="s">
        <v>1230</v>
      </c>
      <c r="E882" s="2">
        <v>3152</v>
      </c>
    </row>
    <row r="883" spans="1:5" x14ac:dyDescent="0.25">
      <c r="A883" t="str">
        <f t="shared" si="14"/>
        <v>Diod</v>
      </c>
      <c r="B883" t="s">
        <v>2436</v>
      </c>
      <c r="C883" t="s">
        <v>2467</v>
      </c>
      <c r="D883" t="s">
        <v>1231</v>
      </c>
      <c r="E883" s="2">
        <v>3152</v>
      </c>
    </row>
    <row r="884" spans="1:5" x14ac:dyDescent="0.25">
      <c r="A884" t="str">
        <f t="shared" si="14"/>
        <v xml:space="preserve">CNT </v>
      </c>
      <c r="B884" t="s">
        <v>1232</v>
      </c>
      <c r="C884" t="s">
        <v>1233</v>
      </c>
      <c r="D884" t="s">
        <v>1234</v>
      </c>
      <c r="E884" s="2">
        <v>3127</v>
      </c>
    </row>
    <row r="885" spans="1:5" x14ac:dyDescent="0.25">
      <c r="A885" t="str">
        <f t="shared" si="14"/>
        <v>Capa</v>
      </c>
      <c r="B885" t="s">
        <v>2288</v>
      </c>
      <c r="C885" t="s">
        <v>13</v>
      </c>
      <c r="D885" t="s">
        <v>1006</v>
      </c>
      <c r="E885" s="2">
        <v>3124</v>
      </c>
    </row>
    <row r="886" spans="1:5" x14ac:dyDescent="0.25">
      <c r="A886" t="str">
        <f t="shared" si="14"/>
        <v>Capa</v>
      </c>
      <c r="B886" t="s">
        <v>2288</v>
      </c>
      <c r="C886" t="s">
        <v>45</v>
      </c>
      <c r="D886" t="s">
        <v>1235</v>
      </c>
      <c r="E886" s="2">
        <v>3124</v>
      </c>
    </row>
    <row r="887" spans="1:5" x14ac:dyDescent="0.25">
      <c r="A887" t="str">
        <f t="shared" si="14"/>
        <v>Capa</v>
      </c>
      <c r="B887" t="s">
        <v>2288</v>
      </c>
      <c r="C887" t="s">
        <v>47</v>
      </c>
      <c r="D887" t="s">
        <v>1236</v>
      </c>
      <c r="E887" s="2">
        <v>3124</v>
      </c>
    </row>
    <row r="888" spans="1:5" x14ac:dyDescent="0.25">
      <c r="A888" t="str">
        <f t="shared" si="14"/>
        <v>Capa</v>
      </c>
      <c r="B888" t="s">
        <v>2288</v>
      </c>
      <c r="C888" t="s">
        <v>37</v>
      </c>
      <c r="D888" t="s">
        <v>1237</v>
      </c>
      <c r="E888" s="2">
        <v>3124</v>
      </c>
    </row>
    <row r="889" spans="1:5" x14ac:dyDescent="0.25">
      <c r="A889" t="str">
        <f t="shared" si="14"/>
        <v>Capa</v>
      </c>
      <c r="B889" t="s">
        <v>2288</v>
      </c>
      <c r="C889" t="s">
        <v>64</v>
      </c>
      <c r="D889" t="s">
        <v>1238</v>
      </c>
      <c r="E889" s="2">
        <v>3124</v>
      </c>
    </row>
    <row r="890" spans="1:5" x14ac:dyDescent="0.25">
      <c r="A890" t="str">
        <f t="shared" si="14"/>
        <v>Capa</v>
      </c>
      <c r="B890" t="s">
        <v>2288</v>
      </c>
      <c r="C890" t="s">
        <v>62</v>
      </c>
      <c r="D890" t="s">
        <v>1239</v>
      </c>
      <c r="E890" s="2">
        <v>3124</v>
      </c>
    </row>
    <row r="891" spans="1:5" x14ac:dyDescent="0.25">
      <c r="A891" t="str">
        <f t="shared" si="14"/>
        <v>Capa</v>
      </c>
      <c r="B891" t="s">
        <v>2289</v>
      </c>
      <c r="C891" t="s">
        <v>13</v>
      </c>
      <c r="D891" t="s">
        <v>1240</v>
      </c>
      <c r="E891" s="2">
        <v>3093</v>
      </c>
    </row>
    <row r="892" spans="1:5" x14ac:dyDescent="0.25">
      <c r="A892" t="str">
        <f t="shared" si="14"/>
        <v>Capa</v>
      </c>
      <c r="B892" t="s">
        <v>2289</v>
      </c>
      <c r="C892" t="s">
        <v>47</v>
      </c>
      <c r="D892" t="s">
        <v>1241</v>
      </c>
      <c r="E892" s="2">
        <v>3093</v>
      </c>
    </row>
    <row r="893" spans="1:5" x14ac:dyDescent="0.25">
      <c r="A893" t="str">
        <f t="shared" si="14"/>
        <v>Capa</v>
      </c>
      <c r="B893" t="s">
        <v>2289</v>
      </c>
      <c r="C893" t="s">
        <v>8</v>
      </c>
      <c r="D893" t="s">
        <v>1242</v>
      </c>
      <c r="E893" s="2">
        <v>3093</v>
      </c>
    </row>
    <row r="894" spans="1:5" x14ac:dyDescent="0.25">
      <c r="A894" t="str">
        <f t="shared" si="14"/>
        <v>Capa</v>
      </c>
      <c r="B894" t="s">
        <v>2289</v>
      </c>
      <c r="C894" t="s">
        <v>8</v>
      </c>
      <c r="D894" t="s">
        <v>1243</v>
      </c>
      <c r="E894" s="2">
        <v>3093</v>
      </c>
    </row>
    <row r="895" spans="1:5" x14ac:dyDescent="0.25">
      <c r="A895" t="str">
        <f t="shared" si="14"/>
        <v>Capa</v>
      </c>
      <c r="B895" t="s">
        <v>2289</v>
      </c>
      <c r="C895" t="s">
        <v>10</v>
      </c>
      <c r="D895" t="s">
        <v>1244</v>
      </c>
      <c r="E895" s="2">
        <v>3093</v>
      </c>
    </row>
    <row r="896" spans="1:5" x14ac:dyDescent="0.25">
      <c r="A896" t="str">
        <f t="shared" si="14"/>
        <v>Capa</v>
      </c>
      <c r="B896" t="s">
        <v>2290</v>
      </c>
      <c r="C896" t="s">
        <v>47</v>
      </c>
      <c r="D896" t="s">
        <v>1245</v>
      </c>
      <c r="E896" s="2">
        <v>3081</v>
      </c>
    </row>
    <row r="897" spans="1:5" x14ac:dyDescent="0.25">
      <c r="A897" t="str">
        <f t="shared" si="14"/>
        <v>Capa</v>
      </c>
      <c r="B897" t="s">
        <v>2290</v>
      </c>
      <c r="C897" t="s">
        <v>47</v>
      </c>
      <c r="D897" t="s">
        <v>1246</v>
      </c>
      <c r="E897" s="2">
        <v>3081</v>
      </c>
    </row>
    <row r="898" spans="1:5" x14ac:dyDescent="0.25">
      <c r="A898" t="str">
        <f t="shared" si="14"/>
        <v>Capa</v>
      </c>
      <c r="B898" t="s">
        <v>2290</v>
      </c>
      <c r="C898" t="s">
        <v>37</v>
      </c>
      <c r="D898" t="s">
        <v>1247</v>
      </c>
      <c r="E898" s="2">
        <v>3081</v>
      </c>
    </row>
    <row r="899" spans="1:5" x14ac:dyDescent="0.25">
      <c r="A899" t="str">
        <f t="shared" si="14"/>
        <v>Capa</v>
      </c>
      <c r="B899" t="s">
        <v>2290</v>
      </c>
      <c r="C899" t="s">
        <v>64</v>
      </c>
      <c r="D899" t="s">
        <v>1248</v>
      </c>
      <c r="E899" s="2">
        <v>3081</v>
      </c>
    </row>
    <row r="900" spans="1:5" x14ac:dyDescent="0.25">
      <c r="A900" t="str">
        <f t="shared" si="14"/>
        <v>MOSF</v>
      </c>
      <c r="B900" t="s">
        <v>2480</v>
      </c>
      <c r="C900" t="s">
        <v>37</v>
      </c>
      <c r="D900" t="s">
        <v>1249</v>
      </c>
      <c r="E900" s="2">
        <v>3079</v>
      </c>
    </row>
    <row r="901" spans="1:5" x14ac:dyDescent="0.25">
      <c r="A901" t="str">
        <f t="shared" si="14"/>
        <v>Capa</v>
      </c>
      <c r="B901" t="s">
        <v>2291</v>
      </c>
      <c r="C901" t="s">
        <v>47</v>
      </c>
      <c r="D901" t="s">
        <v>1250</v>
      </c>
      <c r="E901" s="2">
        <v>3078</v>
      </c>
    </row>
    <row r="902" spans="1:5" x14ac:dyDescent="0.25">
      <c r="A902" t="str">
        <f t="shared" ref="A902:A965" si="15">LEFT(B902,4)</f>
        <v>Capa</v>
      </c>
      <c r="B902" t="s">
        <v>2291</v>
      </c>
      <c r="C902" t="s">
        <v>64</v>
      </c>
      <c r="D902" t="s">
        <v>1251</v>
      </c>
      <c r="E902" s="2">
        <v>3078</v>
      </c>
    </row>
    <row r="903" spans="1:5" x14ac:dyDescent="0.25">
      <c r="A903" t="str">
        <f t="shared" si="15"/>
        <v>IC A</v>
      </c>
      <c r="B903" t="s">
        <v>1252</v>
      </c>
      <c r="C903" t="s">
        <v>1253</v>
      </c>
      <c r="D903" t="s">
        <v>1254</v>
      </c>
      <c r="E903" s="2">
        <v>3067</v>
      </c>
    </row>
    <row r="904" spans="1:5" x14ac:dyDescent="0.25">
      <c r="A904" t="str">
        <f t="shared" si="15"/>
        <v>IC A</v>
      </c>
      <c r="B904" t="s">
        <v>1252</v>
      </c>
      <c r="C904" t="s">
        <v>1253</v>
      </c>
      <c r="D904" t="s">
        <v>1255</v>
      </c>
      <c r="E904" s="2">
        <v>3067</v>
      </c>
    </row>
    <row r="905" spans="1:5" x14ac:dyDescent="0.25">
      <c r="A905" t="str">
        <f t="shared" si="15"/>
        <v xml:space="preserve">RST </v>
      </c>
      <c r="B905" t="s">
        <v>1256</v>
      </c>
      <c r="C905" t="s">
        <v>13</v>
      </c>
      <c r="D905" t="s">
        <v>1257</v>
      </c>
      <c r="E905" s="2">
        <v>3044</v>
      </c>
    </row>
    <row r="906" spans="1:5" x14ac:dyDescent="0.25">
      <c r="A906" t="str">
        <f t="shared" si="15"/>
        <v xml:space="preserve">RST </v>
      </c>
      <c r="B906" t="s">
        <v>1258</v>
      </c>
      <c r="C906" t="s">
        <v>13</v>
      </c>
      <c r="D906" t="s">
        <v>1259</v>
      </c>
      <c r="E906" s="2">
        <v>3017</v>
      </c>
    </row>
    <row r="907" spans="1:5" x14ac:dyDescent="0.25">
      <c r="A907" t="str">
        <f t="shared" si="15"/>
        <v xml:space="preserve">MOS </v>
      </c>
      <c r="B907" t="s">
        <v>1260</v>
      </c>
      <c r="C907" t="s">
        <v>30</v>
      </c>
      <c r="D907" t="s">
        <v>1261</v>
      </c>
      <c r="E907" s="2">
        <v>3010</v>
      </c>
    </row>
    <row r="908" spans="1:5" x14ac:dyDescent="0.25">
      <c r="A908" t="str">
        <f t="shared" si="15"/>
        <v xml:space="preserve">MOS </v>
      </c>
      <c r="B908" t="s">
        <v>1260</v>
      </c>
      <c r="C908" t="s">
        <v>30</v>
      </c>
      <c r="D908" t="s">
        <v>1262</v>
      </c>
      <c r="E908" s="2">
        <v>3010</v>
      </c>
    </row>
    <row r="909" spans="1:5" x14ac:dyDescent="0.25">
      <c r="A909" t="str">
        <f t="shared" si="15"/>
        <v>CRYS</v>
      </c>
      <c r="B909" t="s">
        <v>1263</v>
      </c>
      <c r="C909" t="s">
        <v>1264</v>
      </c>
      <c r="D909" t="s">
        <v>1265</v>
      </c>
      <c r="E909" s="2">
        <v>3005</v>
      </c>
    </row>
    <row r="910" spans="1:5" x14ac:dyDescent="0.25">
      <c r="A910" t="str">
        <f t="shared" si="15"/>
        <v xml:space="preserve">LED </v>
      </c>
      <c r="B910" t="s">
        <v>1266</v>
      </c>
      <c r="C910" t="s">
        <v>184</v>
      </c>
      <c r="D910" t="s">
        <v>1267</v>
      </c>
      <c r="E910" s="2">
        <v>3000</v>
      </c>
    </row>
    <row r="911" spans="1:5" x14ac:dyDescent="0.25">
      <c r="A911" t="str">
        <f t="shared" si="15"/>
        <v xml:space="preserve">RST </v>
      </c>
      <c r="B911" t="s">
        <v>1268</v>
      </c>
      <c r="C911" t="s">
        <v>13</v>
      </c>
      <c r="D911" t="s">
        <v>1269</v>
      </c>
      <c r="E911" s="2">
        <v>2997</v>
      </c>
    </row>
    <row r="912" spans="1:5" x14ac:dyDescent="0.25">
      <c r="A912" t="str">
        <f t="shared" si="15"/>
        <v xml:space="preserve">RST </v>
      </c>
      <c r="B912" t="s">
        <v>1268</v>
      </c>
      <c r="C912" t="s">
        <v>10</v>
      </c>
      <c r="D912" t="s">
        <v>180</v>
      </c>
      <c r="E912" s="2">
        <v>2997</v>
      </c>
    </row>
    <row r="913" spans="1:5" x14ac:dyDescent="0.25">
      <c r="A913" t="str">
        <f t="shared" si="15"/>
        <v xml:space="preserve">RST </v>
      </c>
      <c r="B913" t="s">
        <v>1270</v>
      </c>
      <c r="C913" t="s">
        <v>13</v>
      </c>
      <c r="D913" t="s">
        <v>1271</v>
      </c>
      <c r="E913" s="2">
        <v>2995</v>
      </c>
    </row>
    <row r="914" spans="1:5" x14ac:dyDescent="0.25">
      <c r="A914" t="str">
        <f t="shared" si="15"/>
        <v>IC L</v>
      </c>
      <c r="B914" t="s">
        <v>1272</v>
      </c>
      <c r="C914" t="s">
        <v>149</v>
      </c>
      <c r="D914" t="s">
        <v>1273</v>
      </c>
      <c r="E914" s="2">
        <v>2994</v>
      </c>
    </row>
    <row r="915" spans="1:5" x14ac:dyDescent="0.25">
      <c r="A915" t="str">
        <f t="shared" si="15"/>
        <v>IC L</v>
      </c>
      <c r="B915" t="s">
        <v>1272</v>
      </c>
      <c r="C915" t="s">
        <v>149</v>
      </c>
      <c r="D915" t="s">
        <v>1274</v>
      </c>
      <c r="E915" s="2">
        <v>2994</v>
      </c>
    </row>
    <row r="916" spans="1:5" x14ac:dyDescent="0.25">
      <c r="A916" t="str">
        <f t="shared" si="15"/>
        <v>IC L</v>
      </c>
      <c r="B916" t="s">
        <v>1272</v>
      </c>
      <c r="C916" t="s">
        <v>149</v>
      </c>
      <c r="D916" t="s">
        <v>1275</v>
      </c>
      <c r="E916" s="2">
        <v>2994</v>
      </c>
    </row>
    <row r="917" spans="1:5" x14ac:dyDescent="0.25">
      <c r="A917" t="str">
        <f t="shared" si="15"/>
        <v>Capa</v>
      </c>
      <c r="B917" t="s">
        <v>2292</v>
      </c>
      <c r="C917" t="s">
        <v>13</v>
      </c>
      <c r="D917" t="s">
        <v>1276</v>
      </c>
      <c r="E917" s="2">
        <v>2981</v>
      </c>
    </row>
    <row r="918" spans="1:5" x14ac:dyDescent="0.25">
      <c r="A918" t="str">
        <f t="shared" si="15"/>
        <v>Capa</v>
      </c>
      <c r="B918" t="s">
        <v>2292</v>
      </c>
      <c r="C918" t="s">
        <v>8</v>
      </c>
      <c r="D918" t="s">
        <v>1277</v>
      </c>
      <c r="E918" s="2">
        <v>2981</v>
      </c>
    </row>
    <row r="919" spans="1:5" x14ac:dyDescent="0.25">
      <c r="A919" t="str">
        <f t="shared" si="15"/>
        <v xml:space="preserve">RST </v>
      </c>
      <c r="B919" t="s">
        <v>1278</v>
      </c>
      <c r="C919" t="s">
        <v>320</v>
      </c>
      <c r="D919" t="s">
        <v>1279</v>
      </c>
      <c r="E919" s="2">
        <v>2963</v>
      </c>
    </row>
    <row r="920" spans="1:5" x14ac:dyDescent="0.25">
      <c r="A920" t="str">
        <f t="shared" si="15"/>
        <v>Diod</v>
      </c>
      <c r="B920" t="s">
        <v>2437</v>
      </c>
      <c r="C920" t="s">
        <v>37</v>
      </c>
      <c r="D920" t="s">
        <v>1280</v>
      </c>
      <c r="E920" s="2">
        <v>2960</v>
      </c>
    </row>
    <row r="921" spans="1:5" x14ac:dyDescent="0.25">
      <c r="A921" t="str">
        <f t="shared" si="15"/>
        <v>Diod</v>
      </c>
      <c r="B921" t="s">
        <v>2437</v>
      </c>
      <c r="C921" t="s">
        <v>37</v>
      </c>
      <c r="D921" t="s">
        <v>1281</v>
      </c>
      <c r="E921" s="2">
        <v>2960</v>
      </c>
    </row>
    <row r="922" spans="1:5" x14ac:dyDescent="0.25">
      <c r="A922" t="str">
        <f t="shared" si="15"/>
        <v>Capa</v>
      </c>
      <c r="B922" t="s">
        <v>2293</v>
      </c>
      <c r="C922" t="s">
        <v>47</v>
      </c>
      <c r="D922" t="s">
        <v>1282</v>
      </c>
      <c r="E922" s="2">
        <v>2958</v>
      </c>
    </row>
    <row r="923" spans="1:5" x14ac:dyDescent="0.25">
      <c r="A923" t="str">
        <f t="shared" si="15"/>
        <v xml:space="preserve">RST </v>
      </c>
      <c r="B923" t="s">
        <v>1283</v>
      </c>
      <c r="C923" t="s">
        <v>37</v>
      </c>
      <c r="D923" t="s">
        <v>1284</v>
      </c>
      <c r="E923" s="2">
        <v>2952</v>
      </c>
    </row>
    <row r="924" spans="1:5" x14ac:dyDescent="0.25">
      <c r="A924" t="str">
        <f t="shared" si="15"/>
        <v xml:space="preserve">RST </v>
      </c>
      <c r="B924" t="s">
        <v>1285</v>
      </c>
      <c r="C924" t="s">
        <v>207</v>
      </c>
      <c r="D924" t="s">
        <v>1286</v>
      </c>
      <c r="E924" s="2">
        <v>2945</v>
      </c>
    </row>
    <row r="925" spans="1:5" x14ac:dyDescent="0.25">
      <c r="A925" t="str">
        <f t="shared" si="15"/>
        <v xml:space="preserve">RST </v>
      </c>
      <c r="B925" t="s">
        <v>1287</v>
      </c>
      <c r="C925" t="s">
        <v>37</v>
      </c>
      <c r="D925" t="s">
        <v>1288</v>
      </c>
      <c r="E925" s="2">
        <v>2932</v>
      </c>
    </row>
    <row r="926" spans="1:5" x14ac:dyDescent="0.25">
      <c r="A926" t="str">
        <f t="shared" si="15"/>
        <v>Diod</v>
      </c>
      <c r="B926" t="s">
        <v>2438</v>
      </c>
      <c r="C926" t="s">
        <v>57</v>
      </c>
      <c r="D926" t="s">
        <v>1289</v>
      </c>
      <c r="E926" s="2">
        <v>2927</v>
      </c>
    </row>
    <row r="927" spans="1:5" x14ac:dyDescent="0.25">
      <c r="A927" t="str">
        <f t="shared" si="15"/>
        <v>Diod</v>
      </c>
      <c r="B927" t="s">
        <v>2438</v>
      </c>
      <c r="C927" t="s">
        <v>37</v>
      </c>
      <c r="D927" t="s">
        <v>1290</v>
      </c>
      <c r="E927" s="2">
        <v>2927</v>
      </c>
    </row>
    <row r="928" spans="1:5" x14ac:dyDescent="0.25">
      <c r="A928" t="str">
        <f t="shared" si="15"/>
        <v>Diod</v>
      </c>
      <c r="B928" t="s">
        <v>2438</v>
      </c>
      <c r="C928" t="s">
        <v>61</v>
      </c>
      <c r="D928" t="s">
        <v>1291</v>
      </c>
      <c r="E928" s="2">
        <v>2927</v>
      </c>
    </row>
    <row r="929" spans="1:5" x14ac:dyDescent="0.25">
      <c r="A929" t="str">
        <f t="shared" si="15"/>
        <v>Diod</v>
      </c>
      <c r="B929" t="s">
        <v>2438</v>
      </c>
      <c r="C929" t="s">
        <v>1292</v>
      </c>
      <c r="D929" t="s">
        <v>1293</v>
      </c>
      <c r="E929" s="2">
        <v>2927</v>
      </c>
    </row>
    <row r="930" spans="1:5" x14ac:dyDescent="0.25">
      <c r="A930" t="str">
        <f t="shared" si="15"/>
        <v xml:space="preserve">RST </v>
      </c>
      <c r="B930" t="s">
        <v>1294</v>
      </c>
      <c r="C930" t="s">
        <v>13</v>
      </c>
      <c r="D930" t="s">
        <v>1295</v>
      </c>
      <c r="E930" s="2">
        <v>2924</v>
      </c>
    </row>
    <row r="931" spans="1:5" x14ac:dyDescent="0.25">
      <c r="A931" t="str">
        <f t="shared" si="15"/>
        <v xml:space="preserve">RST </v>
      </c>
      <c r="B931" t="s">
        <v>1296</v>
      </c>
      <c r="C931" t="s">
        <v>13</v>
      </c>
      <c r="D931" t="s">
        <v>1297</v>
      </c>
      <c r="E931" s="2">
        <v>2923</v>
      </c>
    </row>
    <row r="932" spans="1:5" x14ac:dyDescent="0.25">
      <c r="A932" t="str">
        <f t="shared" si="15"/>
        <v>Capa</v>
      </c>
      <c r="B932" t="s">
        <v>2294</v>
      </c>
      <c r="C932" t="s">
        <v>47</v>
      </c>
      <c r="D932" t="s">
        <v>1298</v>
      </c>
      <c r="E932" s="2">
        <v>2911</v>
      </c>
    </row>
    <row r="933" spans="1:5" x14ac:dyDescent="0.25">
      <c r="A933" t="str">
        <f t="shared" si="15"/>
        <v>Capa</v>
      </c>
      <c r="B933" t="s">
        <v>2294</v>
      </c>
      <c r="C933" t="s">
        <v>49</v>
      </c>
      <c r="D933" t="s">
        <v>1299</v>
      </c>
      <c r="E933" s="2">
        <v>2911</v>
      </c>
    </row>
    <row r="934" spans="1:5" x14ac:dyDescent="0.25">
      <c r="A934" t="str">
        <f t="shared" si="15"/>
        <v>ICMD</v>
      </c>
      <c r="B934" t="s">
        <v>2388</v>
      </c>
      <c r="C934" t="s">
        <v>149</v>
      </c>
      <c r="D934" t="s">
        <v>1300</v>
      </c>
      <c r="E934" s="2">
        <v>2909</v>
      </c>
    </row>
    <row r="935" spans="1:5" x14ac:dyDescent="0.25">
      <c r="A935" t="str">
        <f t="shared" si="15"/>
        <v>ICMD</v>
      </c>
      <c r="B935" t="s">
        <v>2388</v>
      </c>
      <c r="C935" t="s">
        <v>153</v>
      </c>
      <c r="D935" t="s">
        <v>1300</v>
      </c>
      <c r="E935" s="2">
        <v>2909</v>
      </c>
    </row>
    <row r="936" spans="1:5" x14ac:dyDescent="0.25">
      <c r="A936" t="str">
        <f t="shared" si="15"/>
        <v>IC L</v>
      </c>
      <c r="B936" t="s">
        <v>1301</v>
      </c>
      <c r="C936" t="s">
        <v>61</v>
      </c>
      <c r="D936" t="s">
        <v>1302</v>
      </c>
      <c r="E936" s="2">
        <v>2891</v>
      </c>
    </row>
    <row r="937" spans="1:5" x14ac:dyDescent="0.25">
      <c r="A937" t="str">
        <f t="shared" si="15"/>
        <v xml:space="preserve">RST </v>
      </c>
      <c r="B937" t="s">
        <v>1303</v>
      </c>
      <c r="C937" t="s">
        <v>13</v>
      </c>
      <c r="D937" t="s">
        <v>1304</v>
      </c>
      <c r="E937" s="2">
        <v>2866</v>
      </c>
    </row>
    <row r="938" spans="1:5" x14ac:dyDescent="0.25">
      <c r="A938" t="str">
        <f t="shared" si="15"/>
        <v xml:space="preserve">RST </v>
      </c>
      <c r="B938" t="s">
        <v>1305</v>
      </c>
      <c r="C938" t="s">
        <v>13</v>
      </c>
      <c r="D938" t="s">
        <v>571</v>
      </c>
      <c r="E938" s="2">
        <v>2863</v>
      </c>
    </row>
    <row r="939" spans="1:5" x14ac:dyDescent="0.25">
      <c r="A939" t="str">
        <f t="shared" si="15"/>
        <v xml:space="preserve">RST </v>
      </c>
      <c r="B939" t="s">
        <v>1306</v>
      </c>
      <c r="C939" t="s">
        <v>13</v>
      </c>
      <c r="D939" t="s">
        <v>1307</v>
      </c>
      <c r="E939" s="2">
        <v>2860</v>
      </c>
    </row>
    <row r="940" spans="1:5" x14ac:dyDescent="0.25">
      <c r="A940" t="str">
        <f t="shared" si="15"/>
        <v xml:space="preserve">RST </v>
      </c>
      <c r="B940" t="s">
        <v>1306</v>
      </c>
      <c r="C940" t="s">
        <v>89</v>
      </c>
      <c r="D940" t="s">
        <v>1308</v>
      </c>
      <c r="E940" s="2">
        <v>2860</v>
      </c>
    </row>
    <row r="941" spans="1:5" x14ac:dyDescent="0.25">
      <c r="A941" t="str">
        <f t="shared" si="15"/>
        <v>BASE</v>
      </c>
      <c r="B941" t="s">
        <v>1309</v>
      </c>
      <c r="C941" t="s">
        <v>1310</v>
      </c>
      <c r="D941" t="s">
        <v>1311</v>
      </c>
      <c r="E941" s="2">
        <v>2851</v>
      </c>
    </row>
    <row r="942" spans="1:5" x14ac:dyDescent="0.25">
      <c r="A942" t="str">
        <f t="shared" si="15"/>
        <v xml:space="preserve">RST </v>
      </c>
      <c r="B942" t="s">
        <v>1312</v>
      </c>
      <c r="C942" t="s">
        <v>37</v>
      </c>
      <c r="D942" t="s">
        <v>1313</v>
      </c>
      <c r="E942" s="2">
        <v>2850</v>
      </c>
    </row>
    <row r="943" spans="1:5" x14ac:dyDescent="0.25">
      <c r="A943" t="str">
        <f t="shared" si="15"/>
        <v xml:space="preserve">RST </v>
      </c>
      <c r="B943" t="s">
        <v>1314</v>
      </c>
      <c r="C943" t="s">
        <v>37</v>
      </c>
      <c r="D943" t="s">
        <v>1315</v>
      </c>
      <c r="E943" s="2">
        <v>2846</v>
      </c>
    </row>
    <row r="944" spans="1:5" x14ac:dyDescent="0.25">
      <c r="A944" t="str">
        <f t="shared" si="15"/>
        <v xml:space="preserve">RST </v>
      </c>
      <c r="B944" t="s">
        <v>1314</v>
      </c>
      <c r="C944" t="s">
        <v>320</v>
      </c>
      <c r="D944" t="s">
        <v>1316</v>
      </c>
      <c r="E944" s="2">
        <v>2846</v>
      </c>
    </row>
    <row r="945" spans="1:5" x14ac:dyDescent="0.25">
      <c r="A945" t="str">
        <f t="shared" si="15"/>
        <v>Capa</v>
      </c>
      <c r="B945" t="s">
        <v>2295</v>
      </c>
      <c r="C945" t="s">
        <v>47</v>
      </c>
      <c r="D945" t="s">
        <v>1317</v>
      </c>
      <c r="E945" s="2">
        <v>2826</v>
      </c>
    </row>
    <row r="946" spans="1:5" x14ac:dyDescent="0.25">
      <c r="A946" t="str">
        <f t="shared" si="15"/>
        <v>Capa</v>
      </c>
      <c r="B946" t="s">
        <v>2296</v>
      </c>
      <c r="C946" t="s">
        <v>13</v>
      </c>
      <c r="D946" t="s">
        <v>1318</v>
      </c>
      <c r="E946" s="2">
        <v>2822</v>
      </c>
    </row>
    <row r="947" spans="1:5" x14ac:dyDescent="0.25">
      <c r="A947" t="str">
        <f t="shared" si="15"/>
        <v>Capa</v>
      </c>
      <c r="B947" t="s">
        <v>2296</v>
      </c>
      <c r="C947" t="s">
        <v>62</v>
      </c>
      <c r="D947" t="s">
        <v>1319</v>
      </c>
      <c r="E947" s="2">
        <v>2822</v>
      </c>
    </row>
    <row r="948" spans="1:5" x14ac:dyDescent="0.25">
      <c r="A948" t="str">
        <f t="shared" si="15"/>
        <v>Capa</v>
      </c>
      <c r="B948" t="s">
        <v>2296</v>
      </c>
      <c r="C948" t="s">
        <v>62</v>
      </c>
      <c r="D948" t="s">
        <v>1320</v>
      </c>
      <c r="E948" s="2">
        <v>2822</v>
      </c>
    </row>
    <row r="949" spans="1:5" x14ac:dyDescent="0.25">
      <c r="A949" t="str">
        <f t="shared" si="15"/>
        <v xml:space="preserve">RST </v>
      </c>
      <c r="B949" t="s">
        <v>1321</v>
      </c>
      <c r="C949" t="s">
        <v>37</v>
      </c>
      <c r="D949" t="s">
        <v>1322</v>
      </c>
      <c r="E949" s="2">
        <v>2802</v>
      </c>
    </row>
    <row r="950" spans="1:5" x14ac:dyDescent="0.25">
      <c r="A950" t="str">
        <f t="shared" si="15"/>
        <v xml:space="preserve">RST </v>
      </c>
      <c r="B950" t="s">
        <v>1321</v>
      </c>
      <c r="C950" t="s">
        <v>320</v>
      </c>
      <c r="D950" t="s">
        <v>1323</v>
      </c>
      <c r="E950" s="2">
        <v>2802</v>
      </c>
    </row>
    <row r="951" spans="1:5" x14ac:dyDescent="0.25">
      <c r="A951" t="str">
        <f t="shared" si="15"/>
        <v>CNTF</v>
      </c>
      <c r="B951" t="s">
        <v>1324</v>
      </c>
      <c r="C951" t="s">
        <v>202</v>
      </c>
      <c r="D951" t="s">
        <v>1325</v>
      </c>
      <c r="E951" s="2">
        <v>2795</v>
      </c>
    </row>
    <row r="952" spans="1:5" x14ac:dyDescent="0.25">
      <c r="A952" t="str">
        <f t="shared" si="15"/>
        <v xml:space="preserve">MOS </v>
      </c>
      <c r="B952" t="s">
        <v>1326</v>
      </c>
      <c r="C952" t="s">
        <v>556</v>
      </c>
      <c r="D952" t="s">
        <v>1327</v>
      </c>
      <c r="E952" s="2">
        <v>2790</v>
      </c>
    </row>
    <row r="953" spans="1:5" x14ac:dyDescent="0.25">
      <c r="A953" t="str">
        <f t="shared" si="15"/>
        <v xml:space="preserve">MOS </v>
      </c>
      <c r="B953" t="s">
        <v>1326</v>
      </c>
      <c r="C953" t="s">
        <v>30</v>
      </c>
      <c r="D953" t="s">
        <v>1261</v>
      </c>
      <c r="E953" s="2">
        <v>2790</v>
      </c>
    </row>
    <row r="954" spans="1:5" x14ac:dyDescent="0.25">
      <c r="A954" t="str">
        <f t="shared" si="15"/>
        <v xml:space="preserve">MOS </v>
      </c>
      <c r="B954" t="s">
        <v>1326</v>
      </c>
      <c r="C954" t="s">
        <v>1328</v>
      </c>
      <c r="D954" t="s">
        <v>1329</v>
      </c>
      <c r="E954" s="2">
        <v>2790</v>
      </c>
    </row>
    <row r="955" spans="1:5" x14ac:dyDescent="0.25">
      <c r="A955" t="str">
        <f t="shared" si="15"/>
        <v xml:space="preserve">MOS </v>
      </c>
      <c r="B955" t="s">
        <v>1326</v>
      </c>
      <c r="C955" t="s">
        <v>1328</v>
      </c>
      <c r="D955" t="s">
        <v>1330</v>
      </c>
      <c r="E955" s="2">
        <v>2790</v>
      </c>
    </row>
    <row r="956" spans="1:5" x14ac:dyDescent="0.25">
      <c r="A956" t="str">
        <f t="shared" si="15"/>
        <v xml:space="preserve">VAR </v>
      </c>
      <c r="B956" t="s">
        <v>1331</v>
      </c>
      <c r="C956" t="s">
        <v>57</v>
      </c>
      <c r="D956" t="s">
        <v>1332</v>
      </c>
      <c r="E956" s="2">
        <v>2788</v>
      </c>
    </row>
    <row r="957" spans="1:5" x14ac:dyDescent="0.25">
      <c r="A957" t="str">
        <f t="shared" si="15"/>
        <v xml:space="preserve">VAR </v>
      </c>
      <c r="B957" t="s">
        <v>1331</v>
      </c>
      <c r="C957" t="s">
        <v>1333</v>
      </c>
      <c r="D957" t="s">
        <v>1334</v>
      </c>
      <c r="E957" s="2">
        <v>2788</v>
      </c>
    </row>
    <row r="958" spans="1:5" x14ac:dyDescent="0.25">
      <c r="A958" t="str">
        <f t="shared" si="15"/>
        <v>Capa</v>
      </c>
      <c r="B958" t="s">
        <v>2297</v>
      </c>
      <c r="C958" t="s">
        <v>47</v>
      </c>
      <c r="D958" t="s">
        <v>1335</v>
      </c>
      <c r="E958" s="2">
        <v>2786</v>
      </c>
    </row>
    <row r="959" spans="1:5" x14ac:dyDescent="0.25">
      <c r="A959" t="str">
        <f t="shared" si="15"/>
        <v>Capa</v>
      </c>
      <c r="B959" t="s">
        <v>2297</v>
      </c>
      <c r="C959" t="s">
        <v>64</v>
      </c>
      <c r="D959" t="s">
        <v>1336</v>
      </c>
      <c r="E959" s="2">
        <v>2786</v>
      </c>
    </row>
    <row r="960" spans="1:5" x14ac:dyDescent="0.25">
      <c r="A960" t="str">
        <f t="shared" si="15"/>
        <v>Capa</v>
      </c>
      <c r="B960" t="s">
        <v>2297</v>
      </c>
      <c r="C960" t="s">
        <v>64</v>
      </c>
      <c r="D960" t="s">
        <v>1337</v>
      </c>
      <c r="E960" s="2">
        <v>2786</v>
      </c>
    </row>
    <row r="961" spans="1:5" x14ac:dyDescent="0.25">
      <c r="A961" t="str">
        <f t="shared" si="15"/>
        <v>Capa</v>
      </c>
      <c r="B961" t="s">
        <v>2297</v>
      </c>
      <c r="C961" t="s">
        <v>10</v>
      </c>
      <c r="D961" t="s">
        <v>1338</v>
      </c>
      <c r="E961" s="2">
        <v>2786</v>
      </c>
    </row>
    <row r="962" spans="1:5" x14ac:dyDescent="0.25">
      <c r="A962" t="str">
        <f t="shared" si="15"/>
        <v>Capa</v>
      </c>
      <c r="B962" t="s">
        <v>2297</v>
      </c>
      <c r="C962" t="s">
        <v>1339</v>
      </c>
      <c r="D962" t="s">
        <v>1340</v>
      </c>
      <c r="E962" s="2">
        <v>2786</v>
      </c>
    </row>
    <row r="963" spans="1:5" x14ac:dyDescent="0.25">
      <c r="A963" t="str">
        <f t="shared" si="15"/>
        <v>Capa</v>
      </c>
      <c r="B963" t="s">
        <v>2298</v>
      </c>
      <c r="C963" t="s">
        <v>47</v>
      </c>
      <c r="D963" t="s">
        <v>1341</v>
      </c>
      <c r="E963" s="2">
        <v>2778</v>
      </c>
    </row>
    <row r="964" spans="1:5" x14ac:dyDescent="0.25">
      <c r="A964" t="str">
        <f t="shared" si="15"/>
        <v>Capa</v>
      </c>
      <c r="B964" t="s">
        <v>2298</v>
      </c>
      <c r="C964" t="s">
        <v>47</v>
      </c>
      <c r="D964" t="s">
        <v>1342</v>
      </c>
      <c r="E964" s="2">
        <v>2778</v>
      </c>
    </row>
    <row r="965" spans="1:5" x14ac:dyDescent="0.25">
      <c r="A965" t="str">
        <f t="shared" si="15"/>
        <v>Capa</v>
      </c>
      <c r="B965" t="s">
        <v>2298</v>
      </c>
      <c r="C965" t="s">
        <v>37</v>
      </c>
      <c r="D965" t="s">
        <v>1343</v>
      </c>
      <c r="E965" s="2">
        <v>2778</v>
      </c>
    </row>
    <row r="966" spans="1:5" x14ac:dyDescent="0.25">
      <c r="A966" t="str">
        <f t="shared" ref="A966:A1029" si="16">LEFT(B966,4)</f>
        <v xml:space="preserve">MOS </v>
      </c>
      <c r="B966" t="s">
        <v>1344</v>
      </c>
      <c r="C966" t="s">
        <v>37</v>
      </c>
      <c r="D966" t="s">
        <v>1345</v>
      </c>
      <c r="E966" s="2">
        <v>2774</v>
      </c>
    </row>
    <row r="967" spans="1:5" x14ac:dyDescent="0.25">
      <c r="A967" t="str">
        <f t="shared" si="16"/>
        <v>IC L</v>
      </c>
      <c r="B967" t="s">
        <v>1346</v>
      </c>
      <c r="C967" t="s">
        <v>149</v>
      </c>
      <c r="D967" t="s">
        <v>1347</v>
      </c>
      <c r="E967" s="2">
        <v>2763</v>
      </c>
    </row>
    <row r="968" spans="1:5" x14ac:dyDescent="0.25">
      <c r="A968" t="str">
        <f t="shared" si="16"/>
        <v>Capa</v>
      </c>
      <c r="B968" t="s">
        <v>2299</v>
      </c>
      <c r="C968" t="s">
        <v>47</v>
      </c>
      <c r="D968" t="s">
        <v>1348</v>
      </c>
      <c r="E968" s="2">
        <v>2722</v>
      </c>
    </row>
    <row r="969" spans="1:5" x14ac:dyDescent="0.25">
      <c r="A969" t="str">
        <f t="shared" si="16"/>
        <v>Capa</v>
      </c>
      <c r="B969" t="s">
        <v>2299</v>
      </c>
      <c r="C969" t="s">
        <v>64</v>
      </c>
      <c r="D969" t="s">
        <v>1349</v>
      </c>
      <c r="E969" s="2">
        <v>2722</v>
      </c>
    </row>
    <row r="970" spans="1:5" x14ac:dyDescent="0.25">
      <c r="A970" t="str">
        <f t="shared" si="16"/>
        <v>Capa</v>
      </c>
      <c r="B970" t="s">
        <v>2299</v>
      </c>
      <c r="C970" t="s">
        <v>73</v>
      </c>
      <c r="D970" t="s">
        <v>1350</v>
      </c>
      <c r="E970" s="2">
        <v>2722</v>
      </c>
    </row>
    <row r="971" spans="1:5" x14ac:dyDescent="0.25">
      <c r="A971" t="str">
        <f t="shared" si="16"/>
        <v>Capa</v>
      </c>
      <c r="B971" t="s">
        <v>2299</v>
      </c>
      <c r="C971" t="s">
        <v>1351</v>
      </c>
      <c r="D971" t="s">
        <v>1352</v>
      </c>
      <c r="E971" s="2">
        <v>2722</v>
      </c>
    </row>
    <row r="972" spans="1:5" x14ac:dyDescent="0.25">
      <c r="A972" t="str">
        <f t="shared" si="16"/>
        <v>Capa</v>
      </c>
      <c r="B972" t="s">
        <v>2300</v>
      </c>
      <c r="C972" t="s">
        <v>13</v>
      </c>
      <c r="D972" t="s">
        <v>482</v>
      </c>
      <c r="E972" s="2">
        <v>2694</v>
      </c>
    </row>
    <row r="973" spans="1:5" x14ac:dyDescent="0.25">
      <c r="A973" t="str">
        <f t="shared" si="16"/>
        <v>Capa</v>
      </c>
      <c r="B973" t="s">
        <v>2300</v>
      </c>
      <c r="C973" t="s">
        <v>49</v>
      </c>
      <c r="D973" t="s">
        <v>483</v>
      </c>
      <c r="E973" s="2">
        <v>2694</v>
      </c>
    </row>
    <row r="974" spans="1:5" x14ac:dyDescent="0.25">
      <c r="A974" t="str">
        <f t="shared" si="16"/>
        <v>ICTM</v>
      </c>
      <c r="B974" t="s">
        <v>2389</v>
      </c>
      <c r="C974" t="s">
        <v>61</v>
      </c>
      <c r="D974" t="s">
        <v>1353</v>
      </c>
      <c r="E974" s="2">
        <v>2683</v>
      </c>
    </row>
    <row r="975" spans="1:5" x14ac:dyDescent="0.25">
      <c r="A975" t="str">
        <f t="shared" si="16"/>
        <v xml:space="preserve">CNT </v>
      </c>
      <c r="B975" t="s">
        <v>1354</v>
      </c>
      <c r="C975" t="s">
        <v>160</v>
      </c>
      <c r="D975" t="s">
        <v>1355</v>
      </c>
      <c r="E975" s="2">
        <v>2678</v>
      </c>
    </row>
    <row r="976" spans="1:5" x14ac:dyDescent="0.25">
      <c r="A976" t="str">
        <f t="shared" si="16"/>
        <v>Capa</v>
      </c>
      <c r="B976" t="s">
        <v>2301</v>
      </c>
      <c r="C976" t="s">
        <v>13</v>
      </c>
      <c r="D976" t="s">
        <v>1356</v>
      </c>
      <c r="E976" s="2">
        <v>2656</v>
      </c>
    </row>
    <row r="977" spans="1:5" x14ac:dyDescent="0.25">
      <c r="A977" t="str">
        <f t="shared" si="16"/>
        <v>Capa</v>
      </c>
      <c r="B977" t="s">
        <v>2301</v>
      </c>
      <c r="C977" t="s">
        <v>47</v>
      </c>
      <c r="D977" t="s">
        <v>1357</v>
      </c>
      <c r="E977" s="2">
        <v>2656</v>
      </c>
    </row>
    <row r="978" spans="1:5" x14ac:dyDescent="0.25">
      <c r="A978" t="str">
        <f t="shared" si="16"/>
        <v>TRAN</v>
      </c>
      <c r="B978" t="s">
        <v>1358</v>
      </c>
      <c r="C978" t="s">
        <v>37</v>
      </c>
      <c r="D978" t="s">
        <v>1359</v>
      </c>
      <c r="E978" s="2">
        <v>2654</v>
      </c>
    </row>
    <row r="979" spans="1:5" x14ac:dyDescent="0.25">
      <c r="A979" t="str">
        <f t="shared" si="16"/>
        <v>TRAN</v>
      </c>
      <c r="B979" t="s">
        <v>1358</v>
      </c>
      <c r="C979" t="s">
        <v>23</v>
      </c>
      <c r="D979" t="s">
        <v>1360</v>
      </c>
      <c r="E979" s="2">
        <v>2654</v>
      </c>
    </row>
    <row r="980" spans="1:5" x14ac:dyDescent="0.25">
      <c r="A980" t="str">
        <f t="shared" si="16"/>
        <v>Capa</v>
      </c>
      <c r="B980" t="s">
        <v>2302</v>
      </c>
      <c r="C980" t="s">
        <v>49</v>
      </c>
      <c r="D980" t="s">
        <v>1361</v>
      </c>
      <c r="E980" s="2">
        <v>2652</v>
      </c>
    </row>
    <row r="981" spans="1:5" x14ac:dyDescent="0.25">
      <c r="A981" t="str">
        <f t="shared" si="16"/>
        <v>Capa</v>
      </c>
      <c r="B981" t="s">
        <v>2303</v>
      </c>
      <c r="C981" t="s">
        <v>13</v>
      </c>
      <c r="D981" t="s">
        <v>1362</v>
      </c>
      <c r="E981" s="2">
        <v>2640</v>
      </c>
    </row>
    <row r="982" spans="1:5" x14ac:dyDescent="0.25">
      <c r="A982" t="str">
        <f t="shared" si="16"/>
        <v>Capa</v>
      </c>
      <c r="B982" t="s">
        <v>2303</v>
      </c>
      <c r="C982" t="s">
        <v>1363</v>
      </c>
      <c r="D982" t="s">
        <v>1364</v>
      </c>
      <c r="E982" s="2">
        <v>2640</v>
      </c>
    </row>
    <row r="983" spans="1:5" x14ac:dyDescent="0.25">
      <c r="A983" t="str">
        <f t="shared" si="16"/>
        <v xml:space="preserve">RST </v>
      </c>
      <c r="B983" t="s">
        <v>1365</v>
      </c>
      <c r="C983" t="s">
        <v>13</v>
      </c>
      <c r="D983" t="s">
        <v>1366</v>
      </c>
      <c r="E983" s="2">
        <v>2629</v>
      </c>
    </row>
    <row r="984" spans="1:5" x14ac:dyDescent="0.25">
      <c r="A984" t="str">
        <f t="shared" si="16"/>
        <v xml:space="preserve">RST </v>
      </c>
      <c r="B984" t="s">
        <v>1365</v>
      </c>
      <c r="C984" t="s">
        <v>13</v>
      </c>
      <c r="D984" t="s">
        <v>1367</v>
      </c>
      <c r="E984" s="2">
        <v>2629</v>
      </c>
    </row>
    <row r="985" spans="1:5" x14ac:dyDescent="0.25">
      <c r="A985" t="str">
        <f t="shared" si="16"/>
        <v xml:space="preserve">RST </v>
      </c>
      <c r="B985" t="s">
        <v>1368</v>
      </c>
      <c r="C985" t="s">
        <v>37</v>
      </c>
      <c r="D985" t="s">
        <v>1369</v>
      </c>
      <c r="E985" s="2">
        <v>2614</v>
      </c>
    </row>
    <row r="986" spans="1:5" x14ac:dyDescent="0.25">
      <c r="A986" t="str">
        <f t="shared" si="16"/>
        <v xml:space="preserve">RST </v>
      </c>
      <c r="B986" t="s">
        <v>1368</v>
      </c>
      <c r="C986" t="s">
        <v>510</v>
      </c>
      <c r="D986" t="s">
        <v>1370</v>
      </c>
      <c r="E986" s="2">
        <v>2614</v>
      </c>
    </row>
    <row r="987" spans="1:5" x14ac:dyDescent="0.25">
      <c r="A987" t="str">
        <f t="shared" si="16"/>
        <v xml:space="preserve">RST </v>
      </c>
      <c r="B987" t="s">
        <v>1368</v>
      </c>
      <c r="C987" t="s">
        <v>89</v>
      </c>
      <c r="D987" t="s">
        <v>1371</v>
      </c>
      <c r="E987" s="2">
        <v>2614</v>
      </c>
    </row>
    <row r="988" spans="1:5" x14ac:dyDescent="0.25">
      <c r="A988" t="str">
        <f t="shared" si="16"/>
        <v>ICMD</v>
      </c>
      <c r="B988" t="s">
        <v>2390</v>
      </c>
      <c r="C988" t="s">
        <v>149</v>
      </c>
      <c r="D988" t="s">
        <v>1372</v>
      </c>
      <c r="E988" s="2">
        <v>2576</v>
      </c>
    </row>
    <row r="989" spans="1:5" x14ac:dyDescent="0.25">
      <c r="A989" t="str">
        <f t="shared" si="16"/>
        <v>ICMD</v>
      </c>
      <c r="B989" t="s">
        <v>2390</v>
      </c>
      <c r="C989" t="s">
        <v>26</v>
      </c>
      <c r="D989" t="s">
        <v>1373</v>
      </c>
      <c r="E989" s="2">
        <v>2576</v>
      </c>
    </row>
    <row r="990" spans="1:5" x14ac:dyDescent="0.25">
      <c r="A990" t="str">
        <f t="shared" si="16"/>
        <v>ICMD</v>
      </c>
      <c r="B990" t="s">
        <v>2390</v>
      </c>
      <c r="C990" t="s">
        <v>61</v>
      </c>
      <c r="D990" t="s">
        <v>1373</v>
      </c>
      <c r="E990" s="2">
        <v>2576</v>
      </c>
    </row>
    <row r="991" spans="1:5" x14ac:dyDescent="0.25">
      <c r="A991" t="str">
        <f t="shared" si="16"/>
        <v>ICMD</v>
      </c>
      <c r="B991" t="s">
        <v>2390</v>
      </c>
      <c r="C991" t="s">
        <v>153</v>
      </c>
      <c r="D991" t="s">
        <v>1372</v>
      </c>
      <c r="E991" s="2">
        <v>2576</v>
      </c>
    </row>
    <row r="992" spans="1:5" x14ac:dyDescent="0.25">
      <c r="A992" t="str">
        <f t="shared" si="16"/>
        <v>Capa</v>
      </c>
      <c r="B992" t="s">
        <v>2304</v>
      </c>
      <c r="C992" t="s">
        <v>13</v>
      </c>
      <c r="D992" t="s">
        <v>1240</v>
      </c>
      <c r="E992" s="2">
        <v>2575</v>
      </c>
    </row>
    <row r="993" spans="1:5" x14ac:dyDescent="0.25">
      <c r="A993" t="str">
        <f t="shared" si="16"/>
        <v>Capa</v>
      </c>
      <c r="B993" t="s">
        <v>2304</v>
      </c>
      <c r="C993" t="s">
        <v>47</v>
      </c>
      <c r="D993" t="s">
        <v>1241</v>
      </c>
      <c r="E993" s="2">
        <v>2575</v>
      </c>
    </row>
    <row r="994" spans="1:5" x14ac:dyDescent="0.25">
      <c r="A994" t="str">
        <f t="shared" si="16"/>
        <v>Capa</v>
      </c>
      <c r="B994" t="s">
        <v>2304</v>
      </c>
      <c r="C994" t="s">
        <v>49</v>
      </c>
      <c r="D994" t="s">
        <v>1374</v>
      </c>
      <c r="E994" s="2">
        <v>2575</v>
      </c>
    </row>
    <row r="995" spans="1:5" x14ac:dyDescent="0.25">
      <c r="A995" t="str">
        <f t="shared" si="16"/>
        <v>Capa</v>
      </c>
      <c r="B995" t="s">
        <v>2304</v>
      </c>
      <c r="C995" t="s">
        <v>10</v>
      </c>
      <c r="D995" t="s">
        <v>1244</v>
      </c>
      <c r="E995" s="2">
        <v>2575</v>
      </c>
    </row>
    <row r="996" spans="1:5" x14ac:dyDescent="0.25">
      <c r="A996" t="str">
        <f t="shared" si="16"/>
        <v>Capa</v>
      </c>
      <c r="B996" t="s">
        <v>2305</v>
      </c>
      <c r="C996" t="s">
        <v>37</v>
      </c>
      <c r="D996" t="s">
        <v>1375</v>
      </c>
      <c r="E996" s="2">
        <v>2571</v>
      </c>
    </row>
    <row r="997" spans="1:5" x14ac:dyDescent="0.25">
      <c r="A997" t="str">
        <f t="shared" si="16"/>
        <v>Capa</v>
      </c>
      <c r="B997" t="s">
        <v>2305</v>
      </c>
      <c r="C997" t="s">
        <v>37</v>
      </c>
      <c r="D997" t="s">
        <v>1376</v>
      </c>
      <c r="E997" s="2">
        <v>2571</v>
      </c>
    </row>
    <row r="998" spans="1:5" x14ac:dyDescent="0.25">
      <c r="A998" t="str">
        <f t="shared" si="16"/>
        <v>SPAC</v>
      </c>
      <c r="B998" t="s">
        <v>1377</v>
      </c>
      <c r="C998" t="s">
        <v>1378</v>
      </c>
      <c r="D998" t="s">
        <v>1377</v>
      </c>
      <c r="E998" s="2">
        <v>2570</v>
      </c>
    </row>
    <row r="999" spans="1:5" x14ac:dyDescent="0.25">
      <c r="A999" t="str">
        <f t="shared" si="16"/>
        <v>Diod</v>
      </c>
      <c r="B999" t="s">
        <v>2439</v>
      </c>
      <c r="C999" t="s">
        <v>61</v>
      </c>
      <c r="D999" t="s">
        <v>1379</v>
      </c>
      <c r="E999" s="2">
        <v>2569</v>
      </c>
    </row>
    <row r="1000" spans="1:5" x14ac:dyDescent="0.25">
      <c r="A1000" t="str">
        <f t="shared" si="16"/>
        <v xml:space="preserve">RST </v>
      </c>
      <c r="B1000" t="s">
        <v>1380</v>
      </c>
      <c r="C1000" t="s">
        <v>13</v>
      </c>
      <c r="D1000" t="s">
        <v>1381</v>
      </c>
      <c r="E1000" s="2">
        <v>2565</v>
      </c>
    </row>
    <row r="1001" spans="1:5" x14ac:dyDescent="0.25">
      <c r="A1001" t="str">
        <f t="shared" si="16"/>
        <v xml:space="preserve">RST </v>
      </c>
      <c r="B1001" t="s">
        <v>1380</v>
      </c>
      <c r="C1001" t="s">
        <v>13</v>
      </c>
      <c r="D1001" t="s">
        <v>1382</v>
      </c>
      <c r="E1001" s="2">
        <v>2565</v>
      </c>
    </row>
    <row r="1002" spans="1:5" x14ac:dyDescent="0.25">
      <c r="A1002" t="str">
        <f t="shared" si="16"/>
        <v xml:space="preserve">RST </v>
      </c>
      <c r="B1002" t="s">
        <v>1380</v>
      </c>
      <c r="C1002" t="s">
        <v>5</v>
      </c>
      <c r="D1002" t="s">
        <v>1383</v>
      </c>
      <c r="E1002" s="2">
        <v>2565</v>
      </c>
    </row>
    <row r="1003" spans="1:5" x14ac:dyDescent="0.25">
      <c r="A1003" t="str">
        <f t="shared" si="16"/>
        <v xml:space="preserve">RST </v>
      </c>
      <c r="B1003" t="s">
        <v>1380</v>
      </c>
      <c r="C1003" t="s">
        <v>10</v>
      </c>
      <c r="D1003" t="s">
        <v>1384</v>
      </c>
      <c r="E1003" s="2">
        <v>2565</v>
      </c>
    </row>
    <row r="1004" spans="1:5" x14ac:dyDescent="0.25">
      <c r="A1004" t="str">
        <f t="shared" si="16"/>
        <v xml:space="preserve">RST </v>
      </c>
      <c r="B1004" t="s">
        <v>1385</v>
      </c>
      <c r="C1004" t="s">
        <v>176</v>
      </c>
      <c r="D1004" t="s">
        <v>1386</v>
      </c>
      <c r="E1004" s="2">
        <v>2563</v>
      </c>
    </row>
    <row r="1005" spans="1:5" x14ac:dyDescent="0.25">
      <c r="A1005" t="str">
        <f t="shared" si="16"/>
        <v xml:space="preserve">RST </v>
      </c>
      <c r="B1005" t="s">
        <v>1385</v>
      </c>
      <c r="C1005" t="s">
        <v>13</v>
      </c>
      <c r="D1005" t="s">
        <v>1387</v>
      </c>
      <c r="E1005" s="2">
        <v>2563</v>
      </c>
    </row>
    <row r="1006" spans="1:5" x14ac:dyDescent="0.25">
      <c r="A1006" t="str">
        <f t="shared" si="16"/>
        <v xml:space="preserve">RST </v>
      </c>
      <c r="B1006" t="s">
        <v>1385</v>
      </c>
      <c r="C1006" t="s">
        <v>37</v>
      </c>
      <c r="D1006" t="s">
        <v>1388</v>
      </c>
      <c r="E1006" s="2">
        <v>2563</v>
      </c>
    </row>
    <row r="1007" spans="1:5" x14ac:dyDescent="0.25">
      <c r="A1007" t="str">
        <f t="shared" si="16"/>
        <v xml:space="preserve">RST </v>
      </c>
      <c r="B1007" t="s">
        <v>1385</v>
      </c>
      <c r="C1007" t="s">
        <v>89</v>
      </c>
      <c r="D1007" t="s">
        <v>1389</v>
      </c>
      <c r="E1007" s="2">
        <v>2563</v>
      </c>
    </row>
    <row r="1008" spans="1:5" x14ac:dyDescent="0.25">
      <c r="A1008" t="str">
        <f t="shared" si="16"/>
        <v xml:space="preserve">RST </v>
      </c>
      <c r="B1008" t="s">
        <v>1390</v>
      </c>
      <c r="C1008" t="s">
        <v>320</v>
      </c>
      <c r="D1008" t="s">
        <v>1391</v>
      </c>
      <c r="E1008" s="2">
        <v>2557</v>
      </c>
    </row>
    <row r="1009" spans="1:5" x14ac:dyDescent="0.25">
      <c r="A1009" t="str">
        <f t="shared" si="16"/>
        <v xml:space="preserve">RST </v>
      </c>
      <c r="B1009" t="s">
        <v>1390</v>
      </c>
      <c r="C1009" t="s">
        <v>10</v>
      </c>
      <c r="D1009" t="s">
        <v>1392</v>
      </c>
      <c r="E1009" s="2">
        <v>2557</v>
      </c>
    </row>
    <row r="1010" spans="1:5" x14ac:dyDescent="0.25">
      <c r="A1010" t="str">
        <f t="shared" si="16"/>
        <v>Capa</v>
      </c>
      <c r="B1010" t="s">
        <v>2306</v>
      </c>
      <c r="C1010" t="s">
        <v>1393</v>
      </c>
      <c r="D1010" t="s">
        <v>1394</v>
      </c>
      <c r="E1010" s="2">
        <v>2553</v>
      </c>
    </row>
    <row r="1011" spans="1:5" x14ac:dyDescent="0.25">
      <c r="A1011" t="str">
        <f t="shared" si="16"/>
        <v xml:space="preserve">RST </v>
      </c>
      <c r="B1011" t="s">
        <v>1395</v>
      </c>
      <c r="C1011" t="s">
        <v>37</v>
      </c>
      <c r="D1011" t="s">
        <v>1396</v>
      </c>
      <c r="E1011" s="2">
        <v>2542</v>
      </c>
    </row>
    <row r="1012" spans="1:5" x14ac:dyDescent="0.25">
      <c r="A1012" t="str">
        <f t="shared" si="16"/>
        <v xml:space="preserve">RST </v>
      </c>
      <c r="B1012" t="s">
        <v>1395</v>
      </c>
      <c r="C1012" t="s">
        <v>37</v>
      </c>
      <c r="D1012" t="s">
        <v>1397</v>
      </c>
      <c r="E1012" s="2">
        <v>2542</v>
      </c>
    </row>
    <row r="1013" spans="1:5" x14ac:dyDescent="0.25">
      <c r="A1013" t="str">
        <f t="shared" si="16"/>
        <v xml:space="preserve">IND </v>
      </c>
      <c r="B1013" t="s">
        <v>1398</v>
      </c>
      <c r="C1013" t="s">
        <v>89</v>
      </c>
      <c r="D1013" t="s">
        <v>1399</v>
      </c>
      <c r="E1013" s="2">
        <v>2541</v>
      </c>
    </row>
    <row r="1014" spans="1:5" x14ac:dyDescent="0.25">
      <c r="A1014" t="str">
        <f t="shared" si="16"/>
        <v>TRAN</v>
      </c>
      <c r="B1014" t="s">
        <v>1400</v>
      </c>
      <c r="C1014" t="s">
        <v>28</v>
      </c>
      <c r="D1014" t="s">
        <v>1401</v>
      </c>
      <c r="E1014" s="2">
        <v>2532</v>
      </c>
    </row>
    <row r="1015" spans="1:5" x14ac:dyDescent="0.25">
      <c r="A1015" t="str">
        <f t="shared" si="16"/>
        <v>TRAN</v>
      </c>
      <c r="B1015" t="s">
        <v>1400</v>
      </c>
      <c r="C1015" t="s">
        <v>30</v>
      </c>
      <c r="D1015" t="s">
        <v>1402</v>
      </c>
      <c r="E1015" s="2">
        <v>2532</v>
      </c>
    </row>
    <row r="1016" spans="1:5" x14ac:dyDescent="0.25">
      <c r="A1016" t="str">
        <f t="shared" si="16"/>
        <v>Diod</v>
      </c>
      <c r="B1016" t="s">
        <v>2440</v>
      </c>
      <c r="C1016" t="s">
        <v>2467</v>
      </c>
      <c r="D1016" t="s">
        <v>1403</v>
      </c>
      <c r="E1016" s="2">
        <v>2528</v>
      </c>
    </row>
    <row r="1017" spans="1:5" x14ac:dyDescent="0.25">
      <c r="A1017" t="str">
        <f t="shared" si="16"/>
        <v>Diod</v>
      </c>
      <c r="B1017" t="s">
        <v>2440</v>
      </c>
      <c r="C1017" t="s">
        <v>30</v>
      </c>
      <c r="D1017" t="s">
        <v>1404</v>
      </c>
      <c r="E1017" s="2">
        <v>2528</v>
      </c>
    </row>
    <row r="1018" spans="1:5" x14ac:dyDescent="0.25">
      <c r="A1018" t="str">
        <f t="shared" si="16"/>
        <v xml:space="preserve">RST </v>
      </c>
      <c r="B1018" t="s">
        <v>1405</v>
      </c>
      <c r="C1018" t="s">
        <v>13</v>
      </c>
      <c r="D1018" t="s">
        <v>1406</v>
      </c>
      <c r="E1018" s="2">
        <v>2523</v>
      </c>
    </row>
    <row r="1019" spans="1:5" x14ac:dyDescent="0.25">
      <c r="A1019" t="str">
        <f t="shared" si="16"/>
        <v>Capa</v>
      </c>
      <c r="B1019" t="s">
        <v>2307</v>
      </c>
      <c r="C1019" t="s">
        <v>47</v>
      </c>
      <c r="D1019" t="s">
        <v>1407</v>
      </c>
      <c r="E1019" s="2">
        <v>2500</v>
      </c>
    </row>
    <row r="1020" spans="1:5" x14ac:dyDescent="0.25">
      <c r="A1020" t="str">
        <f t="shared" si="16"/>
        <v>Capa</v>
      </c>
      <c r="B1020" t="s">
        <v>2307</v>
      </c>
      <c r="C1020" t="s">
        <v>62</v>
      </c>
      <c r="D1020" t="s">
        <v>1408</v>
      </c>
      <c r="E1020" s="2">
        <v>2500</v>
      </c>
    </row>
    <row r="1021" spans="1:5" x14ac:dyDescent="0.25">
      <c r="A1021" t="str">
        <f t="shared" si="16"/>
        <v>Capa</v>
      </c>
      <c r="B1021" t="s">
        <v>2307</v>
      </c>
      <c r="C1021" t="s">
        <v>62</v>
      </c>
      <c r="D1021" t="s">
        <v>1409</v>
      </c>
      <c r="E1021" s="2">
        <v>2500</v>
      </c>
    </row>
    <row r="1022" spans="1:5" x14ac:dyDescent="0.25">
      <c r="A1022" t="str">
        <f t="shared" si="16"/>
        <v xml:space="preserve">RST </v>
      </c>
      <c r="B1022" t="s">
        <v>1410</v>
      </c>
      <c r="C1022" t="s">
        <v>320</v>
      </c>
      <c r="D1022" t="s">
        <v>1411</v>
      </c>
      <c r="E1022" s="2">
        <v>2498</v>
      </c>
    </row>
    <row r="1023" spans="1:5" x14ac:dyDescent="0.25">
      <c r="A1023" t="str">
        <f t="shared" si="16"/>
        <v xml:space="preserve">RST </v>
      </c>
      <c r="B1023" t="s">
        <v>1412</v>
      </c>
      <c r="C1023" t="s">
        <v>13</v>
      </c>
      <c r="D1023" t="s">
        <v>1413</v>
      </c>
      <c r="E1023" s="2">
        <v>2490</v>
      </c>
    </row>
    <row r="1024" spans="1:5" x14ac:dyDescent="0.25">
      <c r="A1024" t="str">
        <f t="shared" si="16"/>
        <v>Capa</v>
      </c>
      <c r="B1024" t="s">
        <v>2308</v>
      </c>
      <c r="C1024" t="s">
        <v>47</v>
      </c>
      <c r="D1024" t="s">
        <v>1414</v>
      </c>
      <c r="E1024" s="2">
        <v>2481</v>
      </c>
    </row>
    <row r="1025" spans="1:5" x14ac:dyDescent="0.25">
      <c r="A1025" t="str">
        <f t="shared" si="16"/>
        <v>Diod</v>
      </c>
      <c r="B1025" t="s">
        <v>2441</v>
      </c>
      <c r="C1025" t="s">
        <v>1415</v>
      </c>
      <c r="D1025" t="s">
        <v>1416</v>
      </c>
      <c r="E1025" s="2">
        <v>2479</v>
      </c>
    </row>
    <row r="1026" spans="1:5" x14ac:dyDescent="0.25">
      <c r="A1026" t="str">
        <f t="shared" si="16"/>
        <v>Diod</v>
      </c>
      <c r="B1026" t="s">
        <v>2442</v>
      </c>
      <c r="C1026" t="s">
        <v>26</v>
      </c>
      <c r="D1026" t="s">
        <v>1417</v>
      </c>
      <c r="E1026" s="2">
        <v>2478</v>
      </c>
    </row>
    <row r="1027" spans="1:5" x14ac:dyDescent="0.25">
      <c r="A1027" t="str">
        <f t="shared" si="16"/>
        <v>Capa</v>
      </c>
      <c r="B1027" t="s">
        <v>2309</v>
      </c>
      <c r="C1027" t="s">
        <v>579</v>
      </c>
      <c r="D1027" t="s">
        <v>1418</v>
      </c>
      <c r="E1027" s="2">
        <v>2468</v>
      </c>
    </row>
    <row r="1028" spans="1:5" x14ac:dyDescent="0.25">
      <c r="A1028" t="str">
        <f t="shared" si="16"/>
        <v>Capa</v>
      </c>
      <c r="B1028" t="s">
        <v>2309</v>
      </c>
      <c r="C1028" t="s">
        <v>581</v>
      </c>
      <c r="D1028" t="s">
        <v>1418</v>
      </c>
      <c r="E1028" s="2">
        <v>2468</v>
      </c>
    </row>
    <row r="1029" spans="1:5" x14ac:dyDescent="0.25">
      <c r="A1029" t="str">
        <f t="shared" si="16"/>
        <v>Capa</v>
      </c>
      <c r="B1029" t="s">
        <v>2309</v>
      </c>
      <c r="C1029" t="s">
        <v>581</v>
      </c>
      <c r="D1029" t="s">
        <v>1419</v>
      </c>
      <c r="E1029" s="2">
        <v>2468</v>
      </c>
    </row>
    <row r="1030" spans="1:5" x14ac:dyDescent="0.25">
      <c r="A1030" t="str">
        <f t="shared" ref="A1030:A1093" si="17">LEFT(B1030,4)</f>
        <v xml:space="preserve">LED </v>
      </c>
      <c r="B1030" t="s">
        <v>1420</v>
      </c>
      <c r="C1030" t="s">
        <v>184</v>
      </c>
      <c r="D1030" t="s">
        <v>1421</v>
      </c>
      <c r="E1030" s="2">
        <v>2467</v>
      </c>
    </row>
    <row r="1031" spans="1:5" x14ac:dyDescent="0.25">
      <c r="A1031" t="str">
        <f t="shared" si="17"/>
        <v>Diod</v>
      </c>
      <c r="B1031" t="s">
        <v>2443</v>
      </c>
      <c r="C1031" t="s">
        <v>2467</v>
      </c>
      <c r="D1031" t="s">
        <v>1422</v>
      </c>
      <c r="E1031" s="2">
        <v>2466</v>
      </c>
    </row>
    <row r="1032" spans="1:5" x14ac:dyDescent="0.25">
      <c r="A1032" t="str">
        <f t="shared" si="17"/>
        <v xml:space="preserve">RST </v>
      </c>
      <c r="B1032" t="s">
        <v>1423</v>
      </c>
      <c r="C1032" t="s">
        <v>13</v>
      </c>
      <c r="D1032" t="s">
        <v>1424</v>
      </c>
      <c r="E1032" s="2">
        <v>2456</v>
      </c>
    </row>
    <row r="1033" spans="1:5" x14ac:dyDescent="0.25">
      <c r="A1033" t="str">
        <f t="shared" si="17"/>
        <v xml:space="preserve">RST </v>
      </c>
      <c r="B1033" t="s">
        <v>1423</v>
      </c>
      <c r="C1033" t="s">
        <v>89</v>
      </c>
      <c r="D1033" t="s">
        <v>1425</v>
      </c>
      <c r="E1033" s="2">
        <v>2456</v>
      </c>
    </row>
    <row r="1034" spans="1:5" x14ac:dyDescent="0.25">
      <c r="A1034" t="str">
        <f t="shared" si="17"/>
        <v xml:space="preserve">RST </v>
      </c>
      <c r="B1034" t="s">
        <v>1426</v>
      </c>
      <c r="C1034" t="s">
        <v>13</v>
      </c>
      <c r="D1034" t="s">
        <v>1427</v>
      </c>
      <c r="E1034" s="2">
        <v>2451</v>
      </c>
    </row>
    <row r="1035" spans="1:5" x14ac:dyDescent="0.25">
      <c r="A1035" t="str">
        <f t="shared" si="17"/>
        <v xml:space="preserve">RST </v>
      </c>
      <c r="B1035" t="s">
        <v>1426</v>
      </c>
      <c r="C1035" t="s">
        <v>10</v>
      </c>
      <c r="D1035" t="s">
        <v>1428</v>
      </c>
      <c r="E1035" s="2">
        <v>2451</v>
      </c>
    </row>
    <row r="1036" spans="1:5" x14ac:dyDescent="0.25">
      <c r="A1036" t="str">
        <f t="shared" si="17"/>
        <v xml:space="preserve">RST </v>
      </c>
      <c r="B1036" t="s">
        <v>1426</v>
      </c>
      <c r="C1036" t="s">
        <v>10</v>
      </c>
      <c r="D1036" t="s">
        <v>1429</v>
      </c>
      <c r="E1036" s="2">
        <v>2451</v>
      </c>
    </row>
    <row r="1037" spans="1:5" x14ac:dyDescent="0.25">
      <c r="A1037" t="str">
        <f t="shared" si="17"/>
        <v xml:space="preserve">RST </v>
      </c>
      <c r="B1037" t="s">
        <v>1430</v>
      </c>
      <c r="C1037" t="s">
        <v>13</v>
      </c>
      <c r="D1037" t="s">
        <v>1431</v>
      </c>
      <c r="E1037" s="2">
        <v>2435</v>
      </c>
    </row>
    <row r="1038" spans="1:5" x14ac:dyDescent="0.25">
      <c r="A1038" t="str">
        <f t="shared" si="17"/>
        <v xml:space="preserve">RST </v>
      </c>
      <c r="B1038" t="s">
        <v>1432</v>
      </c>
      <c r="C1038" t="s">
        <v>13</v>
      </c>
      <c r="D1038" t="s">
        <v>1433</v>
      </c>
      <c r="E1038" s="2">
        <v>2433</v>
      </c>
    </row>
    <row r="1039" spans="1:5" x14ac:dyDescent="0.25">
      <c r="A1039" t="str">
        <f t="shared" si="17"/>
        <v>Diod</v>
      </c>
      <c r="B1039" t="s">
        <v>2444</v>
      </c>
      <c r="C1039" t="s">
        <v>61</v>
      </c>
      <c r="D1039" t="s">
        <v>1434</v>
      </c>
      <c r="E1039" s="2">
        <v>2427</v>
      </c>
    </row>
    <row r="1040" spans="1:5" x14ac:dyDescent="0.25">
      <c r="A1040" t="str">
        <f t="shared" si="17"/>
        <v xml:space="preserve">RST </v>
      </c>
      <c r="B1040" t="s">
        <v>1435</v>
      </c>
      <c r="C1040" t="s">
        <v>13</v>
      </c>
      <c r="D1040" t="s">
        <v>1436</v>
      </c>
      <c r="E1040" s="2">
        <v>2420</v>
      </c>
    </row>
    <row r="1041" spans="1:5" x14ac:dyDescent="0.25">
      <c r="A1041" t="str">
        <f t="shared" si="17"/>
        <v>Capa</v>
      </c>
      <c r="B1041" t="s">
        <v>2310</v>
      </c>
      <c r="C1041" t="s">
        <v>13</v>
      </c>
      <c r="D1041" t="s">
        <v>1437</v>
      </c>
      <c r="E1041" s="2">
        <v>2415</v>
      </c>
    </row>
    <row r="1042" spans="1:5" x14ac:dyDescent="0.25">
      <c r="A1042" t="str">
        <f t="shared" si="17"/>
        <v>Capa</v>
      </c>
      <c r="B1042" t="s">
        <v>2310</v>
      </c>
      <c r="C1042" t="s">
        <v>10</v>
      </c>
      <c r="D1042" t="s">
        <v>1438</v>
      </c>
      <c r="E1042" s="2">
        <v>2415</v>
      </c>
    </row>
    <row r="1043" spans="1:5" x14ac:dyDescent="0.25">
      <c r="A1043" t="str">
        <f t="shared" si="17"/>
        <v>Capa</v>
      </c>
      <c r="B1043" t="s">
        <v>2310</v>
      </c>
      <c r="C1043" t="s">
        <v>10</v>
      </c>
      <c r="D1043" t="s">
        <v>1439</v>
      </c>
      <c r="E1043" s="2">
        <v>2415</v>
      </c>
    </row>
    <row r="1044" spans="1:5" x14ac:dyDescent="0.25">
      <c r="A1044" t="str">
        <f t="shared" si="17"/>
        <v>Capa</v>
      </c>
      <c r="B1044" t="s">
        <v>2311</v>
      </c>
      <c r="C1044" t="s">
        <v>13</v>
      </c>
      <c r="D1044" t="s">
        <v>1440</v>
      </c>
      <c r="E1044" s="2">
        <v>2412</v>
      </c>
    </row>
    <row r="1045" spans="1:5" x14ac:dyDescent="0.25">
      <c r="A1045" t="str">
        <f t="shared" si="17"/>
        <v>Capa</v>
      </c>
      <c r="B1045" t="s">
        <v>2311</v>
      </c>
      <c r="C1045" t="s">
        <v>49</v>
      </c>
      <c r="D1045" t="s">
        <v>1441</v>
      </c>
      <c r="E1045" s="2">
        <v>2412</v>
      </c>
    </row>
    <row r="1046" spans="1:5" x14ac:dyDescent="0.25">
      <c r="A1046" t="str">
        <f t="shared" si="17"/>
        <v>Capa</v>
      </c>
      <c r="B1046" t="s">
        <v>2312</v>
      </c>
      <c r="C1046" t="s">
        <v>13</v>
      </c>
      <c r="D1046" t="s">
        <v>330</v>
      </c>
      <c r="E1046" s="2">
        <v>2405</v>
      </c>
    </row>
    <row r="1047" spans="1:5" x14ac:dyDescent="0.25">
      <c r="A1047" t="str">
        <f t="shared" si="17"/>
        <v>Capa</v>
      </c>
      <c r="B1047" t="s">
        <v>2312</v>
      </c>
      <c r="C1047" t="s">
        <v>8</v>
      </c>
      <c r="D1047" t="s">
        <v>1442</v>
      </c>
      <c r="E1047" s="2">
        <v>2405</v>
      </c>
    </row>
    <row r="1048" spans="1:5" x14ac:dyDescent="0.25">
      <c r="A1048" t="str">
        <f t="shared" si="17"/>
        <v>Capa</v>
      </c>
      <c r="B1048" t="s">
        <v>2312</v>
      </c>
      <c r="C1048" t="s">
        <v>10</v>
      </c>
      <c r="D1048" t="s">
        <v>1443</v>
      </c>
      <c r="E1048" s="2">
        <v>2405</v>
      </c>
    </row>
    <row r="1049" spans="1:5" x14ac:dyDescent="0.25">
      <c r="A1049" t="str">
        <f t="shared" si="17"/>
        <v>Diod</v>
      </c>
      <c r="B1049" t="s">
        <v>2445</v>
      </c>
      <c r="C1049" t="s">
        <v>28</v>
      </c>
      <c r="D1049" t="s">
        <v>1444</v>
      </c>
      <c r="E1049" s="2">
        <v>2393</v>
      </c>
    </row>
    <row r="1050" spans="1:5" x14ac:dyDescent="0.25">
      <c r="A1050" t="str">
        <f t="shared" si="17"/>
        <v>Diod</v>
      </c>
      <c r="B1050" t="s">
        <v>2445</v>
      </c>
      <c r="C1050" t="s">
        <v>61</v>
      </c>
      <c r="D1050" t="s">
        <v>1445</v>
      </c>
      <c r="E1050" s="2">
        <v>2393</v>
      </c>
    </row>
    <row r="1051" spans="1:5" x14ac:dyDescent="0.25">
      <c r="A1051" t="str">
        <f t="shared" si="17"/>
        <v>Diod</v>
      </c>
      <c r="B1051" t="s">
        <v>2445</v>
      </c>
      <c r="C1051" t="s">
        <v>1415</v>
      </c>
      <c r="D1051" t="s">
        <v>1446</v>
      </c>
      <c r="E1051" s="2">
        <v>2393</v>
      </c>
    </row>
    <row r="1052" spans="1:5" x14ac:dyDescent="0.25">
      <c r="A1052" t="str">
        <f t="shared" si="17"/>
        <v xml:space="preserve">LED </v>
      </c>
      <c r="B1052" t="s">
        <v>1447</v>
      </c>
      <c r="C1052" t="s">
        <v>184</v>
      </c>
      <c r="D1052" t="s">
        <v>1448</v>
      </c>
      <c r="E1052" s="2">
        <v>2393</v>
      </c>
    </row>
    <row r="1053" spans="1:5" x14ac:dyDescent="0.25">
      <c r="A1053" t="str">
        <f t="shared" si="17"/>
        <v>Capa</v>
      </c>
      <c r="B1053" t="s">
        <v>2313</v>
      </c>
      <c r="C1053" t="s">
        <v>13</v>
      </c>
      <c r="D1053" t="s">
        <v>1449</v>
      </c>
      <c r="E1053" s="2">
        <v>2391</v>
      </c>
    </row>
    <row r="1054" spans="1:5" x14ac:dyDescent="0.25">
      <c r="A1054" t="str">
        <f t="shared" si="17"/>
        <v>Capa</v>
      </c>
      <c r="B1054" t="s">
        <v>2313</v>
      </c>
      <c r="C1054" t="s">
        <v>47</v>
      </c>
      <c r="D1054" t="s">
        <v>1450</v>
      </c>
      <c r="E1054" s="2">
        <v>2391</v>
      </c>
    </row>
    <row r="1055" spans="1:5" x14ac:dyDescent="0.25">
      <c r="A1055" t="str">
        <f t="shared" si="17"/>
        <v>Diod</v>
      </c>
      <c r="B1055" t="s">
        <v>2446</v>
      </c>
      <c r="C1055" t="s">
        <v>28</v>
      </c>
      <c r="D1055" t="s">
        <v>1451</v>
      </c>
      <c r="E1055" s="2">
        <v>2386</v>
      </c>
    </row>
    <row r="1056" spans="1:5" x14ac:dyDescent="0.25">
      <c r="A1056" t="str">
        <f t="shared" si="17"/>
        <v>Diod</v>
      </c>
      <c r="B1056" t="s">
        <v>2447</v>
      </c>
      <c r="C1056" t="s">
        <v>57</v>
      </c>
      <c r="D1056" t="s">
        <v>1452</v>
      </c>
      <c r="E1056" s="2">
        <v>2385</v>
      </c>
    </row>
    <row r="1057" spans="1:5" x14ac:dyDescent="0.25">
      <c r="A1057" t="str">
        <f t="shared" si="17"/>
        <v xml:space="preserve">RST </v>
      </c>
      <c r="B1057" t="s">
        <v>1453</v>
      </c>
      <c r="C1057" t="s">
        <v>37</v>
      </c>
      <c r="D1057" t="s">
        <v>1454</v>
      </c>
      <c r="E1057" s="2">
        <v>2377</v>
      </c>
    </row>
    <row r="1058" spans="1:5" x14ac:dyDescent="0.25">
      <c r="A1058" t="str">
        <f t="shared" si="17"/>
        <v xml:space="preserve">RST </v>
      </c>
      <c r="B1058" t="s">
        <v>1453</v>
      </c>
      <c r="C1058" t="s">
        <v>320</v>
      </c>
      <c r="D1058" t="s">
        <v>1455</v>
      </c>
      <c r="E1058" s="2">
        <v>2377</v>
      </c>
    </row>
    <row r="1059" spans="1:5" x14ac:dyDescent="0.25">
      <c r="A1059" t="str">
        <f t="shared" si="17"/>
        <v xml:space="preserve">RST </v>
      </c>
      <c r="B1059" t="s">
        <v>1456</v>
      </c>
      <c r="C1059" t="s">
        <v>13</v>
      </c>
      <c r="D1059" t="s">
        <v>1457</v>
      </c>
      <c r="E1059" s="2">
        <v>2365</v>
      </c>
    </row>
    <row r="1060" spans="1:5" x14ac:dyDescent="0.25">
      <c r="A1060" t="str">
        <f t="shared" si="17"/>
        <v xml:space="preserve">RST </v>
      </c>
      <c r="B1060" t="s">
        <v>1458</v>
      </c>
      <c r="C1060" t="s">
        <v>13</v>
      </c>
      <c r="D1060" t="s">
        <v>1459</v>
      </c>
      <c r="E1060" s="2">
        <v>2361</v>
      </c>
    </row>
    <row r="1061" spans="1:5" x14ac:dyDescent="0.25">
      <c r="A1061" t="str">
        <f t="shared" si="17"/>
        <v xml:space="preserve">RST </v>
      </c>
      <c r="B1061" t="s">
        <v>1458</v>
      </c>
      <c r="C1061" t="s">
        <v>320</v>
      </c>
      <c r="D1061" t="s">
        <v>1460</v>
      </c>
      <c r="E1061" s="2">
        <v>2361</v>
      </c>
    </row>
    <row r="1062" spans="1:5" x14ac:dyDescent="0.25">
      <c r="A1062" t="str">
        <f t="shared" si="17"/>
        <v>Diod</v>
      </c>
      <c r="B1062" t="s">
        <v>2448</v>
      </c>
      <c r="C1062" t="s">
        <v>61</v>
      </c>
      <c r="D1062" t="s">
        <v>1461</v>
      </c>
      <c r="E1062" s="2">
        <v>2360</v>
      </c>
    </row>
    <row r="1063" spans="1:5" x14ac:dyDescent="0.25">
      <c r="A1063" t="str">
        <f t="shared" si="17"/>
        <v>Capa</v>
      </c>
      <c r="B1063" t="s">
        <v>2314</v>
      </c>
      <c r="C1063" t="s">
        <v>249</v>
      </c>
      <c r="D1063" t="s">
        <v>1462</v>
      </c>
      <c r="E1063" s="2">
        <v>2355</v>
      </c>
    </row>
    <row r="1064" spans="1:5" x14ac:dyDescent="0.25">
      <c r="A1064" t="str">
        <f t="shared" si="17"/>
        <v>Capa</v>
      </c>
      <c r="B1064" t="s">
        <v>2314</v>
      </c>
      <c r="C1064" t="s">
        <v>249</v>
      </c>
      <c r="D1064" t="s">
        <v>1463</v>
      </c>
      <c r="E1064" s="2">
        <v>2355</v>
      </c>
    </row>
    <row r="1065" spans="1:5" x14ac:dyDescent="0.25">
      <c r="A1065" t="str">
        <f t="shared" si="17"/>
        <v xml:space="preserve">RST </v>
      </c>
      <c r="B1065" t="s">
        <v>1464</v>
      </c>
      <c r="C1065" t="s">
        <v>320</v>
      </c>
      <c r="D1065" t="s">
        <v>1465</v>
      </c>
      <c r="E1065" s="2">
        <v>2347</v>
      </c>
    </row>
    <row r="1066" spans="1:5" x14ac:dyDescent="0.25">
      <c r="A1066" t="str">
        <f t="shared" si="17"/>
        <v xml:space="preserve">NTC </v>
      </c>
      <c r="B1066" t="s">
        <v>1466</v>
      </c>
      <c r="C1066" t="s">
        <v>1467</v>
      </c>
      <c r="D1066" t="s">
        <v>1468</v>
      </c>
      <c r="E1066" s="2">
        <v>2344</v>
      </c>
    </row>
    <row r="1067" spans="1:5" x14ac:dyDescent="0.25">
      <c r="A1067" t="str">
        <f t="shared" si="17"/>
        <v xml:space="preserve">NTC </v>
      </c>
      <c r="B1067" t="s">
        <v>1466</v>
      </c>
      <c r="C1067" t="s">
        <v>1469</v>
      </c>
      <c r="D1067" t="s">
        <v>1470</v>
      </c>
      <c r="E1067" s="2">
        <v>2344</v>
      </c>
    </row>
    <row r="1068" spans="1:5" x14ac:dyDescent="0.25">
      <c r="A1068" t="str">
        <f t="shared" si="17"/>
        <v xml:space="preserve">NTC </v>
      </c>
      <c r="B1068" t="s">
        <v>1466</v>
      </c>
      <c r="C1068" t="s">
        <v>1471</v>
      </c>
      <c r="D1068" t="s">
        <v>1472</v>
      </c>
      <c r="E1068" s="2">
        <v>2344</v>
      </c>
    </row>
    <row r="1069" spans="1:5" x14ac:dyDescent="0.25">
      <c r="A1069" t="str">
        <f t="shared" si="17"/>
        <v xml:space="preserve">RST </v>
      </c>
      <c r="B1069" t="s">
        <v>1473</v>
      </c>
      <c r="C1069" t="s">
        <v>13</v>
      </c>
      <c r="D1069" t="s">
        <v>1474</v>
      </c>
      <c r="E1069" s="2">
        <v>2343</v>
      </c>
    </row>
    <row r="1070" spans="1:5" x14ac:dyDescent="0.25">
      <c r="A1070" t="str">
        <f t="shared" si="17"/>
        <v>Capa</v>
      </c>
      <c r="B1070" t="s">
        <v>2315</v>
      </c>
      <c r="C1070" t="s">
        <v>47</v>
      </c>
      <c r="D1070" t="s">
        <v>1475</v>
      </c>
      <c r="E1070" s="2">
        <v>2342</v>
      </c>
    </row>
    <row r="1071" spans="1:5" x14ac:dyDescent="0.25">
      <c r="A1071" t="str">
        <f t="shared" si="17"/>
        <v>Capa</v>
      </c>
      <c r="B1071" t="s">
        <v>2315</v>
      </c>
      <c r="C1071" t="s">
        <v>47</v>
      </c>
      <c r="D1071" t="s">
        <v>1476</v>
      </c>
      <c r="E1071" s="2">
        <v>2342</v>
      </c>
    </row>
    <row r="1072" spans="1:5" x14ac:dyDescent="0.25">
      <c r="A1072" t="str">
        <f t="shared" si="17"/>
        <v>Capa</v>
      </c>
      <c r="B1072" t="s">
        <v>2315</v>
      </c>
      <c r="C1072" t="s">
        <v>37</v>
      </c>
      <c r="D1072" t="s">
        <v>1477</v>
      </c>
      <c r="E1072" s="2">
        <v>2342</v>
      </c>
    </row>
    <row r="1073" spans="1:5" x14ac:dyDescent="0.25">
      <c r="A1073" t="str">
        <f t="shared" si="17"/>
        <v>Capa</v>
      </c>
      <c r="B1073" t="s">
        <v>2315</v>
      </c>
      <c r="C1073" t="s">
        <v>1478</v>
      </c>
      <c r="D1073" t="s">
        <v>1479</v>
      </c>
      <c r="E1073" s="2">
        <v>2342</v>
      </c>
    </row>
    <row r="1074" spans="1:5" x14ac:dyDescent="0.25">
      <c r="A1074" t="str">
        <f t="shared" si="17"/>
        <v>Diod</v>
      </c>
      <c r="B1074" t="s">
        <v>2449</v>
      </c>
      <c r="C1074" t="s">
        <v>13</v>
      </c>
      <c r="D1074" t="s">
        <v>1480</v>
      </c>
      <c r="E1074" s="2">
        <v>2341</v>
      </c>
    </row>
    <row r="1075" spans="1:5" x14ac:dyDescent="0.25">
      <c r="A1075" t="str">
        <f t="shared" si="17"/>
        <v>Diod</v>
      </c>
      <c r="B1075" t="s">
        <v>2449</v>
      </c>
      <c r="C1075" t="s">
        <v>13</v>
      </c>
      <c r="D1075" t="s">
        <v>1481</v>
      </c>
      <c r="E1075" s="2">
        <v>2341</v>
      </c>
    </row>
    <row r="1076" spans="1:5" x14ac:dyDescent="0.25">
      <c r="A1076" t="str">
        <f t="shared" si="17"/>
        <v>Capa</v>
      </c>
      <c r="B1076" t="s">
        <v>2316</v>
      </c>
      <c r="C1076" t="s">
        <v>45</v>
      </c>
      <c r="D1076" t="s">
        <v>1482</v>
      </c>
      <c r="E1076" s="2">
        <v>2338</v>
      </c>
    </row>
    <row r="1077" spans="1:5" x14ac:dyDescent="0.25">
      <c r="A1077" t="str">
        <f t="shared" si="17"/>
        <v>TRAN</v>
      </c>
      <c r="B1077" t="s">
        <v>1483</v>
      </c>
      <c r="C1077" t="s">
        <v>589</v>
      </c>
      <c r="D1077" t="s">
        <v>1484</v>
      </c>
      <c r="E1077" s="2">
        <v>2335</v>
      </c>
    </row>
    <row r="1078" spans="1:5" x14ac:dyDescent="0.25">
      <c r="A1078" t="str">
        <f t="shared" si="17"/>
        <v>TRAN</v>
      </c>
      <c r="B1078" t="s">
        <v>1483</v>
      </c>
      <c r="C1078" t="s">
        <v>1485</v>
      </c>
      <c r="D1078" t="s">
        <v>1484</v>
      </c>
      <c r="E1078" s="2">
        <v>2335</v>
      </c>
    </row>
    <row r="1079" spans="1:5" x14ac:dyDescent="0.25">
      <c r="A1079" t="str">
        <f t="shared" si="17"/>
        <v>Capa</v>
      </c>
      <c r="B1079" t="s">
        <v>2317</v>
      </c>
      <c r="C1079" t="s">
        <v>290</v>
      </c>
      <c r="D1079" t="s">
        <v>1486</v>
      </c>
      <c r="E1079" s="2">
        <v>2324</v>
      </c>
    </row>
    <row r="1080" spans="1:5" x14ac:dyDescent="0.25">
      <c r="A1080" t="str">
        <f t="shared" si="17"/>
        <v>IC M</v>
      </c>
      <c r="B1080" t="s">
        <v>1487</v>
      </c>
      <c r="C1080" t="s">
        <v>542</v>
      </c>
      <c r="D1080" t="s">
        <v>1488</v>
      </c>
      <c r="E1080" s="2">
        <v>2316</v>
      </c>
    </row>
    <row r="1081" spans="1:5" x14ac:dyDescent="0.25">
      <c r="A1081" t="str">
        <f t="shared" si="17"/>
        <v xml:space="preserve">RST </v>
      </c>
      <c r="B1081" t="s">
        <v>1489</v>
      </c>
      <c r="C1081" t="s">
        <v>13</v>
      </c>
      <c r="D1081" t="s">
        <v>1490</v>
      </c>
      <c r="E1081" s="2">
        <v>2297</v>
      </c>
    </row>
    <row r="1082" spans="1:5" x14ac:dyDescent="0.25">
      <c r="A1082" t="str">
        <f t="shared" si="17"/>
        <v xml:space="preserve">RST </v>
      </c>
      <c r="B1082" t="s">
        <v>1489</v>
      </c>
      <c r="C1082" t="s">
        <v>37</v>
      </c>
      <c r="D1082" t="s">
        <v>1491</v>
      </c>
      <c r="E1082" s="2">
        <v>2297</v>
      </c>
    </row>
    <row r="1083" spans="1:5" x14ac:dyDescent="0.25">
      <c r="A1083" t="str">
        <f t="shared" si="17"/>
        <v xml:space="preserve">RST </v>
      </c>
      <c r="B1083" t="s">
        <v>1489</v>
      </c>
      <c r="C1083" t="s">
        <v>5</v>
      </c>
      <c r="D1083" t="s">
        <v>1492</v>
      </c>
      <c r="E1083" s="2">
        <v>2297</v>
      </c>
    </row>
    <row r="1084" spans="1:5" x14ac:dyDescent="0.25">
      <c r="A1084" t="str">
        <f t="shared" si="17"/>
        <v>R10K</v>
      </c>
      <c r="B1084" t="s">
        <v>1493</v>
      </c>
      <c r="C1084" t="s">
        <v>13</v>
      </c>
      <c r="D1084" t="s">
        <v>563</v>
      </c>
      <c r="E1084" s="2">
        <v>2287</v>
      </c>
    </row>
    <row r="1085" spans="1:5" x14ac:dyDescent="0.25">
      <c r="A1085" t="str">
        <f t="shared" si="17"/>
        <v>SPAC</v>
      </c>
      <c r="B1085" t="s">
        <v>1494</v>
      </c>
      <c r="C1085" t="s">
        <v>1495</v>
      </c>
      <c r="D1085" t="s">
        <v>1496</v>
      </c>
      <c r="E1085" s="2">
        <v>2284</v>
      </c>
    </row>
    <row r="1086" spans="1:5" x14ac:dyDescent="0.25">
      <c r="A1086" t="str">
        <f t="shared" si="17"/>
        <v xml:space="preserve">BOB </v>
      </c>
      <c r="B1086" t="s">
        <v>1497</v>
      </c>
      <c r="C1086" t="s">
        <v>1498</v>
      </c>
      <c r="D1086" t="s">
        <v>1499</v>
      </c>
      <c r="E1086" s="2">
        <v>2283</v>
      </c>
    </row>
    <row r="1087" spans="1:5" x14ac:dyDescent="0.25">
      <c r="A1087" t="str">
        <f t="shared" si="17"/>
        <v xml:space="preserve">BOB </v>
      </c>
      <c r="B1087" t="s">
        <v>1497</v>
      </c>
      <c r="C1087" t="s">
        <v>62</v>
      </c>
      <c r="D1087" t="s">
        <v>1500</v>
      </c>
      <c r="E1087" s="2">
        <v>2283</v>
      </c>
    </row>
    <row r="1088" spans="1:5" x14ac:dyDescent="0.25">
      <c r="A1088" t="str">
        <f t="shared" si="17"/>
        <v xml:space="preserve">BOB </v>
      </c>
      <c r="B1088" t="s">
        <v>1497</v>
      </c>
      <c r="C1088" t="s">
        <v>1310</v>
      </c>
      <c r="D1088" t="s">
        <v>1499</v>
      </c>
      <c r="E1088" s="2">
        <v>2283</v>
      </c>
    </row>
    <row r="1089" spans="1:5" x14ac:dyDescent="0.25">
      <c r="A1089" t="str">
        <f t="shared" si="17"/>
        <v>FUSE</v>
      </c>
      <c r="B1089" t="s">
        <v>1501</v>
      </c>
      <c r="C1089" t="s">
        <v>57</v>
      </c>
      <c r="D1089" t="s">
        <v>1502</v>
      </c>
      <c r="E1089" s="2">
        <v>2259</v>
      </c>
    </row>
    <row r="1090" spans="1:5" x14ac:dyDescent="0.25">
      <c r="A1090" t="str">
        <f t="shared" si="17"/>
        <v>FUSE</v>
      </c>
      <c r="B1090" t="s">
        <v>1501</v>
      </c>
      <c r="C1090" t="s">
        <v>507</v>
      </c>
      <c r="D1090" t="s">
        <v>1503</v>
      </c>
      <c r="E1090" s="2">
        <v>2259</v>
      </c>
    </row>
    <row r="1091" spans="1:5" x14ac:dyDescent="0.25">
      <c r="A1091" t="str">
        <f t="shared" si="17"/>
        <v>IC L</v>
      </c>
      <c r="B1091" t="s">
        <v>1504</v>
      </c>
      <c r="C1091" t="s">
        <v>61</v>
      </c>
      <c r="D1091" t="s">
        <v>1505</v>
      </c>
      <c r="E1091" s="2">
        <v>2254</v>
      </c>
    </row>
    <row r="1092" spans="1:5" x14ac:dyDescent="0.25">
      <c r="A1092" t="str">
        <f t="shared" si="17"/>
        <v>IC L</v>
      </c>
      <c r="B1092" t="s">
        <v>1504</v>
      </c>
      <c r="C1092" t="s">
        <v>61</v>
      </c>
      <c r="D1092" t="s">
        <v>1506</v>
      </c>
      <c r="E1092" s="2">
        <v>2254</v>
      </c>
    </row>
    <row r="1093" spans="1:5" x14ac:dyDescent="0.25">
      <c r="A1093" t="str">
        <f t="shared" si="17"/>
        <v>Capa</v>
      </c>
      <c r="B1093" t="s">
        <v>2318</v>
      </c>
      <c r="C1093" t="s">
        <v>64</v>
      </c>
      <c r="D1093" t="s">
        <v>1507</v>
      </c>
      <c r="E1093" s="2">
        <v>2248</v>
      </c>
    </row>
    <row r="1094" spans="1:5" x14ac:dyDescent="0.25">
      <c r="A1094" t="str">
        <f t="shared" ref="A1094:A1157" si="18">LEFT(B1094,4)</f>
        <v>Capa</v>
      </c>
      <c r="B1094" t="s">
        <v>2318</v>
      </c>
      <c r="C1094" t="s">
        <v>73</v>
      </c>
      <c r="D1094" t="s">
        <v>1508</v>
      </c>
      <c r="E1094" s="2">
        <v>2248</v>
      </c>
    </row>
    <row r="1095" spans="1:5" x14ac:dyDescent="0.25">
      <c r="A1095" t="str">
        <f t="shared" si="18"/>
        <v>Capa</v>
      </c>
      <c r="B1095" t="s">
        <v>2318</v>
      </c>
      <c r="C1095" t="s">
        <v>73</v>
      </c>
      <c r="D1095" t="s">
        <v>1509</v>
      </c>
      <c r="E1095" s="2">
        <v>2248</v>
      </c>
    </row>
    <row r="1096" spans="1:5" x14ac:dyDescent="0.25">
      <c r="A1096" t="str">
        <f t="shared" si="18"/>
        <v>IC L</v>
      </c>
      <c r="B1096" t="s">
        <v>1510</v>
      </c>
      <c r="C1096" t="s">
        <v>149</v>
      </c>
      <c r="D1096" t="s">
        <v>1511</v>
      </c>
      <c r="E1096" s="2">
        <v>2241</v>
      </c>
    </row>
    <row r="1097" spans="1:5" x14ac:dyDescent="0.25">
      <c r="A1097" t="str">
        <f t="shared" si="18"/>
        <v xml:space="preserve">RST </v>
      </c>
      <c r="B1097" t="s">
        <v>1512</v>
      </c>
      <c r="C1097" t="s">
        <v>176</v>
      </c>
      <c r="D1097" t="s">
        <v>1513</v>
      </c>
      <c r="E1097" s="2">
        <v>2224</v>
      </c>
    </row>
    <row r="1098" spans="1:5" x14ac:dyDescent="0.25">
      <c r="A1098" t="str">
        <f t="shared" si="18"/>
        <v xml:space="preserve">RST </v>
      </c>
      <c r="B1098" t="s">
        <v>1512</v>
      </c>
      <c r="C1098" t="s">
        <v>176</v>
      </c>
      <c r="D1098" t="s">
        <v>1514</v>
      </c>
      <c r="E1098" s="2">
        <v>2224</v>
      </c>
    </row>
    <row r="1099" spans="1:5" x14ac:dyDescent="0.25">
      <c r="A1099" t="str">
        <f t="shared" si="18"/>
        <v xml:space="preserve">RST </v>
      </c>
      <c r="B1099" t="s">
        <v>1512</v>
      </c>
      <c r="C1099" t="s">
        <v>13</v>
      </c>
      <c r="D1099" t="s">
        <v>1515</v>
      </c>
      <c r="E1099" s="2">
        <v>2224</v>
      </c>
    </row>
    <row r="1100" spans="1:5" x14ac:dyDescent="0.25">
      <c r="A1100" t="str">
        <f t="shared" si="18"/>
        <v xml:space="preserve">RST </v>
      </c>
      <c r="B1100" t="s">
        <v>1512</v>
      </c>
      <c r="C1100" t="s">
        <v>13</v>
      </c>
      <c r="D1100" t="s">
        <v>1516</v>
      </c>
      <c r="E1100" s="2">
        <v>2224</v>
      </c>
    </row>
    <row r="1101" spans="1:5" x14ac:dyDescent="0.25">
      <c r="A1101" t="str">
        <f t="shared" si="18"/>
        <v>Diod</v>
      </c>
      <c r="B1101" t="s">
        <v>2450</v>
      </c>
      <c r="C1101" t="s">
        <v>57</v>
      </c>
      <c r="D1101" t="s">
        <v>1517</v>
      </c>
      <c r="E1101" s="2">
        <v>2214</v>
      </c>
    </row>
    <row r="1102" spans="1:5" x14ac:dyDescent="0.25">
      <c r="A1102" t="str">
        <f t="shared" si="18"/>
        <v>Diod</v>
      </c>
      <c r="B1102" t="s">
        <v>2450</v>
      </c>
      <c r="C1102" t="s">
        <v>37</v>
      </c>
      <c r="D1102" t="s">
        <v>1518</v>
      </c>
      <c r="E1102" s="2">
        <v>2214</v>
      </c>
    </row>
    <row r="1103" spans="1:5" x14ac:dyDescent="0.25">
      <c r="A1103" t="str">
        <f t="shared" si="18"/>
        <v>Diod</v>
      </c>
      <c r="B1103" t="s">
        <v>2450</v>
      </c>
      <c r="C1103" t="s">
        <v>61</v>
      </c>
      <c r="D1103" t="s">
        <v>1519</v>
      </c>
      <c r="E1103" s="2">
        <v>2214</v>
      </c>
    </row>
    <row r="1104" spans="1:5" x14ac:dyDescent="0.25">
      <c r="A1104" t="str">
        <f t="shared" si="18"/>
        <v>Diod</v>
      </c>
      <c r="B1104" t="s">
        <v>2450</v>
      </c>
      <c r="C1104" t="s">
        <v>1292</v>
      </c>
      <c r="D1104" t="s">
        <v>1520</v>
      </c>
      <c r="E1104" s="2">
        <v>2214</v>
      </c>
    </row>
    <row r="1105" spans="1:5" x14ac:dyDescent="0.25">
      <c r="A1105" t="str">
        <f t="shared" si="18"/>
        <v xml:space="preserve">NTC </v>
      </c>
      <c r="B1105" t="s">
        <v>1521</v>
      </c>
      <c r="C1105" t="s">
        <v>1467</v>
      </c>
      <c r="D1105" t="s">
        <v>1522</v>
      </c>
      <c r="E1105" s="2">
        <v>2214</v>
      </c>
    </row>
    <row r="1106" spans="1:5" x14ac:dyDescent="0.25">
      <c r="A1106" t="str">
        <f t="shared" si="18"/>
        <v xml:space="preserve">RST </v>
      </c>
      <c r="B1106" t="s">
        <v>1523</v>
      </c>
      <c r="C1106" t="s">
        <v>5</v>
      </c>
      <c r="D1106" t="s">
        <v>1524</v>
      </c>
      <c r="E1106" s="2">
        <v>2211</v>
      </c>
    </row>
    <row r="1107" spans="1:5" x14ac:dyDescent="0.25">
      <c r="A1107" t="str">
        <f t="shared" si="18"/>
        <v>Capa</v>
      </c>
      <c r="B1107" t="s">
        <v>2319</v>
      </c>
      <c r="C1107" t="s">
        <v>47</v>
      </c>
      <c r="D1107" t="s">
        <v>1525</v>
      </c>
      <c r="E1107" s="2">
        <v>2203</v>
      </c>
    </row>
    <row r="1108" spans="1:5" x14ac:dyDescent="0.25">
      <c r="A1108" t="str">
        <f t="shared" si="18"/>
        <v>Capa</v>
      </c>
      <c r="B1108" t="s">
        <v>2319</v>
      </c>
      <c r="C1108" t="s">
        <v>47</v>
      </c>
      <c r="D1108" t="s">
        <v>1526</v>
      </c>
      <c r="E1108" s="2">
        <v>2203</v>
      </c>
    </row>
    <row r="1109" spans="1:5" x14ac:dyDescent="0.25">
      <c r="A1109" t="str">
        <f t="shared" si="18"/>
        <v>IC A</v>
      </c>
      <c r="B1109" t="s">
        <v>1527</v>
      </c>
      <c r="C1109" t="s">
        <v>2467</v>
      </c>
      <c r="D1109" t="s">
        <v>1528</v>
      </c>
      <c r="E1109" s="2">
        <v>2188</v>
      </c>
    </row>
    <row r="1110" spans="1:5" x14ac:dyDescent="0.25">
      <c r="A1110" t="str">
        <f t="shared" si="18"/>
        <v xml:space="preserve">RST </v>
      </c>
      <c r="B1110" t="s">
        <v>1529</v>
      </c>
      <c r="C1110" t="s">
        <v>37</v>
      </c>
      <c r="D1110" t="s">
        <v>1530</v>
      </c>
      <c r="E1110" s="2">
        <v>2179</v>
      </c>
    </row>
    <row r="1111" spans="1:5" x14ac:dyDescent="0.25">
      <c r="A1111" t="str">
        <f t="shared" si="18"/>
        <v xml:space="preserve">RST </v>
      </c>
      <c r="B1111" t="s">
        <v>1529</v>
      </c>
      <c r="C1111" t="s">
        <v>5</v>
      </c>
      <c r="D1111" t="s">
        <v>1531</v>
      </c>
      <c r="E1111" s="2">
        <v>2179</v>
      </c>
    </row>
    <row r="1112" spans="1:5" x14ac:dyDescent="0.25">
      <c r="A1112" t="str">
        <f t="shared" si="18"/>
        <v xml:space="preserve">RST </v>
      </c>
      <c r="B1112" t="s">
        <v>1529</v>
      </c>
      <c r="C1112" t="s">
        <v>5</v>
      </c>
      <c r="D1112" t="s">
        <v>1532</v>
      </c>
      <c r="E1112" s="2">
        <v>2179</v>
      </c>
    </row>
    <row r="1113" spans="1:5" x14ac:dyDescent="0.25">
      <c r="A1113" t="str">
        <f t="shared" si="18"/>
        <v xml:space="preserve">RST </v>
      </c>
      <c r="B1113" t="s">
        <v>1533</v>
      </c>
      <c r="C1113" t="s">
        <v>13</v>
      </c>
      <c r="D1113" t="s">
        <v>1534</v>
      </c>
      <c r="E1113" s="2">
        <v>2178</v>
      </c>
    </row>
    <row r="1114" spans="1:5" x14ac:dyDescent="0.25">
      <c r="A1114" t="str">
        <f t="shared" si="18"/>
        <v>MA-1</v>
      </c>
      <c r="B1114" t="s">
        <v>1535</v>
      </c>
      <c r="C1114" t="s">
        <v>13</v>
      </c>
      <c r="D1114" t="s">
        <v>1536</v>
      </c>
      <c r="E1114" s="2">
        <v>2165</v>
      </c>
    </row>
    <row r="1115" spans="1:5" x14ac:dyDescent="0.25">
      <c r="A1115" t="str">
        <f t="shared" si="18"/>
        <v>MA-1</v>
      </c>
      <c r="B1115" t="s">
        <v>1535</v>
      </c>
      <c r="C1115" t="s">
        <v>49</v>
      </c>
      <c r="D1115" t="s">
        <v>1537</v>
      </c>
      <c r="E1115" s="2">
        <v>2165</v>
      </c>
    </row>
    <row r="1116" spans="1:5" x14ac:dyDescent="0.25">
      <c r="A1116" t="str">
        <f t="shared" si="18"/>
        <v>MA-1</v>
      </c>
      <c r="B1116" t="s">
        <v>1535</v>
      </c>
      <c r="C1116" t="s">
        <v>49</v>
      </c>
      <c r="D1116" t="s">
        <v>1538</v>
      </c>
      <c r="E1116" s="2">
        <v>2165</v>
      </c>
    </row>
    <row r="1117" spans="1:5" x14ac:dyDescent="0.25">
      <c r="A1117" t="str">
        <f t="shared" si="18"/>
        <v xml:space="preserve">IND </v>
      </c>
      <c r="B1117" t="s">
        <v>1539</v>
      </c>
      <c r="C1117" t="s">
        <v>64</v>
      </c>
      <c r="D1117" t="s">
        <v>1540</v>
      </c>
      <c r="E1117" s="2">
        <v>2160</v>
      </c>
    </row>
    <row r="1118" spans="1:5" x14ac:dyDescent="0.25">
      <c r="A1118" t="str">
        <f t="shared" si="18"/>
        <v xml:space="preserve">RST </v>
      </c>
      <c r="B1118" t="s">
        <v>1541</v>
      </c>
      <c r="C1118" t="s">
        <v>320</v>
      </c>
      <c r="D1118" t="s">
        <v>1542</v>
      </c>
      <c r="E1118" s="2">
        <v>2158</v>
      </c>
    </row>
    <row r="1119" spans="1:5" x14ac:dyDescent="0.25">
      <c r="A1119" t="str">
        <f t="shared" si="18"/>
        <v xml:space="preserve">RST </v>
      </c>
      <c r="B1119" t="s">
        <v>1541</v>
      </c>
      <c r="C1119" t="s">
        <v>207</v>
      </c>
      <c r="D1119" t="s">
        <v>1543</v>
      </c>
      <c r="E1119" s="2">
        <v>2158</v>
      </c>
    </row>
    <row r="1120" spans="1:5" x14ac:dyDescent="0.25">
      <c r="A1120" t="str">
        <f t="shared" si="18"/>
        <v>IC M</v>
      </c>
      <c r="B1120" t="s">
        <v>1544</v>
      </c>
      <c r="C1120" t="s">
        <v>1545</v>
      </c>
      <c r="D1120" t="s">
        <v>1546</v>
      </c>
      <c r="E1120" s="2">
        <v>2155</v>
      </c>
    </row>
    <row r="1121" spans="1:5" x14ac:dyDescent="0.25">
      <c r="A1121" t="str">
        <f t="shared" si="18"/>
        <v>IC M</v>
      </c>
      <c r="B1121" t="s">
        <v>1544</v>
      </c>
      <c r="C1121" t="s">
        <v>1545</v>
      </c>
      <c r="D1121" t="s">
        <v>1547</v>
      </c>
      <c r="E1121" s="2">
        <v>2155</v>
      </c>
    </row>
    <row r="1122" spans="1:5" x14ac:dyDescent="0.25">
      <c r="A1122" t="str">
        <f t="shared" si="18"/>
        <v>HEAD</v>
      </c>
      <c r="B1122" t="s">
        <v>1548</v>
      </c>
      <c r="C1122" t="s">
        <v>1549</v>
      </c>
      <c r="D1122" t="s">
        <v>1550</v>
      </c>
      <c r="E1122" s="2">
        <v>2153</v>
      </c>
    </row>
    <row r="1123" spans="1:5" x14ac:dyDescent="0.25">
      <c r="A1123" t="str">
        <f t="shared" si="18"/>
        <v>HEAD</v>
      </c>
      <c r="B1123" t="s">
        <v>1548</v>
      </c>
      <c r="C1123" t="s">
        <v>1549</v>
      </c>
      <c r="D1123" t="s">
        <v>1551</v>
      </c>
      <c r="E1123" s="2">
        <v>2153</v>
      </c>
    </row>
    <row r="1124" spans="1:5" x14ac:dyDescent="0.25">
      <c r="A1124" t="str">
        <f t="shared" si="18"/>
        <v>HEAD</v>
      </c>
      <c r="B1124" t="s">
        <v>1548</v>
      </c>
      <c r="C1124" t="s">
        <v>1549</v>
      </c>
      <c r="D1124" t="s">
        <v>1552</v>
      </c>
      <c r="E1124" s="2">
        <v>2153</v>
      </c>
    </row>
    <row r="1125" spans="1:5" x14ac:dyDescent="0.25">
      <c r="A1125" t="str">
        <f t="shared" si="18"/>
        <v>HEAD</v>
      </c>
      <c r="B1125" t="s">
        <v>1548</v>
      </c>
      <c r="C1125" t="s">
        <v>1553</v>
      </c>
      <c r="D1125" t="s">
        <v>1554</v>
      </c>
      <c r="E1125" s="2">
        <v>2153</v>
      </c>
    </row>
    <row r="1126" spans="1:5" x14ac:dyDescent="0.25">
      <c r="A1126" t="str">
        <f t="shared" si="18"/>
        <v>HEAD</v>
      </c>
      <c r="B1126" t="s">
        <v>1548</v>
      </c>
      <c r="C1126" t="s">
        <v>1555</v>
      </c>
      <c r="D1126" t="s">
        <v>1556</v>
      </c>
      <c r="E1126" s="2">
        <v>2153</v>
      </c>
    </row>
    <row r="1127" spans="1:5" x14ac:dyDescent="0.25">
      <c r="A1127" t="str">
        <f t="shared" si="18"/>
        <v>HEAD</v>
      </c>
      <c r="B1127" t="s">
        <v>1548</v>
      </c>
      <c r="C1127" t="s">
        <v>1557</v>
      </c>
      <c r="D1127" t="s">
        <v>1558</v>
      </c>
      <c r="E1127" s="2">
        <v>2153</v>
      </c>
    </row>
    <row r="1128" spans="1:5" x14ac:dyDescent="0.25">
      <c r="A1128" t="str">
        <f t="shared" si="18"/>
        <v>Diod</v>
      </c>
      <c r="B1128" t="s">
        <v>2451</v>
      </c>
      <c r="C1128" t="s">
        <v>37</v>
      </c>
      <c r="D1128" t="s">
        <v>1559</v>
      </c>
      <c r="E1128" s="2">
        <v>2149</v>
      </c>
    </row>
    <row r="1129" spans="1:5" x14ac:dyDescent="0.25">
      <c r="A1129" t="str">
        <f t="shared" si="18"/>
        <v>Diod</v>
      </c>
      <c r="B1129" t="s">
        <v>2451</v>
      </c>
      <c r="C1129" t="s">
        <v>28</v>
      </c>
      <c r="D1129" t="s">
        <v>1560</v>
      </c>
      <c r="E1129" s="2">
        <v>2149</v>
      </c>
    </row>
    <row r="1130" spans="1:5" x14ac:dyDescent="0.25">
      <c r="A1130" t="str">
        <f t="shared" si="18"/>
        <v>Diod</v>
      </c>
      <c r="B1130" t="s">
        <v>2451</v>
      </c>
      <c r="C1130" t="s">
        <v>61</v>
      </c>
      <c r="D1130" t="s">
        <v>1561</v>
      </c>
      <c r="E1130" s="2">
        <v>2149</v>
      </c>
    </row>
    <row r="1131" spans="1:5" x14ac:dyDescent="0.25">
      <c r="A1131" t="str">
        <f t="shared" si="18"/>
        <v>Capa</v>
      </c>
      <c r="B1131" t="s">
        <v>2320</v>
      </c>
      <c r="C1131" t="s">
        <v>47</v>
      </c>
      <c r="D1131" t="s">
        <v>1562</v>
      </c>
      <c r="E1131" s="2">
        <v>2147</v>
      </c>
    </row>
    <row r="1132" spans="1:5" x14ac:dyDescent="0.25">
      <c r="A1132" t="str">
        <f t="shared" si="18"/>
        <v>Capa</v>
      </c>
      <c r="B1132" t="s">
        <v>2320</v>
      </c>
      <c r="C1132" t="s">
        <v>10</v>
      </c>
      <c r="D1132" t="s">
        <v>1563</v>
      </c>
      <c r="E1132" s="2">
        <v>2147</v>
      </c>
    </row>
    <row r="1133" spans="1:5" x14ac:dyDescent="0.25">
      <c r="A1133" t="str">
        <f t="shared" si="18"/>
        <v>Capa</v>
      </c>
      <c r="B1133" t="s">
        <v>2320</v>
      </c>
      <c r="C1133" t="s">
        <v>340</v>
      </c>
      <c r="D1133" t="s">
        <v>1564</v>
      </c>
      <c r="E1133" s="2">
        <v>2147</v>
      </c>
    </row>
    <row r="1134" spans="1:5" x14ac:dyDescent="0.25">
      <c r="A1134" t="str">
        <f t="shared" si="18"/>
        <v>Diod</v>
      </c>
      <c r="B1134" t="s">
        <v>2452</v>
      </c>
      <c r="C1134" t="s">
        <v>28</v>
      </c>
      <c r="D1134" t="s">
        <v>1565</v>
      </c>
      <c r="E1134" s="2">
        <v>2146</v>
      </c>
    </row>
    <row r="1135" spans="1:5" x14ac:dyDescent="0.25">
      <c r="A1135" t="str">
        <f t="shared" si="18"/>
        <v xml:space="preserve">RST </v>
      </c>
      <c r="B1135" t="s">
        <v>1566</v>
      </c>
      <c r="C1135" t="s">
        <v>320</v>
      </c>
      <c r="D1135" t="s">
        <v>906</v>
      </c>
      <c r="E1135" s="2">
        <v>2145</v>
      </c>
    </row>
    <row r="1136" spans="1:5" x14ac:dyDescent="0.25">
      <c r="A1136" t="str">
        <f t="shared" si="18"/>
        <v xml:space="preserve">RST </v>
      </c>
      <c r="B1136" t="s">
        <v>1566</v>
      </c>
      <c r="C1136" t="s">
        <v>207</v>
      </c>
      <c r="D1136" t="s">
        <v>1567</v>
      </c>
      <c r="E1136" s="2">
        <v>2145</v>
      </c>
    </row>
    <row r="1137" spans="1:5" x14ac:dyDescent="0.25">
      <c r="A1137" t="str">
        <f t="shared" si="18"/>
        <v>Diod</v>
      </c>
      <c r="B1137" t="s">
        <v>2453</v>
      </c>
      <c r="C1137" t="s">
        <v>556</v>
      </c>
      <c r="D1137" t="s">
        <v>1568</v>
      </c>
      <c r="E1137" s="2">
        <v>2143</v>
      </c>
    </row>
    <row r="1138" spans="1:5" x14ac:dyDescent="0.25">
      <c r="A1138" t="str">
        <f t="shared" si="18"/>
        <v>Diod</v>
      </c>
      <c r="B1138" t="s">
        <v>2453</v>
      </c>
      <c r="C1138" t="s">
        <v>2467</v>
      </c>
      <c r="D1138" t="s">
        <v>1569</v>
      </c>
      <c r="E1138" s="2">
        <v>2143</v>
      </c>
    </row>
    <row r="1139" spans="1:5" x14ac:dyDescent="0.25">
      <c r="A1139" t="str">
        <f t="shared" si="18"/>
        <v>Diod</v>
      </c>
      <c r="B1139" t="s">
        <v>2453</v>
      </c>
      <c r="C1139" t="s">
        <v>2467</v>
      </c>
      <c r="D1139" t="s">
        <v>1570</v>
      </c>
      <c r="E1139" s="2">
        <v>2143</v>
      </c>
    </row>
    <row r="1140" spans="1:5" x14ac:dyDescent="0.25">
      <c r="A1140" t="str">
        <f t="shared" si="18"/>
        <v>Diod</v>
      </c>
      <c r="B1140" t="s">
        <v>2453</v>
      </c>
      <c r="C1140" t="s">
        <v>30</v>
      </c>
      <c r="D1140" t="s">
        <v>1571</v>
      </c>
      <c r="E1140" s="2">
        <v>2143</v>
      </c>
    </row>
    <row r="1141" spans="1:5" x14ac:dyDescent="0.25">
      <c r="A1141" t="str">
        <f t="shared" si="18"/>
        <v>IC M</v>
      </c>
      <c r="B1141" t="s">
        <v>1572</v>
      </c>
      <c r="C1141" t="s">
        <v>61</v>
      </c>
      <c r="D1141" t="s">
        <v>1573</v>
      </c>
      <c r="E1141" s="2">
        <v>2143</v>
      </c>
    </row>
    <row r="1142" spans="1:5" x14ac:dyDescent="0.25">
      <c r="A1142" t="str">
        <f t="shared" si="18"/>
        <v>IC M</v>
      </c>
      <c r="B1142" t="s">
        <v>1572</v>
      </c>
      <c r="C1142" t="s">
        <v>61</v>
      </c>
      <c r="D1142" t="s">
        <v>1574</v>
      </c>
      <c r="E1142" s="2">
        <v>2143</v>
      </c>
    </row>
    <row r="1143" spans="1:5" x14ac:dyDescent="0.25">
      <c r="A1143" t="str">
        <f t="shared" si="18"/>
        <v>IC M</v>
      </c>
      <c r="B1143" t="s">
        <v>1572</v>
      </c>
      <c r="C1143" t="s">
        <v>542</v>
      </c>
      <c r="D1143" t="s">
        <v>1575</v>
      </c>
      <c r="E1143" s="2">
        <v>2143</v>
      </c>
    </row>
    <row r="1144" spans="1:5" x14ac:dyDescent="0.25">
      <c r="A1144" t="str">
        <f t="shared" si="18"/>
        <v>Capa</v>
      </c>
      <c r="B1144" t="s">
        <v>2321</v>
      </c>
      <c r="C1144" t="s">
        <v>64</v>
      </c>
      <c r="D1144" t="s">
        <v>1576</v>
      </c>
      <c r="E1144" s="2">
        <v>2140</v>
      </c>
    </row>
    <row r="1145" spans="1:5" x14ac:dyDescent="0.25">
      <c r="A1145" t="str">
        <f t="shared" si="18"/>
        <v xml:space="preserve">RST </v>
      </c>
      <c r="B1145" t="s">
        <v>1577</v>
      </c>
      <c r="C1145" t="s">
        <v>176</v>
      </c>
      <c r="D1145" t="s">
        <v>1578</v>
      </c>
      <c r="E1145" s="2">
        <v>2132</v>
      </c>
    </row>
    <row r="1146" spans="1:5" x14ac:dyDescent="0.25">
      <c r="A1146" t="str">
        <f t="shared" si="18"/>
        <v xml:space="preserve">RST </v>
      </c>
      <c r="B1146" t="s">
        <v>1577</v>
      </c>
      <c r="C1146" t="s">
        <v>13</v>
      </c>
      <c r="D1146" t="s">
        <v>1579</v>
      </c>
      <c r="E1146" s="2">
        <v>2132</v>
      </c>
    </row>
    <row r="1147" spans="1:5" x14ac:dyDescent="0.25">
      <c r="A1147" t="str">
        <f t="shared" si="18"/>
        <v xml:space="preserve">RST </v>
      </c>
      <c r="B1147" t="s">
        <v>1577</v>
      </c>
      <c r="C1147" t="s">
        <v>5</v>
      </c>
      <c r="D1147" t="s">
        <v>1580</v>
      </c>
      <c r="E1147" s="2">
        <v>2132</v>
      </c>
    </row>
    <row r="1148" spans="1:5" x14ac:dyDescent="0.25">
      <c r="A1148" t="str">
        <f t="shared" si="18"/>
        <v xml:space="preserve">RST </v>
      </c>
      <c r="B1148" t="s">
        <v>1577</v>
      </c>
      <c r="C1148" t="s">
        <v>1581</v>
      </c>
      <c r="D1148" t="s">
        <v>1582</v>
      </c>
      <c r="E1148" s="2">
        <v>2132</v>
      </c>
    </row>
    <row r="1149" spans="1:5" x14ac:dyDescent="0.25">
      <c r="A1149" t="str">
        <f t="shared" si="18"/>
        <v xml:space="preserve">RST </v>
      </c>
      <c r="B1149" t="s">
        <v>1583</v>
      </c>
      <c r="C1149" t="s">
        <v>5</v>
      </c>
      <c r="D1149" t="s">
        <v>1584</v>
      </c>
      <c r="E1149" s="2">
        <v>2128</v>
      </c>
    </row>
    <row r="1150" spans="1:5" x14ac:dyDescent="0.25">
      <c r="A1150" t="str">
        <f t="shared" si="18"/>
        <v xml:space="preserve">RST </v>
      </c>
      <c r="B1150" t="s">
        <v>1583</v>
      </c>
      <c r="C1150" t="s">
        <v>320</v>
      </c>
      <c r="D1150" t="s">
        <v>1585</v>
      </c>
      <c r="E1150" s="2">
        <v>2128</v>
      </c>
    </row>
    <row r="1151" spans="1:5" x14ac:dyDescent="0.25">
      <c r="A1151" t="str">
        <f t="shared" si="18"/>
        <v xml:space="preserve">RST </v>
      </c>
      <c r="B1151" t="s">
        <v>1583</v>
      </c>
      <c r="C1151" t="s">
        <v>207</v>
      </c>
      <c r="D1151" t="s">
        <v>1586</v>
      </c>
      <c r="E1151" s="2">
        <v>2128</v>
      </c>
    </row>
    <row r="1152" spans="1:5" x14ac:dyDescent="0.25">
      <c r="A1152" t="str">
        <f t="shared" si="18"/>
        <v xml:space="preserve">LED </v>
      </c>
      <c r="B1152" t="s">
        <v>1587</v>
      </c>
      <c r="C1152" t="s">
        <v>1588</v>
      </c>
      <c r="D1152" t="s">
        <v>1589</v>
      </c>
      <c r="E1152" s="2">
        <v>2116</v>
      </c>
    </row>
    <row r="1153" spans="1:5" x14ac:dyDescent="0.25">
      <c r="A1153" t="str">
        <f t="shared" si="18"/>
        <v xml:space="preserve">NTC </v>
      </c>
      <c r="B1153" t="s">
        <v>1590</v>
      </c>
      <c r="C1153" t="s">
        <v>45</v>
      </c>
      <c r="D1153" t="s">
        <v>1591</v>
      </c>
      <c r="E1153" s="2">
        <v>2106</v>
      </c>
    </row>
    <row r="1154" spans="1:5" x14ac:dyDescent="0.25">
      <c r="A1154" t="str">
        <f t="shared" si="18"/>
        <v xml:space="preserve">NTC </v>
      </c>
      <c r="B1154" t="s">
        <v>1590</v>
      </c>
      <c r="C1154" t="s">
        <v>45</v>
      </c>
      <c r="D1154" t="s">
        <v>1592</v>
      </c>
      <c r="E1154" s="2">
        <v>2106</v>
      </c>
    </row>
    <row r="1155" spans="1:5" x14ac:dyDescent="0.25">
      <c r="A1155" t="str">
        <f t="shared" si="18"/>
        <v>Capa</v>
      </c>
      <c r="B1155" t="s">
        <v>2322</v>
      </c>
      <c r="C1155" t="s">
        <v>1593</v>
      </c>
      <c r="D1155" t="s">
        <v>1594</v>
      </c>
      <c r="E1155" s="2">
        <v>2087</v>
      </c>
    </row>
    <row r="1156" spans="1:5" x14ac:dyDescent="0.25">
      <c r="A1156" t="str">
        <f t="shared" si="18"/>
        <v xml:space="preserve">RST </v>
      </c>
      <c r="B1156" t="s">
        <v>1595</v>
      </c>
      <c r="C1156" t="s">
        <v>89</v>
      </c>
      <c r="D1156" t="s">
        <v>1596</v>
      </c>
      <c r="E1156" s="2">
        <v>2087</v>
      </c>
    </row>
    <row r="1157" spans="1:5" x14ac:dyDescent="0.25">
      <c r="A1157" t="str">
        <f t="shared" si="18"/>
        <v>Capa</v>
      </c>
      <c r="B1157" t="s">
        <v>2323</v>
      </c>
      <c r="C1157" t="s">
        <v>45</v>
      </c>
      <c r="D1157" t="s">
        <v>1597</v>
      </c>
      <c r="E1157" s="2">
        <v>2076</v>
      </c>
    </row>
    <row r="1158" spans="1:5" x14ac:dyDescent="0.25">
      <c r="A1158" t="str">
        <f t="shared" ref="A1158:A1221" si="19">LEFT(B1158,4)</f>
        <v>Capa</v>
      </c>
      <c r="B1158" t="s">
        <v>2323</v>
      </c>
      <c r="C1158" t="s">
        <v>45</v>
      </c>
      <c r="D1158" t="s">
        <v>1598</v>
      </c>
      <c r="E1158" s="2">
        <v>2076</v>
      </c>
    </row>
    <row r="1159" spans="1:5" x14ac:dyDescent="0.25">
      <c r="A1159" t="str">
        <f t="shared" si="19"/>
        <v xml:space="preserve">RST </v>
      </c>
      <c r="B1159" t="s">
        <v>1599</v>
      </c>
      <c r="C1159" t="s">
        <v>13</v>
      </c>
      <c r="D1159" t="s">
        <v>1600</v>
      </c>
      <c r="E1159" s="2">
        <v>2074</v>
      </c>
    </row>
    <row r="1160" spans="1:5" x14ac:dyDescent="0.25">
      <c r="A1160" t="str">
        <f t="shared" si="19"/>
        <v xml:space="preserve">RST </v>
      </c>
      <c r="B1160" t="s">
        <v>1599</v>
      </c>
      <c r="C1160" t="s">
        <v>89</v>
      </c>
      <c r="D1160" t="s">
        <v>1601</v>
      </c>
      <c r="E1160" s="2">
        <v>2074</v>
      </c>
    </row>
    <row r="1161" spans="1:5" x14ac:dyDescent="0.25">
      <c r="A1161" t="str">
        <f t="shared" si="19"/>
        <v xml:space="preserve">RST </v>
      </c>
      <c r="B1161" t="s">
        <v>1599</v>
      </c>
      <c r="C1161" t="s">
        <v>1602</v>
      </c>
      <c r="D1161" t="s">
        <v>1603</v>
      </c>
      <c r="E1161" s="2">
        <v>2074</v>
      </c>
    </row>
    <row r="1162" spans="1:5" x14ac:dyDescent="0.25">
      <c r="A1162" t="str">
        <f t="shared" si="19"/>
        <v>IC X</v>
      </c>
      <c r="B1162" t="s">
        <v>1604</v>
      </c>
      <c r="C1162" t="s">
        <v>1605</v>
      </c>
      <c r="D1162" t="s">
        <v>1606</v>
      </c>
      <c r="E1162" s="2">
        <v>2056</v>
      </c>
    </row>
    <row r="1163" spans="1:5" x14ac:dyDescent="0.25">
      <c r="A1163" t="str">
        <f t="shared" si="19"/>
        <v>IC X</v>
      </c>
      <c r="B1163" t="s">
        <v>1604</v>
      </c>
      <c r="C1163" t="s">
        <v>1605</v>
      </c>
      <c r="D1163" t="s">
        <v>1607</v>
      </c>
      <c r="E1163" s="2">
        <v>2056</v>
      </c>
    </row>
    <row r="1164" spans="1:5" x14ac:dyDescent="0.25">
      <c r="A1164" t="str">
        <f t="shared" si="19"/>
        <v>Capa</v>
      </c>
      <c r="B1164" t="s">
        <v>2324</v>
      </c>
      <c r="C1164" t="s">
        <v>37</v>
      </c>
      <c r="D1164" t="s">
        <v>1608</v>
      </c>
      <c r="E1164" s="2">
        <v>2050</v>
      </c>
    </row>
    <row r="1165" spans="1:5" x14ac:dyDescent="0.25">
      <c r="A1165" t="str">
        <f t="shared" si="19"/>
        <v>Capa</v>
      </c>
      <c r="B1165" t="s">
        <v>2324</v>
      </c>
      <c r="C1165" t="s">
        <v>64</v>
      </c>
      <c r="D1165" t="s">
        <v>1609</v>
      </c>
      <c r="E1165" s="2">
        <v>2050</v>
      </c>
    </row>
    <row r="1166" spans="1:5" x14ac:dyDescent="0.25">
      <c r="A1166" t="str">
        <f t="shared" si="19"/>
        <v>Diod</v>
      </c>
      <c r="B1166" t="s">
        <v>2454</v>
      </c>
      <c r="C1166" t="s">
        <v>37</v>
      </c>
      <c r="D1166" t="s">
        <v>1610</v>
      </c>
      <c r="E1166" s="2">
        <v>2040</v>
      </c>
    </row>
    <row r="1167" spans="1:5" x14ac:dyDescent="0.25">
      <c r="A1167" t="str">
        <f t="shared" si="19"/>
        <v>Diod</v>
      </c>
      <c r="B1167" t="s">
        <v>2454</v>
      </c>
      <c r="C1167" t="s">
        <v>37</v>
      </c>
      <c r="D1167" t="s">
        <v>1611</v>
      </c>
      <c r="E1167" s="2">
        <v>2040</v>
      </c>
    </row>
    <row r="1168" spans="1:5" x14ac:dyDescent="0.25">
      <c r="A1168" t="str">
        <f t="shared" si="19"/>
        <v>Diod</v>
      </c>
      <c r="B1168" t="s">
        <v>2454</v>
      </c>
      <c r="C1168" t="s">
        <v>37</v>
      </c>
      <c r="D1168" t="s">
        <v>1612</v>
      </c>
      <c r="E1168" s="2">
        <v>2040</v>
      </c>
    </row>
    <row r="1169" spans="1:5" x14ac:dyDescent="0.25">
      <c r="A1169" t="str">
        <f t="shared" si="19"/>
        <v>Capa</v>
      </c>
      <c r="B1169" t="s">
        <v>2325</v>
      </c>
      <c r="C1169" t="s">
        <v>64</v>
      </c>
      <c r="D1169" t="s">
        <v>1613</v>
      </c>
      <c r="E1169" s="2">
        <v>2036</v>
      </c>
    </row>
    <row r="1170" spans="1:5" x14ac:dyDescent="0.25">
      <c r="A1170" t="str">
        <f t="shared" si="19"/>
        <v xml:space="preserve">IND </v>
      </c>
      <c r="B1170" t="s">
        <v>1614</v>
      </c>
      <c r="C1170" t="s">
        <v>73</v>
      </c>
      <c r="D1170" t="s">
        <v>1615</v>
      </c>
      <c r="E1170" s="2">
        <v>2031</v>
      </c>
    </row>
    <row r="1171" spans="1:5" x14ac:dyDescent="0.25">
      <c r="A1171" t="str">
        <f t="shared" si="19"/>
        <v xml:space="preserve">IND </v>
      </c>
      <c r="B1171" t="s">
        <v>1614</v>
      </c>
      <c r="C1171" t="s">
        <v>73</v>
      </c>
      <c r="D1171" t="s">
        <v>1616</v>
      </c>
      <c r="E1171" s="2">
        <v>2031</v>
      </c>
    </row>
    <row r="1172" spans="1:5" x14ac:dyDescent="0.25">
      <c r="A1172" t="str">
        <f t="shared" si="19"/>
        <v xml:space="preserve">IND </v>
      </c>
      <c r="B1172" t="s">
        <v>1614</v>
      </c>
      <c r="C1172" t="s">
        <v>89</v>
      </c>
      <c r="D1172" t="s">
        <v>1617</v>
      </c>
      <c r="E1172" s="2">
        <v>2031</v>
      </c>
    </row>
    <row r="1173" spans="1:5" x14ac:dyDescent="0.25">
      <c r="A1173" t="str">
        <f t="shared" si="19"/>
        <v xml:space="preserve">RST </v>
      </c>
      <c r="B1173" t="s">
        <v>1618</v>
      </c>
      <c r="C1173" t="s">
        <v>37</v>
      </c>
      <c r="D1173" t="s">
        <v>1619</v>
      </c>
      <c r="E1173" s="2">
        <v>2019</v>
      </c>
    </row>
    <row r="1174" spans="1:5" x14ac:dyDescent="0.25">
      <c r="A1174" t="str">
        <f t="shared" si="19"/>
        <v>Capa</v>
      </c>
      <c r="B1174" t="s">
        <v>2326</v>
      </c>
      <c r="C1174" t="s">
        <v>47</v>
      </c>
      <c r="D1174" t="s">
        <v>1620</v>
      </c>
      <c r="E1174" s="2">
        <v>2017</v>
      </c>
    </row>
    <row r="1175" spans="1:5" x14ac:dyDescent="0.25">
      <c r="A1175" t="str">
        <f t="shared" si="19"/>
        <v>Capa</v>
      </c>
      <c r="B1175" t="s">
        <v>2326</v>
      </c>
      <c r="C1175" t="s">
        <v>47</v>
      </c>
      <c r="D1175" t="s">
        <v>1621</v>
      </c>
      <c r="E1175" s="2">
        <v>2017</v>
      </c>
    </row>
    <row r="1176" spans="1:5" x14ac:dyDescent="0.25">
      <c r="A1176" t="str">
        <f t="shared" si="19"/>
        <v>Capa</v>
      </c>
      <c r="B1176" t="s">
        <v>2326</v>
      </c>
      <c r="C1176" t="s">
        <v>47</v>
      </c>
      <c r="D1176" t="s">
        <v>1622</v>
      </c>
      <c r="E1176" s="2">
        <v>2017</v>
      </c>
    </row>
    <row r="1177" spans="1:5" x14ac:dyDescent="0.25">
      <c r="A1177" t="str">
        <f t="shared" si="19"/>
        <v>Capa</v>
      </c>
      <c r="B1177" t="s">
        <v>2326</v>
      </c>
      <c r="C1177" t="s">
        <v>64</v>
      </c>
      <c r="D1177" t="s">
        <v>1623</v>
      </c>
      <c r="E1177" s="2">
        <v>2017</v>
      </c>
    </row>
    <row r="1178" spans="1:5" x14ac:dyDescent="0.25">
      <c r="A1178" t="str">
        <f t="shared" si="19"/>
        <v>Capa</v>
      </c>
      <c r="B1178" t="s">
        <v>2327</v>
      </c>
      <c r="C1178" t="s">
        <v>13</v>
      </c>
      <c r="D1178" t="s">
        <v>1624</v>
      </c>
      <c r="E1178" s="2">
        <v>2000</v>
      </c>
    </row>
    <row r="1179" spans="1:5" x14ac:dyDescent="0.25">
      <c r="A1179" t="str">
        <f t="shared" si="19"/>
        <v xml:space="preserve">MOS </v>
      </c>
      <c r="B1179" t="s">
        <v>1625</v>
      </c>
      <c r="C1179" t="s">
        <v>28</v>
      </c>
      <c r="D1179" t="s">
        <v>1626</v>
      </c>
      <c r="E1179" s="2">
        <v>1992</v>
      </c>
    </row>
    <row r="1180" spans="1:5" x14ac:dyDescent="0.25">
      <c r="A1180" t="str">
        <f t="shared" si="19"/>
        <v xml:space="preserve">MOS </v>
      </c>
      <c r="B1180" t="s">
        <v>1625</v>
      </c>
      <c r="C1180" t="s">
        <v>28</v>
      </c>
      <c r="D1180" t="s">
        <v>1627</v>
      </c>
      <c r="E1180" s="2">
        <v>1992</v>
      </c>
    </row>
    <row r="1181" spans="1:5" x14ac:dyDescent="0.25">
      <c r="A1181" t="str">
        <f t="shared" si="19"/>
        <v>Chok</v>
      </c>
      <c r="B1181" t="s">
        <v>2404</v>
      </c>
      <c r="C1181" t="s">
        <v>551</v>
      </c>
      <c r="D1181" t="s">
        <v>1628</v>
      </c>
      <c r="E1181" s="2">
        <v>1987</v>
      </c>
    </row>
    <row r="1182" spans="1:5" x14ac:dyDescent="0.25">
      <c r="A1182" t="str">
        <f t="shared" si="19"/>
        <v>Chok</v>
      </c>
      <c r="B1182" t="s">
        <v>2404</v>
      </c>
      <c r="C1182" t="s">
        <v>551</v>
      </c>
      <c r="D1182" t="s">
        <v>1629</v>
      </c>
      <c r="E1182" s="2">
        <v>1987</v>
      </c>
    </row>
    <row r="1183" spans="1:5" x14ac:dyDescent="0.25">
      <c r="A1183" t="str">
        <f t="shared" si="19"/>
        <v xml:space="preserve">RST </v>
      </c>
      <c r="B1183" t="s">
        <v>1630</v>
      </c>
      <c r="C1183" t="s">
        <v>37</v>
      </c>
      <c r="D1183" t="s">
        <v>1631</v>
      </c>
      <c r="E1183" s="2">
        <v>1986</v>
      </c>
    </row>
    <row r="1184" spans="1:5" x14ac:dyDescent="0.25">
      <c r="A1184" t="str">
        <f t="shared" si="19"/>
        <v xml:space="preserve">RST </v>
      </c>
      <c r="B1184" t="s">
        <v>1630</v>
      </c>
      <c r="C1184" t="s">
        <v>320</v>
      </c>
      <c r="D1184" t="s">
        <v>1632</v>
      </c>
      <c r="E1184" s="2">
        <v>1986</v>
      </c>
    </row>
    <row r="1185" spans="1:5" x14ac:dyDescent="0.25">
      <c r="A1185" t="str">
        <f t="shared" si="19"/>
        <v xml:space="preserve">RST </v>
      </c>
      <c r="B1185" t="s">
        <v>1630</v>
      </c>
      <c r="C1185" t="s">
        <v>202</v>
      </c>
      <c r="D1185" t="s">
        <v>1633</v>
      </c>
      <c r="E1185" s="2">
        <v>1986</v>
      </c>
    </row>
    <row r="1186" spans="1:5" x14ac:dyDescent="0.25">
      <c r="A1186" t="str">
        <f t="shared" si="19"/>
        <v xml:space="preserve">RST </v>
      </c>
      <c r="B1186" t="s">
        <v>1634</v>
      </c>
      <c r="C1186" t="s">
        <v>13</v>
      </c>
      <c r="D1186" t="s">
        <v>1635</v>
      </c>
      <c r="E1186" s="2">
        <v>1985</v>
      </c>
    </row>
    <row r="1187" spans="1:5" x14ac:dyDescent="0.25">
      <c r="A1187" t="str">
        <f t="shared" si="19"/>
        <v xml:space="preserve">RST </v>
      </c>
      <c r="B1187" t="s">
        <v>1634</v>
      </c>
      <c r="C1187" t="s">
        <v>37</v>
      </c>
      <c r="D1187" t="s">
        <v>1636</v>
      </c>
      <c r="E1187" s="2">
        <v>1985</v>
      </c>
    </row>
    <row r="1188" spans="1:5" x14ac:dyDescent="0.25">
      <c r="A1188" t="str">
        <f t="shared" si="19"/>
        <v>Capa</v>
      </c>
      <c r="B1188" t="s">
        <v>2328</v>
      </c>
      <c r="C1188" t="s">
        <v>13</v>
      </c>
      <c r="D1188" t="s">
        <v>95</v>
      </c>
      <c r="E1188" s="2">
        <v>1978</v>
      </c>
    </row>
    <row r="1189" spans="1:5" x14ac:dyDescent="0.25">
      <c r="A1189" t="str">
        <f t="shared" si="19"/>
        <v>Capa</v>
      </c>
      <c r="B1189" t="s">
        <v>2329</v>
      </c>
      <c r="C1189" t="s">
        <v>13</v>
      </c>
      <c r="D1189" t="s">
        <v>1637</v>
      </c>
      <c r="E1189" s="2">
        <v>1975</v>
      </c>
    </row>
    <row r="1190" spans="1:5" x14ac:dyDescent="0.25">
      <c r="A1190" t="str">
        <f t="shared" si="19"/>
        <v>Capa</v>
      </c>
      <c r="B1190" t="s">
        <v>2329</v>
      </c>
      <c r="C1190" t="s">
        <v>47</v>
      </c>
      <c r="D1190" t="s">
        <v>1638</v>
      </c>
      <c r="E1190" s="2">
        <v>1975</v>
      </c>
    </row>
    <row r="1191" spans="1:5" x14ac:dyDescent="0.25">
      <c r="A1191" t="str">
        <f t="shared" si="19"/>
        <v>Capa</v>
      </c>
      <c r="B1191" t="s">
        <v>2329</v>
      </c>
      <c r="C1191" t="s">
        <v>47</v>
      </c>
      <c r="D1191" t="s">
        <v>1639</v>
      </c>
      <c r="E1191" s="2">
        <v>1975</v>
      </c>
    </row>
    <row r="1192" spans="1:5" x14ac:dyDescent="0.25">
      <c r="A1192" t="str">
        <f t="shared" si="19"/>
        <v>Capa</v>
      </c>
      <c r="B1192" t="s">
        <v>2329</v>
      </c>
      <c r="C1192" t="s">
        <v>73</v>
      </c>
      <c r="D1192" t="s">
        <v>1640</v>
      </c>
      <c r="E1192" s="2">
        <v>1975</v>
      </c>
    </row>
    <row r="1193" spans="1:5" x14ac:dyDescent="0.25">
      <c r="A1193" t="str">
        <f t="shared" si="19"/>
        <v>Capa</v>
      </c>
      <c r="B1193" t="s">
        <v>2329</v>
      </c>
      <c r="C1193" t="s">
        <v>62</v>
      </c>
      <c r="D1193" t="s">
        <v>1641</v>
      </c>
      <c r="E1193" s="2">
        <v>1975</v>
      </c>
    </row>
    <row r="1194" spans="1:5" x14ac:dyDescent="0.25">
      <c r="A1194" t="str">
        <f t="shared" si="19"/>
        <v>Capa</v>
      </c>
      <c r="B1194" t="s">
        <v>2330</v>
      </c>
      <c r="C1194" t="s">
        <v>47</v>
      </c>
      <c r="D1194" t="s">
        <v>1642</v>
      </c>
      <c r="E1194" s="2">
        <v>1971</v>
      </c>
    </row>
    <row r="1195" spans="1:5" x14ac:dyDescent="0.25">
      <c r="A1195" t="str">
        <f t="shared" si="19"/>
        <v>Capa</v>
      </c>
      <c r="B1195" t="s">
        <v>2330</v>
      </c>
      <c r="C1195" t="s">
        <v>47</v>
      </c>
      <c r="D1195" t="s">
        <v>1643</v>
      </c>
      <c r="E1195" s="2">
        <v>1971</v>
      </c>
    </row>
    <row r="1196" spans="1:5" x14ac:dyDescent="0.25">
      <c r="A1196" t="str">
        <f t="shared" si="19"/>
        <v xml:space="preserve">MOS </v>
      </c>
      <c r="B1196" t="s">
        <v>1644</v>
      </c>
      <c r="C1196" t="s">
        <v>2467</v>
      </c>
      <c r="D1196" t="s">
        <v>1645</v>
      </c>
      <c r="E1196" s="2">
        <v>1971</v>
      </c>
    </row>
    <row r="1197" spans="1:5" x14ac:dyDescent="0.25">
      <c r="A1197" t="str">
        <f t="shared" si="19"/>
        <v>Capa</v>
      </c>
      <c r="B1197" t="s">
        <v>2331</v>
      </c>
      <c r="C1197" t="s">
        <v>13</v>
      </c>
      <c r="D1197" t="s">
        <v>269</v>
      </c>
      <c r="E1197" s="2">
        <v>1970</v>
      </c>
    </row>
    <row r="1198" spans="1:5" x14ac:dyDescent="0.25">
      <c r="A1198" t="str">
        <f t="shared" si="19"/>
        <v>Capa</v>
      </c>
      <c r="B1198" t="s">
        <v>2331</v>
      </c>
      <c r="C1198" t="s">
        <v>47</v>
      </c>
      <c r="D1198" t="s">
        <v>1646</v>
      </c>
      <c r="E1198" s="2">
        <v>1970</v>
      </c>
    </row>
    <row r="1199" spans="1:5" x14ac:dyDescent="0.25">
      <c r="A1199" t="str">
        <f t="shared" si="19"/>
        <v>Capa</v>
      </c>
      <c r="B1199" t="s">
        <v>2331</v>
      </c>
      <c r="C1199" t="s">
        <v>49</v>
      </c>
      <c r="D1199" t="s">
        <v>99</v>
      </c>
      <c r="E1199" s="2">
        <v>1970</v>
      </c>
    </row>
    <row r="1200" spans="1:5" x14ac:dyDescent="0.25">
      <c r="A1200" t="str">
        <f t="shared" si="19"/>
        <v>Capa</v>
      </c>
      <c r="B1200" t="s">
        <v>2332</v>
      </c>
      <c r="C1200" t="s">
        <v>8</v>
      </c>
      <c r="D1200" t="s">
        <v>1647</v>
      </c>
      <c r="E1200" s="2">
        <v>1968</v>
      </c>
    </row>
    <row r="1201" spans="1:5" x14ac:dyDescent="0.25">
      <c r="A1201" t="str">
        <f t="shared" si="19"/>
        <v>HEAD</v>
      </c>
      <c r="B1201" t="s">
        <v>1648</v>
      </c>
      <c r="C1201" t="s">
        <v>1649</v>
      </c>
      <c r="D1201" t="s">
        <v>1650</v>
      </c>
      <c r="E1201" s="2">
        <v>1965</v>
      </c>
    </row>
    <row r="1202" spans="1:5" x14ac:dyDescent="0.25">
      <c r="A1202" t="str">
        <f t="shared" si="19"/>
        <v>HEAD</v>
      </c>
      <c r="B1202" t="s">
        <v>1648</v>
      </c>
      <c r="C1202" t="s">
        <v>1549</v>
      </c>
      <c r="D1202" t="s">
        <v>1651</v>
      </c>
      <c r="E1202" s="2">
        <v>1965</v>
      </c>
    </row>
    <row r="1203" spans="1:5" x14ac:dyDescent="0.25">
      <c r="A1203" t="str">
        <f t="shared" si="19"/>
        <v>COVE</v>
      </c>
      <c r="B1203" t="s">
        <v>1652</v>
      </c>
      <c r="C1203" t="s">
        <v>1653</v>
      </c>
      <c r="D1203" t="s">
        <v>1654</v>
      </c>
      <c r="E1203" s="2">
        <v>1960</v>
      </c>
    </row>
    <row r="1204" spans="1:5" x14ac:dyDescent="0.25">
      <c r="A1204" t="str">
        <f t="shared" si="19"/>
        <v>Capa</v>
      </c>
      <c r="B1204" t="s">
        <v>2333</v>
      </c>
      <c r="C1204" t="s">
        <v>47</v>
      </c>
      <c r="D1204" t="s">
        <v>1655</v>
      </c>
      <c r="E1204" s="2">
        <v>1958</v>
      </c>
    </row>
    <row r="1205" spans="1:5" x14ac:dyDescent="0.25">
      <c r="A1205" t="str">
        <f t="shared" si="19"/>
        <v>Capa</v>
      </c>
      <c r="B1205" t="s">
        <v>2333</v>
      </c>
      <c r="C1205" t="s">
        <v>64</v>
      </c>
      <c r="D1205" t="s">
        <v>1656</v>
      </c>
      <c r="E1205" s="2">
        <v>1958</v>
      </c>
    </row>
    <row r="1206" spans="1:5" x14ac:dyDescent="0.25">
      <c r="A1206" t="str">
        <f t="shared" si="19"/>
        <v>Capa</v>
      </c>
      <c r="B1206" t="s">
        <v>2333</v>
      </c>
      <c r="C1206" t="s">
        <v>73</v>
      </c>
      <c r="D1206" t="s">
        <v>1657</v>
      </c>
      <c r="E1206" s="2">
        <v>1958</v>
      </c>
    </row>
    <row r="1207" spans="1:5" x14ac:dyDescent="0.25">
      <c r="A1207" t="str">
        <f t="shared" si="19"/>
        <v>Capa</v>
      </c>
      <c r="B1207" t="s">
        <v>2333</v>
      </c>
      <c r="C1207" t="s">
        <v>1351</v>
      </c>
      <c r="D1207" t="s">
        <v>1658</v>
      </c>
      <c r="E1207" s="2">
        <v>1958</v>
      </c>
    </row>
    <row r="1208" spans="1:5" x14ac:dyDescent="0.25">
      <c r="A1208" t="str">
        <f t="shared" si="19"/>
        <v xml:space="preserve">DIO </v>
      </c>
      <c r="B1208" t="s">
        <v>1659</v>
      </c>
      <c r="C1208" t="s">
        <v>37</v>
      </c>
      <c r="D1208" t="s">
        <v>1660</v>
      </c>
      <c r="E1208" s="2">
        <v>1957</v>
      </c>
    </row>
    <row r="1209" spans="1:5" x14ac:dyDescent="0.25">
      <c r="A1209" t="str">
        <f t="shared" si="19"/>
        <v xml:space="preserve">DIO </v>
      </c>
      <c r="B1209" t="s">
        <v>1659</v>
      </c>
      <c r="C1209" t="s">
        <v>2467</v>
      </c>
      <c r="D1209" t="s">
        <v>1661</v>
      </c>
      <c r="E1209" s="2">
        <v>1957</v>
      </c>
    </row>
    <row r="1210" spans="1:5" x14ac:dyDescent="0.25">
      <c r="A1210" t="str">
        <f t="shared" si="19"/>
        <v xml:space="preserve">DIO </v>
      </c>
      <c r="B1210" t="s">
        <v>1659</v>
      </c>
      <c r="C1210" t="s">
        <v>28</v>
      </c>
      <c r="D1210" t="s">
        <v>1662</v>
      </c>
      <c r="E1210" s="2">
        <v>1957</v>
      </c>
    </row>
    <row r="1211" spans="1:5" x14ac:dyDescent="0.25">
      <c r="A1211" t="str">
        <f t="shared" si="19"/>
        <v xml:space="preserve">DIO </v>
      </c>
      <c r="B1211" t="s">
        <v>1659</v>
      </c>
      <c r="C1211" t="s">
        <v>28</v>
      </c>
      <c r="D1211" t="s">
        <v>1663</v>
      </c>
      <c r="E1211" s="2">
        <v>1957</v>
      </c>
    </row>
    <row r="1212" spans="1:5" x14ac:dyDescent="0.25">
      <c r="A1212" t="str">
        <f t="shared" si="19"/>
        <v>Capa</v>
      </c>
      <c r="B1212" t="s">
        <v>2334</v>
      </c>
      <c r="C1212" t="s">
        <v>37</v>
      </c>
      <c r="D1212" t="s">
        <v>1664</v>
      </c>
      <c r="E1212" s="2">
        <v>1950</v>
      </c>
    </row>
    <row r="1213" spans="1:5" x14ac:dyDescent="0.25">
      <c r="A1213" t="str">
        <f t="shared" si="19"/>
        <v>Capa</v>
      </c>
      <c r="B1213" t="s">
        <v>2334</v>
      </c>
      <c r="C1213" t="s">
        <v>62</v>
      </c>
      <c r="D1213" t="s">
        <v>1665</v>
      </c>
      <c r="E1213" s="2">
        <v>1950</v>
      </c>
    </row>
    <row r="1214" spans="1:5" x14ac:dyDescent="0.25">
      <c r="A1214" t="str">
        <f t="shared" si="19"/>
        <v>IC T</v>
      </c>
      <c r="B1214" t="s">
        <v>1666</v>
      </c>
      <c r="C1214" t="s">
        <v>149</v>
      </c>
      <c r="D1214" t="s">
        <v>1667</v>
      </c>
      <c r="E1214" s="2">
        <v>1941</v>
      </c>
    </row>
    <row r="1215" spans="1:5" x14ac:dyDescent="0.25">
      <c r="A1215" t="str">
        <f t="shared" si="19"/>
        <v>IC T</v>
      </c>
      <c r="B1215" t="s">
        <v>1666</v>
      </c>
      <c r="C1215" t="s">
        <v>149</v>
      </c>
      <c r="D1215" t="s">
        <v>1668</v>
      </c>
      <c r="E1215" s="2">
        <v>1941</v>
      </c>
    </row>
    <row r="1216" spans="1:5" x14ac:dyDescent="0.25">
      <c r="A1216" t="str">
        <f t="shared" si="19"/>
        <v>IC T</v>
      </c>
      <c r="B1216" t="s">
        <v>1666</v>
      </c>
      <c r="C1216" t="s">
        <v>1669</v>
      </c>
      <c r="D1216" t="s">
        <v>1670</v>
      </c>
      <c r="E1216" s="2">
        <v>1941</v>
      </c>
    </row>
    <row r="1217" spans="1:5" x14ac:dyDescent="0.25">
      <c r="A1217" t="str">
        <f t="shared" si="19"/>
        <v>FUSE</v>
      </c>
      <c r="B1217" t="s">
        <v>1671</v>
      </c>
      <c r="C1217" t="s">
        <v>1672</v>
      </c>
      <c r="D1217" t="s">
        <v>1673</v>
      </c>
      <c r="E1217" s="2">
        <v>1935</v>
      </c>
    </row>
    <row r="1218" spans="1:5" x14ac:dyDescent="0.25">
      <c r="A1218" t="str">
        <f t="shared" si="19"/>
        <v xml:space="preserve">RST </v>
      </c>
      <c r="B1218" t="s">
        <v>1674</v>
      </c>
      <c r="C1218" t="s">
        <v>207</v>
      </c>
      <c r="D1218" t="s">
        <v>649</v>
      </c>
      <c r="E1218" s="2">
        <v>1931</v>
      </c>
    </row>
    <row r="1219" spans="1:5" x14ac:dyDescent="0.25">
      <c r="A1219" t="str">
        <f t="shared" si="19"/>
        <v>Diod</v>
      </c>
      <c r="B1219" t="s">
        <v>2455</v>
      </c>
      <c r="C1219" t="s">
        <v>37</v>
      </c>
      <c r="D1219" t="s">
        <v>1675</v>
      </c>
      <c r="E1219" s="2">
        <v>1926</v>
      </c>
    </row>
    <row r="1220" spans="1:5" x14ac:dyDescent="0.25">
      <c r="A1220" t="str">
        <f t="shared" si="19"/>
        <v>Diod</v>
      </c>
      <c r="B1220" t="s">
        <v>2455</v>
      </c>
      <c r="C1220" t="s">
        <v>2467</v>
      </c>
      <c r="D1220" t="s">
        <v>1676</v>
      </c>
      <c r="E1220" s="2">
        <v>1926</v>
      </c>
    </row>
    <row r="1221" spans="1:5" x14ac:dyDescent="0.25">
      <c r="A1221" t="str">
        <f t="shared" si="19"/>
        <v>Diod</v>
      </c>
      <c r="B1221" t="s">
        <v>2455</v>
      </c>
      <c r="C1221" t="s">
        <v>1292</v>
      </c>
      <c r="D1221" t="s">
        <v>1677</v>
      </c>
      <c r="E1221" s="2">
        <v>1926</v>
      </c>
    </row>
    <row r="1222" spans="1:5" x14ac:dyDescent="0.25">
      <c r="A1222" t="str">
        <f t="shared" ref="A1222:A1285" si="20">LEFT(B1222,4)</f>
        <v xml:space="preserve">RST </v>
      </c>
      <c r="B1222" t="s">
        <v>1678</v>
      </c>
      <c r="C1222" t="s">
        <v>13</v>
      </c>
      <c r="D1222" t="s">
        <v>1679</v>
      </c>
      <c r="E1222" s="2">
        <v>1926</v>
      </c>
    </row>
    <row r="1223" spans="1:5" x14ac:dyDescent="0.25">
      <c r="A1223" t="str">
        <f t="shared" si="20"/>
        <v xml:space="preserve">RST </v>
      </c>
      <c r="B1223" t="s">
        <v>1678</v>
      </c>
      <c r="C1223" t="s">
        <v>13</v>
      </c>
      <c r="D1223" t="s">
        <v>1680</v>
      </c>
      <c r="E1223" s="2">
        <v>1926</v>
      </c>
    </row>
    <row r="1224" spans="1:5" x14ac:dyDescent="0.25">
      <c r="A1224" t="str">
        <f t="shared" si="20"/>
        <v xml:space="preserve">RST </v>
      </c>
      <c r="B1224" t="s">
        <v>1678</v>
      </c>
      <c r="C1224" t="s">
        <v>1681</v>
      </c>
      <c r="D1224" t="s">
        <v>1682</v>
      </c>
      <c r="E1224" s="2">
        <v>1926</v>
      </c>
    </row>
    <row r="1225" spans="1:5" x14ac:dyDescent="0.25">
      <c r="A1225" t="str">
        <f t="shared" si="20"/>
        <v xml:space="preserve">RST </v>
      </c>
      <c r="B1225" t="s">
        <v>1678</v>
      </c>
      <c r="C1225" t="s">
        <v>1683</v>
      </c>
      <c r="D1225" t="s">
        <v>1684</v>
      </c>
      <c r="E1225" s="2">
        <v>1926</v>
      </c>
    </row>
    <row r="1226" spans="1:5" x14ac:dyDescent="0.25">
      <c r="A1226" t="str">
        <f t="shared" si="20"/>
        <v>Capa</v>
      </c>
      <c r="B1226" t="s">
        <v>2335</v>
      </c>
      <c r="C1226" t="s">
        <v>176</v>
      </c>
      <c r="D1226" t="s">
        <v>1685</v>
      </c>
      <c r="E1226" s="2">
        <v>1923</v>
      </c>
    </row>
    <row r="1227" spans="1:5" x14ac:dyDescent="0.25">
      <c r="A1227" t="str">
        <f t="shared" si="20"/>
        <v>Capa</v>
      </c>
      <c r="B1227" t="s">
        <v>2335</v>
      </c>
      <c r="C1227" t="s">
        <v>176</v>
      </c>
      <c r="D1227" t="s">
        <v>1686</v>
      </c>
      <c r="E1227" s="2">
        <v>1923</v>
      </c>
    </row>
    <row r="1228" spans="1:5" x14ac:dyDescent="0.25">
      <c r="A1228" t="str">
        <f t="shared" si="20"/>
        <v>Capa</v>
      </c>
      <c r="B1228" t="s">
        <v>2335</v>
      </c>
      <c r="C1228" t="s">
        <v>176</v>
      </c>
      <c r="D1228" t="s">
        <v>1687</v>
      </c>
      <c r="E1228" s="2">
        <v>1923</v>
      </c>
    </row>
    <row r="1229" spans="1:5" x14ac:dyDescent="0.25">
      <c r="A1229" t="str">
        <f t="shared" si="20"/>
        <v>Capa</v>
      </c>
      <c r="B1229" t="s">
        <v>2335</v>
      </c>
      <c r="C1229" t="s">
        <v>249</v>
      </c>
      <c r="D1229" t="s">
        <v>1688</v>
      </c>
      <c r="E1229" s="2">
        <v>1923</v>
      </c>
    </row>
    <row r="1230" spans="1:5" x14ac:dyDescent="0.25">
      <c r="A1230" t="str">
        <f t="shared" si="20"/>
        <v>Capa</v>
      </c>
      <c r="B1230" t="s">
        <v>2335</v>
      </c>
      <c r="C1230" t="s">
        <v>1205</v>
      </c>
      <c r="D1230" t="s">
        <v>1689</v>
      </c>
      <c r="E1230" s="2">
        <v>1923</v>
      </c>
    </row>
    <row r="1231" spans="1:5" x14ac:dyDescent="0.25">
      <c r="A1231" t="str">
        <f t="shared" si="20"/>
        <v>Capa</v>
      </c>
      <c r="B1231" t="s">
        <v>2335</v>
      </c>
      <c r="C1231" t="s">
        <v>1205</v>
      </c>
      <c r="D1231" t="s">
        <v>1690</v>
      </c>
      <c r="E1231" s="2">
        <v>1923</v>
      </c>
    </row>
    <row r="1232" spans="1:5" x14ac:dyDescent="0.25">
      <c r="A1232" t="str">
        <f t="shared" si="20"/>
        <v>Capa</v>
      </c>
      <c r="B1232" t="s">
        <v>2335</v>
      </c>
      <c r="C1232" t="s">
        <v>1593</v>
      </c>
      <c r="D1232" t="s">
        <v>1691</v>
      </c>
      <c r="E1232" s="2">
        <v>1923</v>
      </c>
    </row>
    <row r="1233" spans="1:5" x14ac:dyDescent="0.25">
      <c r="A1233" t="str">
        <f t="shared" si="20"/>
        <v>Capa</v>
      </c>
      <c r="B1233" t="s">
        <v>2335</v>
      </c>
      <c r="C1233" t="s">
        <v>1208</v>
      </c>
      <c r="D1233" t="s">
        <v>1689</v>
      </c>
      <c r="E1233" s="2">
        <v>1923</v>
      </c>
    </row>
    <row r="1234" spans="1:5" x14ac:dyDescent="0.25">
      <c r="A1234" t="str">
        <f t="shared" si="20"/>
        <v>Capa</v>
      </c>
      <c r="B1234" t="s">
        <v>2335</v>
      </c>
      <c r="C1234" t="s">
        <v>1208</v>
      </c>
      <c r="D1234" t="s">
        <v>1692</v>
      </c>
      <c r="E1234" s="2">
        <v>1923</v>
      </c>
    </row>
    <row r="1235" spans="1:5" x14ac:dyDescent="0.25">
      <c r="A1235" t="str">
        <f t="shared" si="20"/>
        <v>GLOV</v>
      </c>
      <c r="B1235" t="s">
        <v>1693</v>
      </c>
      <c r="C1235" t="s">
        <v>1694</v>
      </c>
      <c r="D1235" t="s">
        <v>1695</v>
      </c>
      <c r="E1235" s="2">
        <v>1915</v>
      </c>
    </row>
    <row r="1236" spans="1:5" x14ac:dyDescent="0.25">
      <c r="A1236" t="str">
        <f t="shared" si="20"/>
        <v xml:space="preserve">RST </v>
      </c>
      <c r="B1236" t="s">
        <v>1696</v>
      </c>
      <c r="C1236" t="s">
        <v>5</v>
      </c>
      <c r="D1236" t="s">
        <v>1697</v>
      </c>
      <c r="E1236" s="2">
        <v>1913</v>
      </c>
    </row>
    <row r="1237" spans="1:5" x14ac:dyDescent="0.25">
      <c r="A1237" t="str">
        <f t="shared" si="20"/>
        <v xml:space="preserve">RST </v>
      </c>
      <c r="B1237" t="s">
        <v>1696</v>
      </c>
      <c r="C1237" t="s">
        <v>320</v>
      </c>
      <c r="D1237" t="s">
        <v>1698</v>
      </c>
      <c r="E1237" s="2">
        <v>1913</v>
      </c>
    </row>
    <row r="1238" spans="1:5" x14ac:dyDescent="0.25">
      <c r="A1238" t="str">
        <f t="shared" si="20"/>
        <v>Capa</v>
      </c>
      <c r="B1238" t="s">
        <v>2336</v>
      </c>
      <c r="C1238" t="s">
        <v>13</v>
      </c>
      <c r="D1238" t="s">
        <v>1699</v>
      </c>
      <c r="E1238" s="2">
        <v>1912</v>
      </c>
    </row>
    <row r="1239" spans="1:5" x14ac:dyDescent="0.25">
      <c r="A1239" t="str">
        <f t="shared" si="20"/>
        <v>FUSE</v>
      </c>
      <c r="B1239" t="s">
        <v>1700</v>
      </c>
      <c r="C1239" t="s">
        <v>57</v>
      </c>
      <c r="D1239" t="s">
        <v>1701</v>
      </c>
      <c r="E1239" s="2">
        <v>1902</v>
      </c>
    </row>
    <row r="1240" spans="1:5" x14ac:dyDescent="0.25">
      <c r="A1240" t="str">
        <f t="shared" si="20"/>
        <v>ICMD</v>
      </c>
      <c r="B1240" t="s">
        <v>2391</v>
      </c>
      <c r="C1240" t="s">
        <v>1702</v>
      </c>
      <c r="D1240" t="s">
        <v>1703</v>
      </c>
      <c r="E1240" s="2">
        <v>1902</v>
      </c>
    </row>
    <row r="1241" spans="1:5" x14ac:dyDescent="0.25">
      <c r="A1241" t="str">
        <f t="shared" si="20"/>
        <v>ICMD</v>
      </c>
      <c r="B1241" t="s">
        <v>2391</v>
      </c>
      <c r="C1241" t="s">
        <v>1704</v>
      </c>
      <c r="D1241" t="s">
        <v>1705</v>
      </c>
      <c r="E1241" s="2">
        <v>1902</v>
      </c>
    </row>
    <row r="1242" spans="1:5" x14ac:dyDescent="0.25">
      <c r="A1242" t="str">
        <f t="shared" si="20"/>
        <v>ICMD</v>
      </c>
      <c r="B1242" t="s">
        <v>2391</v>
      </c>
      <c r="C1242" t="s">
        <v>1704</v>
      </c>
      <c r="D1242" t="s">
        <v>1706</v>
      </c>
      <c r="E1242" s="2">
        <v>1902</v>
      </c>
    </row>
    <row r="1243" spans="1:5" x14ac:dyDescent="0.25">
      <c r="A1243" t="str">
        <f t="shared" si="20"/>
        <v xml:space="preserve">RST </v>
      </c>
      <c r="B1243" t="s">
        <v>1707</v>
      </c>
      <c r="C1243" t="s">
        <v>13</v>
      </c>
      <c r="D1243" t="s">
        <v>1708</v>
      </c>
      <c r="E1243" s="2">
        <v>1902</v>
      </c>
    </row>
    <row r="1244" spans="1:5" x14ac:dyDescent="0.25">
      <c r="A1244" t="str">
        <f t="shared" si="20"/>
        <v xml:space="preserve">RST </v>
      </c>
      <c r="B1244" t="s">
        <v>1709</v>
      </c>
      <c r="C1244" t="s">
        <v>89</v>
      </c>
      <c r="D1244" t="s">
        <v>1710</v>
      </c>
      <c r="E1244" s="2">
        <v>1888</v>
      </c>
    </row>
    <row r="1245" spans="1:5" x14ac:dyDescent="0.25">
      <c r="A1245" t="str">
        <f t="shared" si="20"/>
        <v xml:space="preserve">RST </v>
      </c>
      <c r="B1245" t="s">
        <v>1709</v>
      </c>
      <c r="C1245" t="s">
        <v>89</v>
      </c>
      <c r="D1245" t="s">
        <v>1711</v>
      </c>
      <c r="E1245" s="2">
        <v>1888</v>
      </c>
    </row>
    <row r="1246" spans="1:5" x14ac:dyDescent="0.25">
      <c r="A1246" t="str">
        <f t="shared" si="20"/>
        <v xml:space="preserve">RST </v>
      </c>
      <c r="B1246" t="s">
        <v>1712</v>
      </c>
      <c r="C1246" t="s">
        <v>13</v>
      </c>
      <c r="D1246" t="s">
        <v>1713</v>
      </c>
      <c r="E1246" s="2">
        <v>1883</v>
      </c>
    </row>
    <row r="1247" spans="1:5" x14ac:dyDescent="0.25">
      <c r="A1247" t="str">
        <f t="shared" si="20"/>
        <v xml:space="preserve">RST </v>
      </c>
      <c r="B1247" t="s">
        <v>1712</v>
      </c>
      <c r="C1247" t="s">
        <v>37</v>
      </c>
      <c r="D1247" t="s">
        <v>1714</v>
      </c>
      <c r="E1247" s="2">
        <v>1883</v>
      </c>
    </row>
    <row r="1248" spans="1:5" x14ac:dyDescent="0.25">
      <c r="A1248" t="str">
        <f t="shared" si="20"/>
        <v xml:space="preserve">RST </v>
      </c>
      <c r="B1248" t="s">
        <v>1712</v>
      </c>
      <c r="C1248" t="s">
        <v>5</v>
      </c>
      <c r="D1248" t="s">
        <v>1715</v>
      </c>
      <c r="E1248" s="2">
        <v>1883</v>
      </c>
    </row>
    <row r="1249" spans="1:5" x14ac:dyDescent="0.25">
      <c r="A1249" t="str">
        <f t="shared" si="20"/>
        <v xml:space="preserve">RST </v>
      </c>
      <c r="B1249" t="s">
        <v>1712</v>
      </c>
      <c r="C1249" t="s">
        <v>320</v>
      </c>
      <c r="D1249" t="s">
        <v>1716</v>
      </c>
      <c r="E1249" s="2">
        <v>1883</v>
      </c>
    </row>
    <row r="1250" spans="1:5" x14ac:dyDescent="0.25">
      <c r="A1250" t="str">
        <f t="shared" si="20"/>
        <v xml:space="preserve">RST </v>
      </c>
      <c r="B1250" t="s">
        <v>1712</v>
      </c>
      <c r="C1250" t="s">
        <v>10</v>
      </c>
      <c r="D1250" t="s">
        <v>1717</v>
      </c>
      <c r="E1250" s="2">
        <v>1883</v>
      </c>
    </row>
    <row r="1251" spans="1:5" x14ac:dyDescent="0.25">
      <c r="A1251" t="str">
        <f t="shared" si="20"/>
        <v xml:space="preserve">RST </v>
      </c>
      <c r="B1251" t="s">
        <v>1712</v>
      </c>
      <c r="C1251" t="s">
        <v>89</v>
      </c>
      <c r="D1251" t="s">
        <v>1718</v>
      </c>
      <c r="E1251" s="2">
        <v>1883</v>
      </c>
    </row>
    <row r="1252" spans="1:5" x14ac:dyDescent="0.25">
      <c r="A1252" t="str">
        <f t="shared" si="20"/>
        <v>Capa</v>
      </c>
      <c r="B1252" t="s">
        <v>2337</v>
      </c>
      <c r="C1252" t="s">
        <v>13</v>
      </c>
      <c r="D1252" t="s">
        <v>1719</v>
      </c>
      <c r="E1252" s="2">
        <v>1876</v>
      </c>
    </row>
    <row r="1253" spans="1:5" x14ac:dyDescent="0.25">
      <c r="A1253" t="str">
        <f t="shared" si="20"/>
        <v>Capa</v>
      </c>
      <c r="B1253" t="s">
        <v>2337</v>
      </c>
      <c r="C1253" t="s">
        <v>47</v>
      </c>
      <c r="D1253" t="s">
        <v>1720</v>
      </c>
      <c r="E1253" s="2">
        <v>1876</v>
      </c>
    </row>
    <row r="1254" spans="1:5" x14ac:dyDescent="0.25">
      <c r="A1254" t="str">
        <f t="shared" si="20"/>
        <v>Diod</v>
      </c>
      <c r="B1254" t="s">
        <v>2456</v>
      </c>
      <c r="C1254" t="s">
        <v>61</v>
      </c>
      <c r="D1254" t="s">
        <v>1721</v>
      </c>
      <c r="E1254" s="2">
        <v>1860</v>
      </c>
    </row>
    <row r="1255" spans="1:5" x14ac:dyDescent="0.25">
      <c r="A1255" t="str">
        <f t="shared" si="20"/>
        <v xml:space="preserve">NTC </v>
      </c>
      <c r="B1255" t="s">
        <v>1722</v>
      </c>
      <c r="C1255" t="s">
        <v>45</v>
      </c>
      <c r="D1255" t="s">
        <v>1723</v>
      </c>
      <c r="E1255" s="2">
        <v>1860</v>
      </c>
    </row>
    <row r="1256" spans="1:5" x14ac:dyDescent="0.25">
      <c r="A1256" t="str">
        <f t="shared" si="20"/>
        <v xml:space="preserve">RST </v>
      </c>
      <c r="B1256" t="s">
        <v>1724</v>
      </c>
      <c r="C1256" t="s">
        <v>320</v>
      </c>
      <c r="D1256" t="s">
        <v>858</v>
      </c>
      <c r="E1256" s="2">
        <v>1856</v>
      </c>
    </row>
    <row r="1257" spans="1:5" x14ac:dyDescent="0.25">
      <c r="A1257" t="str">
        <f t="shared" si="20"/>
        <v xml:space="preserve">RST </v>
      </c>
      <c r="B1257" t="s">
        <v>1724</v>
      </c>
      <c r="C1257" t="s">
        <v>207</v>
      </c>
      <c r="D1257" t="s">
        <v>1725</v>
      </c>
      <c r="E1257" s="2">
        <v>1856</v>
      </c>
    </row>
    <row r="1258" spans="1:5" x14ac:dyDescent="0.25">
      <c r="A1258" t="str">
        <f t="shared" si="20"/>
        <v>MA-1</v>
      </c>
      <c r="B1258" t="s">
        <v>1726</v>
      </c>
      <c r="C1258" t="s">
        <v>47</v>
      </c>
      <c r="D1258" t="s">
        <v>1727</v>
      </c>
      <c r="E1258" s="2">
        <v>1848</v>
      </c>
    </row>
    <row r="1259" spans="1:5" x14ac:dyDescent="0.25">
      <c r="A1259" t="str">
        <f t="shared" si="20"/>
        <v>MA-1</v>
      </c>
      <c r="B1259" t="s">
        <v>1726</v>
      </c>
      <c r="C1259" t="s">
        <v>64</v>
      </c>
      <c r="D1259" t="s">
        <v>1728</v>
      </c>
      <c r="E1259" s="2">
        <v>1848</v>
      </c>
    </row>
    <row r="1260" spans="1:5" x14ac:dyDescent="0.25">
      <c r="A1260" t="str">
        <f t="shared" si="20"/>
        <v xml:space="preserve">OPT </v>
      </c>
      <c r="B1260" t="s">
        <v>1729</v>
      </c>
      <c r="C1260" t="s">
        <v>23</v>
      </c>
      <c r="D1260" t="s">
        <v>1730</v>
      </c>
      <c r="E1260" s="2">
        <v>1844</v>
      </c>
    </row>
    <row r="1261" spans="1:5" x14ac:dyDescent="0.25">
      <c r="A1261" t="str">
        <f t="shared" si="20"/>
        <v xml:space="preserve">OPT </v>
      </c>
      <c r="B1261" t="s">
        <v>1729</v>
      </c>
      <c r="C1261" t="s">
        <v>23</v>
      </c>
      <c r="D1261" t="s">
        <v>1731</v>
      </c>
      <c r="E1261" s="2">
        <v>1844</v>
      </c>
    </row>
    <row r="1262" spans="1:5" x14ac:dyDescent="0.25">
      <c r="A1262" t="str">
        <f t="shared" si="20"/>
        <v xml:space="preserve">OPT </v>
      </c>
      <c r="B1262" t="s">
        <v>1729</v>
      </c>
      <c r="C1262" t="s">
        <v>23</v>
      </c>
      <c r="D1262" t="s">
        <v>1732</v>
      </c>
      <c r="E1262" s="2">
        <v>1844</v>
      </c>
    </row>
    <row r="1263" spans="1:5" x14ac:dyDescent="0.25">
      <c r="A1263" t="str">
        <f t="shared" si="20"/>
        <v xml:space="preserve">OPT </v>
      </c>
      <c r="B1263" t="s">
        <v>1729</v>
      </c>
      <c r="C1263" t="s">
        <v>23</v>
      </c>
      <c r="D1263" t="s">
        <v>1733</v>
      </c>
      <c r="E1263" s="2">
        <v>1844</v>
      </c>
    </row>
    <row r="1264" spans="1:5" x14ac:dyDescent="0.25">
      <c r="A1264" t="str">
        <f t="shared" si="20"/>
        <v>Diod</v>
      </c>
      <c r="B1264" t="s">
        <v>2457</v>
      </c>
      <c r="C1264" t="s">
        <v>61</v>
      </c>
      <c r="D1264" t="s">
        <v>1734</v>
      </c>
      <c r="E1264" s="2">
        <v>1842</v>
      </c>
    </row>
    <row r="1265" spans="1:5" x14ac:dyDescent="0.25">
      <c r="A1265" t="str">
        <f t="shared" si="20"/>
        <v>Diod</v>
      </c>
      <c r="B1265" t="s">
        <v>2457</v>
      </c>
      <c r="C1265" t="s">
        <v>61</v>
      </c>
      <c r="D1265" t="s">
        <v>1735</v>
      </c>
      <c r="E1265" s="2">
        <v>1842</v>
      </c>
    </row>
    <row r="1266" spans="1:5" x14ac:dyDescent="0.25">
      <c r="A1266" t="str">
        <f t="shared" si="20"/>
        <v>Capa</v>
      </c>
      <c r="B1266" t="s">
        <v>2338</v>
      </c>
      <c r="C1266" t="s">
        <v>45</v>
      </c>
      <c r="D1266" t="s">
        <v>1736</v>
      </c>
      <c r="E1266" s="2">
        <v>1833</v>
      </c>
    </row>
    <row r="1267" spans="1:5" x14ac:dyDescent="0.25">
      <c r="A1267" t="str">
        <f t="shared" si="20"/>
        <v>Capa</v>
      </c>
      <c r="B1267" t="s">
        <v>2338</v>
      </c>
      <c r="C1267" t="s">
        <v>45</v>
      </c>
      <c r="D1267" t="s">
        <v>1737</v>
      </c>
      <c r="E1267" s="2">
        <v>1833</v>
      </c>
    </row>
    <row r="1268" spans="1:5" x14ac:dyDescent="0.25">
      <c r="A1268" t="str">
        <f t="shared" si="20"/>
        <v xml:space="preserve">MOS </v>
      </c>
      <c r="B1268" t="s">
        <v>1738</v>
      </c>
      <c r="C1268" t="s">
        <v>28</v>
      </c>
      <c r="D1268" t="s">
        <v>1739</v>
      </c>
      <c r="E1268" s="2">
        <v>1832</v>
      </c>
    </row>
    <row r="1269" spans="1:5" x14ac:dyDescent="0.25">
      <c r="A1269" t="str">
        <f t="shared" si="20"/>
        <v>Capa</v>
      </c>
      <c r="B1269" t="s">
        <v>2339</v>
      </c>
      <c r="C1269" t="s">
        <v>49</v>
      </c>
      <c r="D1269" t="s">
        <v>1740</v>
      </c>
      <c r="E1269" s="2">
        <v>1826</v>
      </c>
    </row>
    <row r="1270" spans="1:5" x14ac:dyDescent="0.25">
      <c r="A1270" t="str">
        <f t="shared" si="20"/>
        <v>Capa</v>
      </c>
      <c r="B1270" t="s">
        <v>2340</v>
      </c>
      <c r="C1270" t="s">
        <v>47</v>
      </c>
      <c r="D1270" t="s">
        <v>1741</v>
      </c>
      <c r="E1270" s="2">
        <v>1820</v>
      </c>
    </row>
    <row r="1271" spans="1:5" x14ac:dyDescent="0.25">
      <c r="A1271" t="str">
        <f t="shared" si="20"/>
        <v>FUSE</v>
      </c>
      <c r="B1271" t="s">
        <v>1742</v>
      </c>
      <c r="C1271" t="s">
        <v>1743</v>
      </c>
      <c r="D1271" t="s">
        <v>1744</v>
      </c>
      <c r="E1271" s="2">
        <v>1814</v>
      </c>
    </row>
    <row r="1272" spans="1:5" x14ac:dyDescent="0.25">
      <c r="A1272" t="str">
        <f t="shared" si="20"/>
        <v>FUSE</v>
      </c>
      <c r="B1272" t="s">
        <v>1742</v>
      </c>
      <c r="C1272" t="s">
        <v>507</v>
      </c>
      <c r="D1272" t="s">
        <v>1744</v>
      </c>
      <c r="E1272" s="2">
        <v>1814</v>
      </c>
    </row>
    <row r="1273" spans="1:5" x14ac:dyDescent="0.25">
      <c r="A1273" t="str">
        <f t="shared" si="20"/>
        <v>FUSE</v>
      </c>
      <c r="B1273" t="s">
        <v>1742</v>
      </c>
      <c r="C1273" t="s">
        <v>1745</v>
      </c>
      <c r="D1273" t="s">
        <v>1746</v>
      </c>
      <c r="E1273" s="2">
        <v>1814</v>
      </c>
    </row>
    <row r="1274" spans="1:5" x14ac:dyDescent="0.25">
      <c r="A1274" t="str">
        <f t="shared" si="20"/>
        <v>Capa</v>
      </c>
      <c r="B1274" t="s">
        <v>2341</v>
      </c>
      <c r="C1274" t="s">
        <v>64</v>
      </c>
      <c r="D1274" t="s">
        <v>1747</v>
      </c>
      <c r="E1274" s="2">
        <v>1805</v>
      </c>
    </row>
    <row r="1275" spans="1:5" x14ac:dyDescent="0.25">
      <c r="A1275" t="str">
        <f t="shared" si="20"/>
        <v>Capa</v>
      </c>
      <c r="B1275" t="s">
        <v>2341</v>
      </c>
      <c r="C1275" t="s">
        <v>64</v>
      </c>
      <c r="D1275" t="s">
        <v>1748</v>
      </c>
      <c r="E1275" s="2">
        <v>1805</v>
      </c>
    </row>
    <row r="1276" spans="1:5" x14ac:dyDescent="0.25">
      <c r="A1276" t="str">
        <f t="shared" si="20"/>
        <v xml:space="preserve">RST </v>
      </c>
      <c r="B1276" t="s">
        <v>1749</v>
      </c>
      <c r="C1276" t="s">
        <v>13</v>
      </c>
      <c r="D1276" t="s">
        <v>1750</v>
      </c>
      <c r="E1276" s="2">
        <v>1801</v>
      </c>
    </row>
    <row r="1277" spans="1:5" x14ac:dyDescent="0.25">
      <c r="A1277" t="str">
        <f t="shared" si="20"/>
        <v xml:space="preserve">RST </v>
      </c>
      <c r="B1277" t="s">
        <v>1751</v>
      </c>
      <c r="C1277" t="s">
        <v>1752</v>
      </c>
      <c r="D1277" t="s">
        <v>1753</v>
      </c>
      <c r="E1277" s="2">
        <v>1800</v>
      </c>
    </row>
    <row r="1278" spans="1:5" x14ac:dyDescent="0.25">
      <c r="A1278" t="str">
        <f t="shared" si="20"/>
        <v xml:space="preserve">RST </v>
      </c>
      <c r="B1278" t="s">
        <v>1751</v>
      </c>
      <c r="C1278" t="s">
        <v>1752</v>
      </c>
      <c r="D1278" t="s">
        <v>1754</v>
      </c>
      <c r="E1278" s="2">
        <v>1800</v>
      </c>
    </row>
    <row r="1279" spans="1:5" x14ac:dyDescent="0.25">
      <c r="A1279" t="str">
        <f t="shared" si="20"/>
        <v>XTAL</v>
      </c>
      <c r="B1279" t="s">
        <v>1755</v>
      </c>
      <c r="C1279" t="s">
        <v>1151</v>
      </c>
      <c r="D1279" t="s">
        <v>1756</v>
      </c>
      <c r="E1279" s="2">
        <v>1793</v>
      </c>
    </row>
    <row r="1280" spans="1:5" x14ac:dyDescent="0.25">
      <c r="A1280" t="str">
        <f t="shared" si="20"/>
        <v xml:space="preserve">MOS </v>
      </c>
      <c r="B1280" t="s">
        <v>1757</v>
      </c>
      <c r="C1280" t="s">
        <v>28</v>
      </c>
      <c r="D1280" t="s">
        <v>1758</v>
      </c>
      <c r="E1280" s="2">
        <v>1785</v>
      </c>
    </row>
    <row r="1281" spans="1:5" x14ac:dyDescent="0.25">
      <c r="A1281" t="str">
        <f t="shared" si="20"/>
        <v xml:space="preserve">MOS </v>
      </c>
      <c r="B1281" t="s">
        <v>1757</v>
      </c>
      <c r="C1281" t="s">
        <v>28</v>
      </c>
      <c r="D1281" t="s">
        <v>1759</v>
      </c>
      <c r="E1281" s="2">
        <v>1785</v>
      </c>
    </row>
    <row r="1282" spans="1:5" x14ac:dyDescent="0.25">
      <c r="A1282" t="str">
        <f t="shared" si="20"/>
        <v>Capa</v>
      </c>
      <c r="B1282" t="s">
        <v>2342</v>
      </c>
      <c r="C1282" t="s">
        <v>45</v>
      </c>
      <c r="D1282" t="s">
        <v>1760</v>
      </c>
      <c r="E1282" s="2">
        <v>1784</v>
      </c>
    </row>
    <row r="1283" spans="1:5" x14ac:dyDescent="0.25">
      <c r="A1283" t="str">
        <f t="shared" si="20"/>
        <v xml:space="preserve">RST </v>
      </c>
      <c r="B1283" t="s">
        <v>1761</v>
      </c>
      <c r="C1283" t="s">
        <v>13</v>
      </c>
      <c r="D1283" t="s">
        <v>1762</v>
      </c>
      <c r="E1283" s="2">
        <v>1783</v>
      </c>
    </row>
    <row r="1284" spans="1:5" x14ac:dyDescent="0.25">
      <c r="A1284" t="str">
        <f t="shared" si="20"/>
        <v xml:space="preserve">RST </v>
      </c>
      <c r="B1284" t="s">
        <v>1761</v>
      </c>
      <c r="C1284" t="s">
        <v>5</v>
      </c>
      <c r="D1284" t="s">
        <v>1763</v>
      </c>
      <c r="E1284" s="2">
        <v>1783</v>
      </c>
    </row>
    <row r="1285" spans="1:5" x14ac:dyDescent="0.25">
      <c r="A1285" t="str">
        <f t="shared" si="20"/>
        <v xml:space="preserve">RST </v>
      </c>
      <c r="B1285" t="s">
        <v>1761</v>
      </c>
      <c r="C1285" t="s">
        <v>5</v>
      </c>
      <c r="D1285" t="s">
        <v>1764</v>
      </c>
      <c r="E1285" s="2">
        <v>1783</v>
      </c>
    </row>
    <row r="1286" spans="1:5" x14ac:dyDescent="0.25">
      <c r="A1286" t="str">
        <f t="shared" ref="A1286:A1349" si="21">LEFT(B1286,4)</f>
        <v xml:space="preserve">RST </v>
      </c>
      <c r="B1286" t="s">
        <v>1761</v>
      </c>
      <c r="C1286" t="s">
        <v>10</v>
      </c>
      <c r="D1286" t="s">
        <v>1765</v>
      </c>
      <c r="E1286" s="2">
        <v>1783</v>
      </c>
    </row>
    <row r="1287" spans="1:5" x14ac:dyDescent="0.25">
      <c r="A1287" t="str">
        <f t="shared" si="21"/>
        <v>JUMP</v>
      </c>
      <c r="B1287" t="s">
        <v>1766</v>
      </c>
      <c r="C1287" t="s">
        <v>1233</v>
      </c>
      <c r="D1287" t="s">
        <v>1767</v>
      </c>
      <c r="E1287" s="2">
        <v>1779</v>
      </c>
    </row>
    <row r="1288" spans="1:5" x14ac:dyDescent="0.25">
      <c r="A1288" t="str">
        <f t="shared" si="21"/>
        <v>Capa</v>
      </c>
      <c r="B1288" t="s">
        <v>2343</v>
      </c>
      <c r="C1288" t="s">
        <v>45</v>
      </c>
      <c r="D1288" t="s">
        <v>1768</v>
      </c>
      <c r="E1288" s="2">
        <v>1766</v>
      </c>
    </row>
    <row r="1289" spans="1:5" x14ac:dyDescent="0.25">
      <c r="A1289" t="str">
        <f t="shared" si="21"/>
        <v>IC I</v>
      </c>
      <c r="B1289" t="s">
        <v>1769</v>
      </c>
      <c r="C1289" t="s">
        <v>149</v>
      </c>
      <c r="D1289" t="s">
        <v>1770</v>
      </c>
      <c r="E1289" s="2">
        <v>1750</v>
      </c>
    </row>
    <row r="1290" spans="1:5" x14ac:dyDescent="0.25">
      <c r="A1290" t="str">
        <f t="shared" si="21"/>
        <v>IC I</v>
      </c>
      <c r="B1290" t="s">
        <v>1769</v>
      </c>
      <c r="C1290" t="s">
        <v>149</v>
      </c>
      <c r="D1290" t="s">
        <v>1771</v>
      </c>
      <c r="E1290" s="2">
        <v>1750</v>
      </c>
    </row>
    <row r="1291" spans="1:5" x14ac:dyDescent="0.25">
      <c r="A1291" t="str">
        <f t="shared" si="21"/>
        <v xml:space="preserve">RST </v>
      </c>
      <c r="B1291" t="s">
        <v>1772</v>
      </c>
      <c r="C1291" t="s">
        <v>320</v>
      </c>
      <c r="D1291" t="s">
        <v>1773</v>
      </c>
      <c r="E1291" s="2">
        <v>1743</v>
      </c>
    </row>
    <row r="1292" spans="1:5" x14ac:dyDescent="0.25">
      <c r="A1292" t="str">
        <f t="shared" si="21"/>
        <v>GLUE</v>
      </c>
      <c r="B1292" t="s">
        <v>1774</v>
      </c>
      <c r="C1292" t="s">
        <v>1188</v>
      </c>
      <c r="D1292" t="s">
        <v>1775</v>
      </c>
      <c r="E1292" s="2">
        <v>1739</v>
      </c>
    </row>
    <row r="1293" spans="1:5" x14ac:dyDescent="0.25">
      <c r="A1293" t="str">
        <f t="shared" si="21"/>
        <v xml:space="preserve">RST </v>
      </c>
      <c r="B1293" t="s">
        <v>1776</v>
      </c>
      <c r="C1293" t="s">
        <v>176</v>
      </c>
      <c r="D1293" t="s">
        <v>1777</v>
      </c>
      <c r="E1293" s="2">
        <v>1730</v>
      </c>
    </row>
    <row r="1294" spans="1:5" x14ac:dyDescent="0.25">
      <c r="A1294" t="str">
        <f t="shared" si="21"/>
        <v xml:space="preserve">RST </v>
      </c>
      <c r="B1294" t="s">
        <v>1776</v>
      </c>
      <c r="C1294" t="s">
        <v>13</v>
      </c>
      <c r="D1294" t="s">
        <v>1778</v>
      </c>
      <c r="E1294" s="2">
        <v>1730</v>
      </c>
    </row>
    <row r="1295" spans="1:5" x14ac:dyDescent="0.25">
      <c r="A1295" t="str">
        <f t="shared" si="21"/>
        <v xml:space="preserve">RST </v>
      </c>
      <c r="B1295" t="s">
        <v>1776</v>
      </c>
      <c r="C1295" t="s">
        <v>320</v>
      </c>
      <c r="D1295" t="s">
        <v>1779</v>
      </c>
      <c r="E1295" s="2">
        <v>1730</v>
      </c>
    </row>
    <row r="1296" spans="1:5" x14ac:dyDescent="0.25">
      <c r="A1296" t="str">
        <f t="shared" si="21"/>
        <v>Capa</v>
      </c>
      <c r="B1296" t="s">
        <v>2344</v>
      </c>
      <c r="C1296" t="s">
        <v>45</v>
      </c>
      <c r="D1296" t="s">
        <v>1780</v>
      </c>
      <c r="E1296" s="2">
        <v>1729</v>
      </c>
    </row>
    <row r="1297" spans="1:5" x14ac:dyDescent="0.25">
      <c r="A1297" t="str">
        <f t="shared" si="21"/>
        <v>Capa</v>
      </c>
      <c r="B1297" t="s">
        <v>2344</v>
      </c>
      <c r="C1297" t="s">
        <v>47</v>
      </c>
      <c r="D1297" t="s">
        <v>1781</v>
      </c>
      <c r="E1297" s="2">
        <v>1729</v>
      </c>
    </row>
    <row r="1298" spans="1:5" x14ac:dyDescent="0.25">
      <c r="A1298" t="str">
        <f t="shared" si="21"/>
        <v>Capa</v>
      </c>
      <c r="B1298" t="s">
        <v>2344</v>
      </c>
      <c r="C1298" t="s">
        <v>37</v>
      </c>
      <c r="D1298" t="s">
        <v>1782</v>
      </c>
      <c r="E1298" s="2">
        <v>1729</v>
      </c>
    </row>
    <row r="1299" spans="1:5" x14ac:dyDescent="0.25">
      <c r="A1299" t="str">
        <f t="shared" si="21"/>
        <v>DUST</v>
      </c>
      <c r="B1299" t="s">
        <v>1783</v>
      </c>
      <c r="C1299" t="s">
        <v>1694</v>
      </c>
      <c r="D1299" t="s">
        <v>1784</v>
      </c>
      <c r="E1299" s="2">
        <v>1729</v>
      </c>
    </row>
    <row r="1300" spans="1:5" x14ac:dyDescent="0.25">
      <c r="A1300" t="str">
        <f t="shared" si="21"/>
        <v>Capa</v>
      </c>
      <c r="B1300" t="s">
        <v>2345</v>
      </c>
      <c r="C1300" t="s">
        <v>13</v>
      </c>
      <c r="D1300" t="s">
        <v>1785</v>
      </c>
      <c r="E1300" s="2">
        <v>1722</v>
      </c>
    </row>
    <row r="1301" spans="1:5" x14ac:dyDescent="0.25">
      <c r="A1301" t="str">
        <f t="shared" si="21"/>
        <v>IC M</v>
      </c>
      <c r="B1301" t="s">
        <v>1786</v>
      </c>
      <c r="C1301" t="s">
        <v>28</v>
      </c>
      <c r="D1301" t="s">
        <v>1787</v>
      </c>
      <c r="E1301" s="2">
        <v>1721</v>
      </c>
    </row>
    <row r="1302" spans="1:5" x14ac:dyDescent="0.25">
      <c r="A1302" t="str">
        <f t="shared" si="21"/>
        <v>IC B</v>
      </c>
      <c r="B1302" t="s">
        <v>1788</v>
      </c>
      <c r="C1302" t="s">
        <v>556</v>
      </c>
      <c r="D1302" t="s">
        <v>1789</v>
      </c>
      <c r="E1302" s="2">
        <v>1719</v>
      </c>
    </row>
    <row r="1303" spans="1:5" x14ac:dyDescent="0.25">
      <c r="A1303" t="str">
        <f t="shared" si="21"/>
        <v>IC B</v>
      </c>
      <c r="B1303" t="s">
        <v>1788</v>
      </c>
      <c r="C1303" t="s">
        <v>556</v>
      </c>
      <c r="D1303" t="s">
        <v>1790</v>
      </c>
      <c r="E1303" s="2">
        <v>1719</v>
      </c>
    </row>
    <row r="1304" spans="1:5" x14ac:dyDescent="0.25">
      <c r="A1304" t="str">
        <f t="shared" si="21"/>
        <v>ICX9</v>
      </c>
      <c r="B1304" t="s">
        <v>2392</v>
      </c>
      <c r="C1304" t="s">
        <v>1791</v>
      </c>
      <c r="D1304" t="s">
        <v>1792</v>
      </c>
      <c r="E1304" s="2">
        <v>1709</v>
      </c>
    </row>
    <row r="1305" spans="1:5" x14ac:dyDescent="0.25">
      <c r="A1305" t="str">
        <f t="shared" si="21"/>
        <v xml:space="preserve">RST </v>
      </c>
      <c r="B1305" t="s">
        <v>1793</v>
      </c>
      <c r="C1305" t="s">
        <v>320</v>
      </c>
      <c r="D1305" t="s">
        <v>1794</v>
      </c>
      <c r="E1305" s="2">
        <v>1703</v>
      </c>
    </row>
    <row r="1306" spans="1:5" x14ac:dyDescent="0.25">
      <c r="A1306" t="str">
        <f t="shared" si="21"/>
        <v xml:space="preserve">RST </v>
      </c>
      <c r="B1306" t="s">
        <v>1795</v>
      </c>
      <c r="C1306" t="s">
        <v>37</v>
      </c>
      <c r="D1306" t="s">
        <v>1796</v>
      </c>
      <c r="E1306" s="2">
        <v>1700</v>
      </c>
    </row>
    <row r="1307" spans="1:5" x14ac:dyDescent="0.25">
      <c r="A1307" t="str">
        <f t="shared" si="21"/>
        <v xml:space="preserve">RST </v>
      </c>
      <c r="B1307" t="s">
        <v>1795</v>
      </c>
      <c r="C1307" t="s">
        <v>320</v>
      </c>
      <c r="D1307" t="s">
        <v>1797</v>
      </c>
      <c r="E1307" s="2">
        <v>1700</v>
      </c>
    </row>
    <row r="1308" spans="1:5" x14ac:dyDescent="0.25">
      <c r="A1308" t="str">
        <f t="shared" si="21"/>
        <v xml:space="preserve">MOS </v>
      </c>
      <c r="B1308" t="s">
        <v>1798</v>
      </c>
      <c r="C1308" t="s">
        <v>30</v>
      </c>
      <c r="D1308" t="s">
        <v>1799</v>
      </c>
      <c r="E1308" s="2">
        <v>1689</v>
      </c>
    </row>
    <row r="1309" spans="1:5" x14ac:dyDescent="0.25">
      <c r="A1309" t="str">
        <f t="shared" si="21"/>
        <v xml:space="preserve">MOS </v>
      </c>
      <c r="B1309" t="s">
        <v>1798</v>
      </c>
      <c r="C1309" t="s">
        <v>30</v>
      </c>
      <c r="D1309" t="s">
        <v>1800</v>
      </c>
      <c r="E1309" s="2">
        <v>1689</v>
      </c>
    </row>
    <row r="1310" spans="1:5" x14ac:dyDescent="0.25">
      <c r="A1310" t="str">
        <f t="shared" si="21"/>
        <v>Capa</v>
      </c>
      <c r="B1310" t="s">
        <v>2346</v>
      </c>
      <c r="C1310" t="s">
        <v>13</v>
      </c>
      <c r="D1310" t="s">
        <v>1801</v>
      </c>
      <c r="E1310" s="2">
        <v>1680</v>
      </c>
    </row>
    <row r="1311" spans="1:5" x14ac:dyDescent="0.25">
      <c r="A1311" t="str">
        <f t="shared" si="21"/>
        <v xml:space="preserve">RST </v>
      </c>
      <c r="B1311" t="s">
        <v>1802</v>
      </c>
      <c r="C1311" t="s">
        <v>5</v>
      </c>
      <c r="D1311" t="s">
        <v>1803</v>
      </c>
      <c r="E1311" s="2">
        <v>1678</v>
      </c>
    </row>
    <row r="1312" spans="1:5" x14ac:dyDescent="0.25">
      <c r="A1312" t="str">
        <f t="shared" si="21"/>
        <v xml:space="preserve">RST </v>
      </c>
      <c r="B1312" t="s">
        <v>1802</v>
      </c>
      <c r="C1312" t="s">
        <v>320</v>
      </c>
      <c r="D1312" t="s">
        <v>1804</v>
      </c>
      <c r="E1312" s="2">
        <v>1678</v>
      </c>
    </row>
    <row r="1313" spans="1:5" x14ac:dyDescent="0.25">
      <c r="A1313" t="str">
        <f t="shared" si="21"/>
        <v>Capa</v>
      </c>
      <c r="B1313" t="s">
        <v>2347</v>
      </c>
      <c r="C1313" t="s">
        <v>45</v>
      </c>
      <c r="D1313" t="s">
        <v>1805</v>
      </c>
      <c r="E1313" s="2">
        <v>1668</v>
      </c>
    </row>
    <row r="1314" spans="1:5" x14ac:dyDescent="0.25">
      <c r="A1314" t="str">
        <f t="shared" si="21"/>
        <v>Capa</v>
      </c>
      <c r="B1314" t="s">
        <v>2347</v>
      </c>
      <c r="C1314" t="s">
        <v>37</v>
      </c>
      <c r="D1314" t="s">
        <v>1806</v>
      </c>
      <c r="E1314" s="2">
        <v>1668</v>
      </c>
    </row>
    <row r="1315" spans="1:5" x14ac:dyDescent="0.25">
      <c r="A1315" t="str">
        <f t="shared" si="21"/>
        <v xml:space="preserve">RST </v>
      </c>
      <c r="B1315" t="s">
        <v>1807</v>
      </c>
      <c r="C1315" t="s">
        <v>13</v>
      </c>
      <c r="D1315" t="s">
        <v>1808</v>
      </c>
      <c r="E1315" s="2">
        <v>1655</v>
      </c>
    </row>
    <row r="1316" spans="1:5" x14ac:dyDescent="0.25">
      <c r="A1316" t="str">
        <f t="shared" si="21"/>
        <v>Capa</v>
      </c>
      <c r="B1316" t="s">
        <v>2348</v>
      </c>
      <c r="C1316" t="s">
        <v>184</v>
      </c>
      <c r="D1316" t="s">
        <v>1809</v>
      </c>
      <c r="E1316" s="2">
        <v>1651</v>
      </c>
    </row>
    <row r="1317" spans="1:5" x14ac:dyDescent="0.25">
      <c r="A1317" t="str">
        <f t="shared" si="21"/>
        <v xml:space="preserve">RST </v>
      </c>
      <c r="B1317" t="s">
        <v>1810</v>
      </c>
      <c r="C1317" t="s">
        <v>176</v>
      </c>
      <c r="D1317" t="s">
        <v>1811</v>
      </c>
      <c r="E1317" s="2">
        <v>1644</v>
      </c>
    </row>
    <row r="1318" spans="1:5" x14ac:dyDescent="0.25">
      <c r="A1318" t="str">
        <f t="shared" si="21"/>
        <v xml:space="preserve">RST </v>
      </c>
      <c r="B1318" t="s">
        <v>1810</v>
      </c>
      <c r="C1318" t="s">
        <v>320</v>
      </c>
      <c r="D1318" t="s">
        <v>1812</v>
      </c>
      <c r="E1318" s="2">
        <v>1644</v>
      </c>
    </row>
    <row r="1319" spans="1:5" x14ac:dyDescent="0.25">
      <c r="A1319" t="str">
        <f t="shared" si="21"/>
        <v xml:space="preserve">RST </v>
      </c>
      <c r="B1319" t="s">
        <v>1810</v>
      </c>
      <c r="C1319" t="s">
        <v>207</v>
      </c>
      <c r="D1319" t="s">
        <v>1813</v>
      </c>
      <c r="E1319" s="2">
        <v>1644</v>
      </c>
    </row>
    <row r="1320" spans="1:5" x14ac:dyDescent="0.25">
      <c r="A1320" t="str">
        <f t="shared" si="21"/>
        <v>RM5/</v>
      </c>
      <c r="B1320" t="s">
        <v>1814</v>
      </c>
      <c r="C1320" t="s">
        <v>45</v>
      </c>
      <c r="D1320" t="s">
        <v>1815</v>
      </c>
      <c r="E1320" s="2">
        <v>1641</v>
      </c>
    </row>
    <row r="1321" spans="1:5" x14ac:dyDescent="0.25">
      <c r="A1321" t="str">
        <f t="shared" si="21"/>
        <v>IC I</v>
      </c>
      <c r="B1321" t="s">
        <v>1816</v>
      </c>
      <c r="C1321" t="s">
        <v>26</v>
      </c>
      <c r="D1321" t="s">
        <v>1817</v>
      </c>
      <c r="E1321" s="2">
        <v>1637</v>
      </c>
    </row>
    <row r="1322" spans="1:5" x14ac:dyDescent="0.25">
      <c r="A1322" t="str">
        <f t="shared" si="21"/>
        <v xml:space="preserve">CNT </v>
      </c>
      <c r="B1322" t="s">
        <v>1818</v>
      </c>
      <c r="C1322" t="s">
        <v>678</v>
      </c>
      <c r="D1322" t="s">
        <v>1819</v>
      </c>
      <c r="E1322" s="2">
        <v>1636</v>
      </c>
    </row>
    <row r="1323" spans="1:5" x14ac:dyDescent="0.25">
      <c r="A1323" t="str">
        <f t="shared" si="21"/>
        <v xml:space="preserve">CNT </v>
      </c>
      <c r="B1323" t="s">
        <v>1818</v>
      </c>
      <c r="C1323" t="s">
        <v>678</v>
      </c>
      <c r="D1323" t="s">
        <v>1820</v>
      </c>
      <c r="E1323" s="2">
        <v>1636</v>
      </c>
    </row>
    <row r="1324" spans="1:5" x14ac:dyDescent="0.25">
      <c r="A1324" t="str">
        <f t="shared" si="21"/>
        <v xml:space="preserve">CNT </v>
      </c>
      <c r="B1324" t="s">
        <v>1818</v>
      </c>
      <c r="C1324" t="s">
        <v>678</v>
      </c>
      <c r="D1324" t="s">
        <v>1821</v>
      </c>
      <c r="E1324" s="2">
        <v>1636</v>
      </c>
    </row>
    <row r="1325" spans="1:5" x14ac:dyDescent="0.25">
      <c r="A1325" t="str">
        <f t="shared" si="21"/>
        <v>MOSF</v>
      </c>
      <c r="B1325" t="s">
        <v>2481</v>
      </c>
      <c r="C1325" t="s">
        <v>556</v>
      </c>
      <c r="D1325" t="s">
        <v>1822</v>
      </c>
      <c r="E1325" s="2">
        <v>1636</v>
      </c>
    </row>
    <row r="1326" spans="1:5" x14ac:dyDescent="0.25">
      <c r="A1326" t="str">
        <f t="shared" si="21"/>
        <v>MOSF</v>
      </c>
      <c r="B1326" t="s">
        <v>2481</v>
      </c>
      <c r="C1326" t="s">
        <v>556</v>
      </c>
      <c r="D1326" t="s">
        <v>1823</v>
      </c>
      <c r="E1326" s="2">
        <v>1636</v>
      </c>
    </row>
    <row r="1327" spans="1:5" x14ac:dyDescent="0.25">
      <c r="A1327" t="str">
        <f t="shared" si="21"/>
        <v>Capa</v>
      </c>
      <c r="B1327" t="s">
        <v>2349</v>
      </c>
      <c r="C1327" t="s">
        <v>13</v>
      </c>
      <c r="D1327" t="s">
        <v>1824</v>
      </c>
      <c r="E1327" s="2">
        <v>1634</v>
      </c>
    </row>
    <row r="1328" spans="1:5" x14ac:dyDescent="0.25">
      <c r="A1328" t="str">
        <f t="shared" si="21"/>
        <v>Capa</v>
      </c>
      <c r="B1328" t="s">
        <v>2349</v>
      </c>
      <c r="C1328" t="s">
        <v>47</v>
      </c>
      <c r="D1328" t="s">
        <v>1825</v>
      </c>
      <c r="E1328" s="2">
        <v>1634</v>
      </c>
    </row>
    <row r="1329" spans="1:5" x14ac:dyDescent="0.25">
      <c r="A1329" t="str">
        <f t="shared" si="21"/>
        <v>Capa</v>
      </c>
      <c r="B1329" t="s">
        <v>2349</v>
      </c>
      <c r="C1329" t="s">
        <v>49</v>
      </c>
      <c r="D1329" t="s">
        <v>700</v>
      </c>
      <c r="E1329" s="2">
        <v>1634</v>
      </c>
    </row>
    <row r="1330" spans="1:5" x14ac:dyDescent="0.25">
      <c r="A1330" t="str">
        <f t="shared" si="21"/>
        <v>Capa</v>
      </c>
      <c r="B1330" t="s">
        <v>2349</v>
      </c>
      <c r="C1330" t="s">
        <v>8</v>
      </c>
      <c r="D1330" t="s">
        <v>1826</v>
      </c>
      <c r="E1330" s="2">
        <v>1634</v>
      </c>
    </row>
    <row r="1331" spans="1:5" x14ac:dyDescent="0.25">
      <c r="A1331" t="str">
        <f t="shared" si="21"/>
        <v>Capa</v>
      </c>
      <c r="B1331" t="s">
        <v>2350</v>
      </c>
      <c r="C1331" t="s">
        <v>249</v>
      </c>
      <c r="D1331" t="s">
        <v>1827</v>
      </c>
      <c r="E1331" s="2">
        <v>1632</v>
      </c>
    </row>
    <row r="1332" spans="1:5" x14ac:dyDescent="0.25">
      <c r="A1332" t="str">
        <f t="shared" si="21"/>
        <v>Capa</v>
      </c>
      <c r="B1332" t="s">
        <v>2350</v>
      </c>
      <c r="C1332" t="s">
        <v>249</v>
      </c>
      <c r="D1332" t="s">
        <v>1828</v>
      </c>
      <c r="E1332" s="2">
        <v>1632</v>
      </c>
    </row>
    <row r="1333" spans="1:5" x14ac:dyDescent="0.25">
      <c r="A1333" t="str">
        <f t="shared" si="21"/>
        <v>Capa</v>
      </c>
      <c r="B1333" t="s">
        <v>2350</v>
      </c>
      <c r="C1333" t="s">
        <v>1205</v>
      </c>
      <c r="D1333" t="s">
        <v>1829</v>
      </c>
      <c r="E1333" s="2">
        <v>1632</v>
      </c>
    </row>
    <row r="1334" spans="1:5" x14ac:dyDescent="0.25">
      <c r="A1334" t="str">
        <f t="shared" si="21"/>
        <v>Capa</v>
      </c>
      <c r="B1334" t="s">
        <v>2350</v>
      </c>
      <c r="C1334" t="s">
        <v>204</v>
      </c>
      <c r="D1334" t="s">
        <v>1830</v>
      </c>
      <c r="E1334" s="2">
        <v>1632</v>
      </c>
    </row>
    <row r="1335" spans="1:5" x14ac:dyDescent="0.25">
      <c r="A1335" t="str">
        <f t="shared" si="21"/>
        <v>Capa</v>
      </c>
      <c r="B1335" t="s">
        <v>2350</v>
      </c>
      <c r="C1335" t="s">
        <v>1593</v>
      </c>
      <c r="D1335" t="s">
        <v>1831</v>
      </c>
      <c r="E1335" s="2">
        <v>1632</v>
      </c>
    </row>
    <row r="1336" spans="1:5" x14ac:dyDescent="0.25">
      <c r="A1336" t="str">
        <f t="shared" si="21"/>
        <v>Capa</v>
      </c>
      <c r="B1336" t="s">
        <v>2350</v>
      </c>
      <c r="C1336" t="s">
        <v>1208</v>
      </c>
      <c r="D1336" t="s">
        <v>1829</v>
      </c>
      <c r="E1336" s="2">
        <v>1632</v>
      </c>
    </row>
    <row r="1337" spans="1:5" x14ac:dyDescent="0.25">
      <c r="A1337" t="str">
        <f t="shared" si="21"/>
        <v>Capa</v>
      </c>
      <c r="B1337" t="s">
        <v>2351</v>
      </c>
      <c r="C1337" t="s">
        <v>13</v>
      </c>
      <c r="D1337" t="s">
        <v>1832</v>
      </c>
      <c r="E1337" s="2">
        <v>1624</v>
      </c>
    </row>
    <row r="1338" spans="1:5" x14ac:dyDescent="0.25">
      <c r="A1338" t="str">
        <f t="shared" si="21"/>
        <v xml:space="preserve">RST </v>
      </c>
      <c r="B1338" t="s">
        <v>1833</v>
      </c>
      <c r="C1338" t="s">
        <v>176</v>
      </c>
      <c r="D1338" t="s">
        <v>1834</v>
      </c>
      <c r="E1338" s="2">
        <v>1611</v>
      </c>
    </row>
    <row r="1339" spans="1:5" x14ac:dyDescent="0.25">
      <c r="A1339" t="str">
        <f t="shared" si="21"/>
        <v xml:space="preserve">RST </v>
      </c>
      <c r="B1339" t="s">
        <v>1833</v>
      </c>
      <c r="C1339" t="s">
        <v>13</v>
      </c>
      <c r="D1339" t="s">
        <v>1835</v>
      </c>
      <c r="E1339" s="2">
        <v>1611</v>
      </c>
    </row>
    <row r="1340" spans="1:5" x14ac:dyDescent="0.25">
      <c r="A1340" t="str">
        <f t="shared" si="21"/>
        <v>Diod</v>
      </c>
      <c r="B1340" t="s">
        <v>2458</v>
      </c>
      <c r="C1340" t="s">
        <v>510</v>
      </c>
      <c r="D1340" t="s">
        <v>1836</v>
      </c>
      <c r="E1340" s="2">
        <v>1603</v>
      </c>
    </row>
    <row r="1341" spans="1:5" x14ac:dyDescent="0.25">
      <c r="A1341" t="str">
        <f t="shared" si="21"/>
        <v xml:space="preserve">RST </v>
      </c>
      <c r="B1341" t="s">
        <v>1837</v>
      </c>
      <c r="C1341" t="s">
        <v>5</v>
      </c>
      <c r="D1341" t="s">
        <v>1838</v>
      </c>
      <c r="E1341" s="2">
        <v>1599</v>
      </c>
    </row>
    <row r="1342" spans="1:5" x14ac:dyDescent="0.25">
      <c r="A1342" t="str">
        <f t="shared" si="21"/>
        <v xml:space="preserve">RST </v>
      </c>
      <c r="B1342" t="s">
        <v>1837</v>
      </c>
      <c r="C1342" t="s">
        <v>320</v>
      </c>
      <c r="D1342" t="s">
        <v>1839</v>
      </c>
      <c r="E1342" s="2">
        <v>1599</v>
      </c>
    </row>
    <row r="1343" spans="1:5" x14ac:dyDescent="0.25">
      <c r="A1343" t="str">
        <f t="shared" si="21"/>
        <v xml:space="preserve">RST </v>
      </c>
      <c r="B1343" t="s">
        <v>1840</v>
      </c>
      <c r="C1343" t="s">
        <v>37</v>
      </c>
      <c r="D1343" t="s">
        <v>1841</v>
      </c>
      <c r="E1343" s="2">
        <v>1599</v>
      </c>
    </row>
    <row r="1344" spans="1:5" x14ac:dyDescent="0.25">
      <c r="A1344" t="str">
        <f t="shared" si="21"/>
        <v xml:space="preserve">RST </v>
      </c>
      <c r="B1344" t="s">
        <v>1840</v>
      </c>
      <c r="C1344" t="s">
        <v>5</v>
      </c>
      <c r="D1344" t="s">
        <v>1842</v>
      </c>
      <c r="E1344" s="2">
        <v>1599</v>
      </c>
    </row>
    <row r="1345" spans="1:5" x14ac:dyDescent="0.25">
      <c r="A1345" t="str">
        <f t="shared" si="21"/>
        <v xml:space="preserve">RST </v>
      </c>
      <c r="B1345" t="s">
        <v>1840</v>
      </c>
      <c r="C1345" t="s">
        <v>320</v>
      </c>
      <c r="D1345" t="s">
        <v>1843</v>
      </c>
      <c r="E1345" s="2">
        <v>1599</v>
      </c>
    </row>
    <row r="1346" spans="1:5" x14ac:dyDescent="0.25">
      <c r="A1346" t="str">
        <f t="shared" si="21"/>
        <v>SPAC</v>
      </c>
      <c r="B1346" t="s">
        <v>1844</v>
      </c>
      <c r="C1346" t="s">
        <v>1378</v>
      </c>
      <c r="D1346" t="s">
        <v>1844</v>
      </c>
      <c r="E1346" s="2">
        <v>1598</v>
      </c>
    </row>
    <row r="1347" spans="1:5" x14ac:dyDescent="0.25">
      <c r="A1347" t="str">
        <f t="shared" si="21"/>
        <v xml:space="preserve">RST </v>
      </c>
      <c r="B1347" t="s">
        <v>1845</v>
      </c>
      <c r="C1347" t="s">
        <v>10</v>
      </c>
      <c r="D1347" t="s">
        <v>1846</v>
      </c>
      <c r="E1347" s="2">
        <v>1590</v>
      </c>
    </row>
    <row r="1348" spans="1:5" x14ac:dyDescent="0.25">
      <c r="A1348" t="str">
        <f t="shared" si="21"/>
        <v xml:space="preserve">RST </v>
      </c>
      <c r="B1348" t="s">
        <v>1847</v>
      </c>
      <c r="C1348" t="s">
        <v>13</v>
      </c>
      <c r="D1348" t="s">
        <v>1848</v>
      </c>
      <c r="E1348" s="2">
        <v>1582</v>
      </c>
    </row>
    <row r="1349" spans="1:5" x14ac:dyDescent="0.25">
      <c r="A1349" t="str">
        <f t="shared" si="21"/>
        <v xml:space="preserve">RST </v>
      </c>
      <c r="B1349" t="s">
        <v>1847</v>
      </c>
      <c r="C1349" t="s">
        <v>320</v>
      </c>
      <c r="D1349" t="s">
        <v>1849</v>
      </c>
      <c r="E1349" s="2">
        <v>1582</v>
      </c>
    </row>
    <row r="1350" spans="1:5" x14ac:dyDescent="0.25">
      <c r="A1350" t="str">
        <f t="shared" ref="A1350:A1413" si="22">LEFT(B1350,4)</f>
        <v xml:space="preserve">RST </v>
      </c>
      <c r="B1350" t="s">
        <v>1850</v>
      </c>
      <c r="C1350" t="s">
        <v>13</v>
      </c>
      <c r="D1350" t="s">
        <v>318</v>
      </c>
      <c r="E1350" s="2">
        <v>1575</v>
      </c>
    </row>
    <row r="1351" spans="1:5" x14ac:dyDescent="0.25">
      <c r="A1351" t="str">
        <f t="shared" si="22"/>
        <v xml:space="preserve">RST </v>
      </c>
      <c r="B1351" t="s">
        <v>1850</v>
      </c>
      <c r="C1351" t="s">
        <v>37</v>
      </c>
      <c r="D1351" t="s">
        <v>1851</v>
      </c>
      <c r="E1351" s="2">
        <v>1575</v>
      </c>
    </row>
    <row r="1352" spans="1:5" x14ac:dyDescent="0.25">
      <c r="A1352" t="str">
        <f t="shared" si="22"/>
        <v xml:space="preserve">RST </v>
      </c>
      <c r="B1352" t="s">
        <v>1850</v>
      </c>
      <c r="C1352" t="s">
        <v>89</v>
      </c>
      <c r="D1352" t="s">
        <v>1852</v>
      </c>
      <c r="E1352" s="2">
        <v>1575</v>
      </c>
    </row>
    <row r="1353" spans="1:5" x14ac:dyDescent="0.25">
      <c r="A1353" t="str">
        <f t="shared" si="22"/>
        <v>IC L</v>
      </c>
      <c r="B1353" t="s">
        <v>1853</v>
      </c>
      <c r="C1353" t="s">
        <v>28</v>
      </c>
      <c r="D1353" t="s">
        <v>1854</v>
      </c>
      <c r="E1353" s="2">
        <v>1568</v>
      </c>
    </row>
    <row r="1354" spans="1:5" x14ac:dyDescent="0.25">
      <c r="A1354" t="str">
        <f t="shared" si="22"/>
        <v>IC L</v>
      </c>
      <c r="B1354" t="s">
        <v>1853</v>
      </c>
      <c r="C1354" t="s">
        <v>61</v>
      </c>
      <c r="D1354" t="s">
        <v>1855</v>
      </c>
      <c r="E1354" s="2">
        <v>1568</v>
      </c>
    </row>
    <row r="1355" spans="1:5" x14ac:dyDescent="0.25">
      <c r="A1355" t="str">
        <f t="shared" si="22"/>
        <v xml:space="preserve">RST </v>
      </c>
      <c r="B1355" t="s">
        <v>1856</v>
      </c>
      <c r="C1355" t="s">
        <v>13</v>
      </c>
      <c r="D1355" t="s">
        <v>1857</v>
      </c>
      <c r="E1355" s="2">
        <v>1561</v>
      </c>
    </row>
    <row r="1356" spans="1:5" x14ac:dyDescent="0.25">
      <c r="A1356" t="str">
        <f t="shared" si="22"/>
        <v xml:space="preserve">RST </v>
      </c>
      <c r="B1356" t="s">
        <v>1856</v>
      </c>
      <c r="C1356" t="s">
        <v>89</v>
      </c>
      <c r="D1356" t="s">
        <v>1858</v>
      </c>
      <c r="E1356" s="2">
        <v>1561</v>
      </c>
    </row>
    <row r="1357" spans="1:5" x14ac:dyDescent="0.25">
      <c r="A1357" t="str">
        <f t="shared" si="22"/>
        <v xml:space="preserve">CNT </v>
      </c>
      <c r="B1357" t="s">
        <v>1859</v>
      </c>
      <c r="C1357" t="s">
        <v>1860</v>
      </c>
      <c r="D1357" t="s">
        <v>1861</v>
      </c>
      <c r="E1357" s="2">
        <v>1546</v>
      </c>
    </row>
    <row r="1358" spans="1:5" x14ac:dyDescent="0.25">
      <c r="A1358" t="str">
        <f t="shared" si="22"/>
        <v xml:space="preserve">CNT </v>
      </c>
      <c r="B1358" t="s">
        <v>1859</v>
      </c>
      <c r="C1358" t="s">
        <v>202</v>
      </c>
      <c r="D1358" t="s">
        <v>1862</v>
      </c>
      <c r="E1358" s="2">
        <v>1546</v>
      </c>
    </row>
    <row r="1359" spans="1:5" x14ac:dyDescent="0.25">
      <c r="A1359" t="str">
        <f t="shared" si="22"/>
        <v>FUSE</v>
      </c>
      <c r="B1359" t="s">
        <v>1863</v>
      </c>
      <c r="C1359" t="s">
        <v>507</v>
      </c>
      <c r="D1359" t="s">
        <v>1864</v>
      </c>
      <c r="E1359" s="2">
        <v>1545</v>
      </c>
    </row>
    <row r="1360" spans="1:5" x14ac:dyDescent="0.25">
      <c r="A1360" t="str">
        <f t="shared" si="22"/>
        <v>FUSE</v>
      </c>
      <c r="B1360" t="s">
        <v>1863</v>
      </c>
      <c r="C1360" t="s">
        <v>1865</v>
      </c>
      <c r="D1360" t="s">
        <v>1866</v>
      </c>
      <c r="E1360" s="2">
        <v>1545</v>
      </c>
    </row>
    <row r="1361" spans="1:5" x14ac:dyDescent="0.25">
      <c r="A1361" t="str">
        <f t="shared" si="22"/>
        <v>POLY</v>
      </c>
      <c r="B1361" t="s">
        <v>1867</v>
      </c>
      <c r="C1361" t="s">
        <v>57</v>
      </c>
      <c r="D1361" t="s">
        <v>1868</v>
      </c>
      <c r="E1361" s="2">
        <v>1538</v>
      </c>
    </row>
    <row r="1362" spans="1:5" x14ac:dyDescent="0.25">
      <c r="A1362" t="str">
        <f t="shared" si="22"/>
        <v>POLY</v>
      </c>
      <c r="B1362" t="s">
        <v>1867</v>
      </c>
      <c r="C1362" t="s">
        <v>202</v>
      </c>
      <c r="D1362" t="s">
        <v>1869</v>
      </c>
      <c r="E1362" s="2">
        <v>1538</v>
      </c>
    </row>
    <row r="1363" spans="1:5" x14ac:dyDescent="0.25">
      <c r="A1363" t="str">
        <f t="shared" si="22"/>
        <v>IC T</v>
      </c>
      <c r="B1363" t="s">
        <v>1870</v>
      </c>
      <c r="C1363" t="s">
        <v>2467</v>
      </c>
      <c r="D1363" t="s">
        <v>1871</v>
      </c>
      <c r="E1363" s="2">
        <v>1519</v>
      </c>
    </row>
    <row r="1364" spans="1:5" x14ac:dyDescent="0.25">
      <c r="A1364" t="str">
        <f t="shared" si="22"/>
        <v>IC T</v>
      </c>
      <c r="B1364" t="s">
        <v>1870</v>
      </c>
      <c r="C1364" t="s">
        <v>257</v>
      </c>
      <c r="D1364" t="s">
        <v>1872</v>
      </c>
      <c r="E1364" s="2">
        <v>1519</v>
      </c>
    </row>
    <row r="1365" spans="1:5" x14ac:dyDescent="0.25">
      <c r="A1365" t="str">
        <f t="shared" si="22"/>
        <v>IC T</v>
      </c>
      <c r="B1365" t="s">
        <v>1870</v>
      </c>
      <c r="C1365" t="s">
        <v>61</v>
      </c>
      <c r="D1365" t="s">
        <v>1873</v>
      </c>
      <c r="E1365" s="2">
        <v>1519</v>
      </c>
    </row>
    <row r="1366" spans="1:5" x14ac:dyDescent="0.25">
      <c r="A1366" t="str">
        <f t="shared" si="22"/>
        <v>Diod</v>
      </c>
      <c r="B1366" t="s">
        <v>2459</v>
      </c>
      <c r="C1366" t="s">
        <v>28</v>
      </c>
      <c r="D1366" t="s">
        <v>1874</v>
      </c>
      <c r="E1366" s="2">
        <v>1517</v>
      </c>
    </row>
    <row r="1367" spans="1:5" x14ac:dyDescent="0.25">
      <c r="A1367" t="str">
        <f t="shared" si="22"/>
        <v>Capa</v>
      </c>
      <c r="B1367" t="s">
        <v>2352</v>
      </c>
      <c r="C1367" t="s">
        <v>13</v>
      </c>
      <c r="D1367" t="s">
        <v>1875</v>
      </c>
      <c r="E1367" s="2">
        <v>1512</v>
      </c>
    </row>
    <row r="1368" spans="1:5" x14ac:dyDescent="0.25">
      <c r="A1368" t="str">
        <f t="shared" si="22"/>
        <v>Capa</v>
      </c>
      <c r="B1368" t="s">
        <v>2352</v>
      </c>
      <c r="C1368" t="s">
        <v>8</v>
      </c>
      <c r="D1368" t="s">
        <v>1876</v>
      </c>
      <c r="E1368" s="2">
        <v>1512</v>
      </c>
    </row>
    <row r="1369" spans="1:5" x14ac:dyDescent="0.25">
      <c r="A1369" t="str">
        <f t="shared" si="22"/>
        <v>Capa</v>
      </c>
      <c r="B1369" t="s">
        <v>2352</v>
      </c>
      <c r="C1369" t="s">
        <v>62</v>
      </c>
      <c r="D1369" t="s">
        <v>1877</v>
      </c>
      <c r="E1369" s="2">
        <v>1512</v>
      </c>
    </row>
    <row r="1370" spans="1:5" x14ac:dyDescent="0.25">
      <c r="A1370" t="str">
        <f t="shared" si="22"/>
        <v>Capa</v>
      </c>
      <c r="B1370" t="s">
        <v>2352</v>
      </c>
      <c r="C1370" t="s">
        <v>10</v>
      </c>
      <c r="D1370" t="s">
        <v>1878</v>
      </c>
      <c r="E1370" s="2">
        <v>1512</v>
      </c>
    </row>
    <row r="1371" spans="1:5" x14ac:dyDescent="0.25">
      <c r="A1371" t="str">
        <f t="shared" si="22"/>
        <v>Diod</v>
      </c>
      <c r="B1371" t="s">
        <v>2460</v>
      </c>
      <c r="C1371" t="s">
        <v>521</v>
      </c>
      <c r="D1371" t="s">
        <v>1879</v>
      </c>
      <c r="E1371" s="2">
        <v>1507</v>
      </c>
    </row>
    <row r="1372" spans="1:5" x14ac:dyDescent="0.25">
      <c r="A1372" t="str">
        <f t="shared" si="22"/>
        <v>Diod</v>
      </c>
      <c r="B1372" t="s">
        <v>2460</v>
      </c>
      <c r="C1372" t="s">
        <v>61</v>
      </c>
      <c r="D1372" t="s">
        <v>1880</v>
      </c>
      <c r="E1372" s="2">
        <v>1507</v>
      </c>
    </row>
    <row r="1373" spans="1:5" x14ac:dyDescent="0.25">
      <c r="A1373" t="str">
        <f t="shared" si="22"/>
        <v>Capa</v>
      </c>
      <c r="B1373" t="s">
        <v>2353</v>
      </c>
      <c r="C1373" t="s">
        <v>45</v>
      </c>
      <c r="D1373" t="s">
        <v>1881</v>
      </c>
      <c r="E1373" s="2">
        <v>1495</v>
      </c>
    </row>
    <row r="1374" spans="1:5" x14ac:dyDescent="0.25">
      <c r="A1374" t="str">
        <f t="shared" si="22"/>
        <v>Capa</v>
      </c>
      <c r="B1374" t="s">
        <v>2353</v>
      </c>
      <c r="C1374" t="s">
        <v>45</v>
      </c>
      <c r="D1374" t="s">
        <v>1882</v>
      </c>
      <c r="E1374" s="2">
        <v>1495</v>
      </c>
    </row>
    <row r="1375" spans="1:5" x14ac:dyDescent="0.25">
      <c r="A1375" t="str">
        <f t="shared" si="22"/>
        <v>Capa</v>
      </c>
      <c r="B1375" t="s">
        <v>2353</v>
      </c>
      <c r="C1375" t="s">
        <v>290</v>
      </c>
      <c r="D1375" t="s">
        <v>1883</v>
      </c>
      <c r="E1375" s="2">
        <v>1495</v>
      </c>
    </row>
    <row r="1376" spans="1:5" x14ac:dyDescent="0.25">
      <c r="A1376" t="str">
        <f t="shared" si="22"/>
        <v>Capa</v>
      </c>
      <c r="B1376" t="s">
        <v>2353</v>
      </c>
      <c r="C1376" t="s">
        <v>290</v>
      </c>
      <c r="D1376" t="s">
        <v>1884</v>
      </c>
      <c r="E1376" s="2">
        <v>1495</v>
      </c>
    </row>
    <row r="1377" spans="1:5" x14ac:dyDescent="0.25">
      <c r="A1377" t="str">
        <f t="shared" si="22"/>
        <v>MOSF</v>
      </c>
      <c r="B1377" t="s">
        <v>2482</v>
      </c>
      <c r="C1377" t="s">
        <v>37</v>
      </c>
      <c r="D1377" t="s">
        <v>1885</v>
      </c>
      <c r="E1377" s="2">
        <v>1487</v>
      </c>
    </row>
    <row r="1378" spans="1:5" x14ac:dyDescent="0.25">
      <c r="A1378" t="str">
        <f t="shared" si="22"/>
        <v>MOSF</v>
      </c>
      <c r="B1378" t="s">
        <v>2482</v>
      </c>
      <c r="C1378" t="s">
        <v>2467</v>
      </c>
      <c r="D1378" t="s">
        <v>1886</v>
      </c>
      <c r="E1378" s="2">
        <v>1487</v>
      </c>
    </row>
    <row r="1379" spans="1:5" x14ac:dyDescent="0.25">
      <c r="A1379" t="str">
        <f t="shared" si="22"/>
        <v xml:space="preserve">RST </v>
      </c>
      <c r="B1379" t="s">
        <v>1887</v>
      </c>
      <c r="C1379" t="s">
        <v>13</v>
      </c>
      <c r="D1379" t="s">
        <v>1888</v>
      </c>
      <c r="E1379" s="2">
        <v>1481</v>
      </c>
    </row>
    <row r="1380" spans="1:5" x14ac:dyDescent="0.25">
      <c r="A1380" t="str">
        <f t="shared" si="22"/>
        <v>Capa</v>
      </c>
      <c r="B1380" t="s">
        <v>2354</v>
      </c>
      <c r="C1380" t="s">
        <v>249</v>
      </c>
      <c r="D1380" t="s">
        <v>1889</v>
      </c>
      <c r="E1380" s="2">
        <v>1452</v>
      </c>
    </row>
    <row r="1381" spans="1:5" x14ac:dyDescent="0.25">
      <c r="A1381" t="str">
        <f t="shared" si="22"/>
        <v>Capa</v>
      </c>
      <c r="B1381" t="s">
        <v>2354</v>
      </c>
      <c r="C1381" t="s">
        <v>1205</v>
      </c>
      <c r="D1381" t="s">
        <v>1890</v>
      </c>
      <c r="E1381" s="2">
        <v>1452</v>
      </c>
    </row>
    <row r="1382" spans="1:5" x14ac:dyDescent="0.25">
      <c r="A1382" t="str">
        <f t="shared" si="22"/>
        <v>Capa</v>
      </c>
      <c r="B1382" t="s">
        <v>2354</v>
      </c>
      <c r="C1382" t="s">
        <v>1593</v>
      </c>
      <c r="D1382" t="s">
        <v>1891</v>
      </c>
      <c r="E1382" s="2">
        <v>1452</v>
      </c>
    </row>
    <row r="1383" spans="1:5" x14ac:dyDescent="0.25">
      <c r="A1383" t="str">
        <f t="shared" si="22"/>
        <v>Capa</v>
      </c>
      <c r="B1383" t="s">
        <v>2355</v>
      </c>
      <c r="C1383" t="s">
        <v>123</v>
      </c>
      <c r="D1383" t="s">
        <v>1892</v>
      </c>
      <c r="E1383" s="2">
        <v>1446</v>
      </c>
    </row>
    <row r="1384" spans="1:5" x14ac:dyDescent="0.25">
      <c r="A1384" t="str">
        <f t="shared" si="22"/>
        <v xml:space="preserve">LED </v>
      </c>
      <c r="B1384" t="s">
        <v>1893</v>
      </c>
      <c r="C1384" t="s">
        <v>184</v>
      </c>
      <c r="D1384" t="s">
        <v>1894</v>
      </c>
      <c r="E1384" s="2">
        <v>1432</v>
      </c>
    </row>
    <row r="1385" spans="1:5" x14ac:dyDescent="0.25">
      <c r="A1385" t="str">
        <f t="shared" si="22"/>
        <v>Capa</v>
      </c>
      <c r="B1385" t="s">
        <v>2356</v>
      </c>
      <c r="C1385" t="s">
        <v>13</v>
      </c>
      <c r="D1385" t="s">
        <v>1895</v>
      </c>
      <c r="E1385" s="2">
        <v>1419</v>
      </c>
    </row>
    <row r="1386" spans="1:5" x14ac:dyDescent="0.25">
      <c r="A1386" t="str">
        <f t="shared" si="22"/>
        <v>CRYS</v>
      </c>
      <c r="B1386" t="s">
        <v>1896</v>
      </c>
      <c r="C1386" t="s">
        <v>64</v>
      </c>
      <c r="D1386" t="s">
        <v>1897</v>
      </c>
      <c r="E1386" s="2">
        <v>1417</v>
      </c>
    </row>
    <row r="1387" spans="1:5" x14ac:dyDescent="0.25">
      <c r="A1387" t="str">
        <f t="shared" si="22"/>
        <v>CRYS</v>
      </c>
      <c r="B1387" t="s">
        <v>1896</v>
      </c>
      <c r="C1387" t="s">
        <v>64</v>
      </c>
      <c r="D1387" t="s">
        <v>1898</v>
      </c>
      <c r="E1387" s="2">
        <v>1417</v>
      </c>
    </row>
    <row r="1388" spans="1:5" x14ac:dyDescent="0.25">
      <c r="A1388" t="str">
        <f t="shared" si="22"/>
        <v>CRYS</v>
      </c>
      <c r="B1388" t="s">
        <v>1896</v>
      </c>
      <c r="C1388" t="s">
        <v>64</v>
      </c>
      <c r="D1388" t="s">
        <v>1899</v>
      </c>
      <c r="E1388" s="2">
        <v>1417</v>
      </c>
    </row>
    <row r="1389" spans="1:5" x14ac:dyDescent="0.25">
      <c r="A1389" t="str">
        <f t="shared" si="22"/>
        <v xml:space="preserve">RST </v>
      </c>
      <c r="B1389" t="s">
        <v>1900</v>
      </c>
      <c r="C1389" t="s">
        <v>320</v>
      </c>
      <c r="D1389" t="s">
        <v>1901</v>
      </c>
      <c r="E1389" s="2">
        <v>1414</v>
      </c>
    </row>
    <row r="1390" spans="1:5" x14ac:dyDescent="0.25">
      <c r="A1390" t="str">
        <f t="shared" si="22"/>
        <v xml:space="preserve">CNT </v>
      </c>
      <c r="B1390" t="s">
        <v>1902</v>
      </c>
      <c r="C1390" t="s">
        <v>160</v>
      </c>
      <c r="D1390" t="s">
        <v>1903</v>
      </c>
      <c r="E1390" s="2">
        <v>1413</v>
      </c>
    </row>
    <row r="1391" spans="1:5" x14ac:dyDescent="0.25">
      <c r="A1391" t="str">
        <f t="shared" si="22"/>
        <v>RELA</v>
      </c>
      <c r="B1391" t="s">
        <v>1904</v>
      </c>
      <c r="C1391" t="s">
        <v>1905</v>
      </c>
      <c r="D1391" t="s">
        <v>1906</v>
      </c>
      <c r="E1391" s="2">
        <v>1412</v>
      </c>
    </row>
    <row r="1392" spans="1:5" x14ac:dyDescent="0.25">
      <c r="A1392" t="str">
        <f t="shared" si="22"/>
        <v>RELA</v>
      </c>
      <c r="B1392" t="s">
        <v>1904</v>
      </c>
      <c r="C1392" t="s">
        <v>1171</v>
      </c>
      <c r="D1392" t="s">
        <v>1907</v>
      </c>
      <c r="E1392" s="2">
        <v>1412</v>
      </c>
    </row>
    <row r="1393" spans="1:5" x14ac:dyDescent="0.25">
      <c r="A1393" t="str">
        <f t="shared" si="22"/>
        <v>RELA</v>
      </c>
      <c r="B1393" t="s">
        <v>1904</v>
      </c>
      <c r="C1393" t="s">
        <v>1908</v>
      </c>
      <c r="D1393" t="s">
        <v>1909</v>
      </c>
      <c r="E1393" s="2">
        <v>1412</v>
      </c>
    </row>
    <row r="1394" spans="1:5" x14ac:dyDescent="0.25">
      <c r="A1394" t="str">
        <f t="shared" si="22"/>
        <v>CH-1</v>
      </c>
      <c r="B1394" t="s">
        <v>1910</v>
      </c>
      <c r="C1394" t="s">
        <v>1911</v>
      </c>
      <c r="D1394" t="s">
        <v>1910</v>
      </c>
      <c r="E1394" s="2">
        <v>1406</v>
      </c>
    </row>
    <row r="1395" spans="1:5" x14ac:dyDescent="0.25">
      <c r="A1395" t="str">
        <f t="shared" si="22"/>
        <v>CH-1</v>
      </c>
      <c r="B1395" t="s">
        <v>1910</v>
      </c>
      <c r="C1395" t="s">
        <v>1911</v>
      </c>
      <c r="D1395" t="s">
        <v>1912</v>
      </c>
      <c r="E1395" s="2">
        <v>1406</v>
      </c>
    </row>
    <row r="1396" spans="1:5" x14ac:dyDescent="0.25">
      <c r="A1396" t="str">
        <f t="shared" si="22"/>
        <v>CH-1</v>
      </c>
      <c r="B1396" t="s">
        <v>1910</v>
      </c>
      <c r="C1396" t="s">
        <v>1911</v>
      </c>
      <c r="D1396" t="s">
        <v>1913</v>
      </c>
      <c r="E1396" s="2">
        <v>1406</v>
      </c>
    </row>
    <row r="1397" spans="1:5" x14ac:dyDescent="0.25">
      <c r="A1397" t="str">
        <f t="shared" si="22"/>
        <v xml:space="preserve">LED </v>
      </c>
      <c r="B1397" t="s">
        <v>1914</v>
      </c>
      <c r="C1397" t="s">
        <v>130</v>
      </c>
      <c r="D1397" t="s">
        <v>1915</v>
      </c>
      <c r="E1397" s="2">
        <v>1406</v>
      </c>
    </row>
    <row r="1398" spans="1:5" x14ac:dyDescent="0.25">
      <c r="A1398" t="str">
        <f t="shared" si="22"/>
        <v xml:space="preserve">LED </v>
      </c>
      <c r="B1398" t="s">
        <v>1914</v>
      </c>
      <c r="C1398" t="s">
        <v>130</v>
      </c>
      <c r="D1398" t="s">
        <v>1916</v>
      </c>
      <c r="E1398" s="2">
        <v>1406</v>
      </c>
    </row>
    <row r="1399" spans="1:5" x14ac:dyDescent="0.25">
      <c r="A1399" t="str">
        <f t="shared" si="22"/>
        <v xml:space="preserve">LED </v>
      </c>
      <c r="B1399" t="s">
        <v>1914</v>
      </c>
      <c r="C1399" t="s">
        <v>130</v>
      </c>
      <c r="D1399" t="s">
        <v>1917</v>
      </c>
      <c r="E1399" s="2">
        <v>1406</v>
      </c>
    </row>
    <row r="1400" spans="1:5" x14ac:dyDescent="0.25">
      <c r="A1400" t="str">
        <f t="shared" si="22"/>
        <v xml:space="preserve">LED </v>
      </c>
      <c r="B1400" t="s">
        <v>1914</v>
      </c>
      <c r="C1400" t="s">
        <v>132</v>
      </c>
      <c r="D1400" t="s">
        <v>1918</v>
      </c>
      <c r="E1400" s="2">
        <v>1406</v>
      </c>
    </row>
    <row r="1401" spans="1:5" x14ac:dyDescent="0.25">
      <c r="A1401" t="str">
        <f t="shared" si="22"/>
        <v xml:space="preserve">RST </v>
      </c>
      <c r="B1401" t="s">
        <v>1919</v>
      </c>
      <c r="C1401" t="s">
        <v>10</v>
      </c>
      <c r="D1401" t="s">
        <v>1920</v>
      </c>
      <c r="E1401" s="2">
        <v>1395</v>
      </c>
    </row>
    <row r="1402" spans="1:5" x14ac:dyDescent="0.25">
      <c r="A1402" t="str">
        <f t="shared" si="22"/>
        <v xml:space="preserve">RST </v>
      </c>
      <c r="B1402" t="s">
        <v>1921</v>
      </c>
      <c r="C1402" t="s">
        <v>207</v>
      </c>
      <c r="D1402" t="s">
        <v>1922</v>
      </c>
      <c r="E1402" s="2">
        <v>1389</v>
      </c>
    </row>
    <row r="1403" spans="1:5" x14ac:dyDescent="0.25">
      <c r="A1403" t="str">
        <f t="shared" si="22"/>
        <v>TRAN</v>
      </c>
      <c r="B1403" t="s">
        <v>1923</v>
      </c>
      <c r="C1403" t="s">
        <v>2467</v>
      </c>
      <c r="D1403" t="s">
        <v>1924</v>
      </c>
      <c r="E1403" s="2">
        <v>1387</v>
      </c>
    </row>
    <row r="1404" spans="1:5" x14ac:dyDescent="0.25">
      <c r="A1404" t="str">
        <f t="shared" si="22"/>
        <v xml:space="preserve">SWT </v>
      </c>
      <c r="B1404" t="s">
        <v>1925</v>
      </c>
      <c r="C1404" t="s">
        <v>1926</v>
      </c>
      <c r="D1404" t="s">
        <v>1927</v>
      </c>
      <c r="E1404" s="2">
        <v>1385</v>
      </c>
    </row>
    <row r="1405" spans="1:5" x14ac:dyDescent="0.25">
      <c r="A1405" t="str">
        <f t="shared" si="22"/>
        <v>Diod</v>
      </c>
      <c r="B1405" t="s">
        <v>2461</v>
      </c>
      <c r="C1405" t="s">
        <v>57</v>
      </c>
      <c r="D1405" t="s">
        <v>1928</v>
      </c>
      <c r="E1405" s="2">
        <v>1384</v>
      </c>
    </row>
    <row r="1406" spans="1:5" x14ac:dyDescent="0.25">
      <c r="A1406" t="str">
        <f t="shared" si="22"/>
        <v>Diod</v>
      </c>
      <c r="B1406" t="s">
        <v>2461</v>
      </c>
      <c r="C1406" t="s">
        <v>37</v>
      </c>
      <c r="D1406" t="s">
        <v>1929</v>
      </c>
      <c r="E1406" s="2">
        <v>1384</v>
      </c>
    </row>
    <row r="1407" spans="1:5" x14ac:dyDescent="0.25">
      <c r="A1407" t="str">
        <f t="shared" si="22"/>
        <v>Capa</v>
      </c>
      <c r="B1407" t="s">
        <v>2357</v>
      </c>
      <c r="C1407" t="s">
        <v>1208</v>
      </c>
      <c r="D1407" t="s">
        <v>1930</v>
      </c>
      <c r="E1407" s="2">
        <v>1367</v>
      </c>
    </row>
    <row r="1408" spans="1:5" x14ac:dyDescent="0.25">
      <c r="A1408" t="str">
        <f t="shared" si="22"/>
        <v>MA-1</v>
      </c>
      <c r="B1408" t="s">
        <v>1931</v>
      </c>
      <c r="C1408" t="s">
        <v>37</v>
      </c>
      <c r="D1408" t="s">
        <v>1932</v>
      </c>
      <c r="E1408" s="2">
        <v>1357</v>
      </c>
    </row>
    <row r="1409" spans="1:5" x14ac:dyDescent="0.25">
      <c r="A1409" t="str">
        <f t="shared" si="22"/>
        <v>MA-1</v>
      </c>
      <c r="B1409" t="s">
        <v>1931</v>
      </c>
      <c r="C1409" t="s">
        <v>2467</v>
      </c>
      <c r="D1409" t="s">
        <v>1570</v>
      </c>
      <c r="E1409" s="2">
        <v>1357</v>
      </c>
    </row>
    <row r="1410" spans="1:5" x14ac:dyDescent="0.25">
      <c r="A1410" t="str">
        <f t="shared" si="22"/>
        <v>MA-1</v>
      </c>
      <c r="B1410" t="s">
        <v>1931</v>
      </c>
      <c r="C1410" t="s">
        <v>28</v>
      </c>
      <c r="D1410" t="s">
        <v>1569</v>
      </c>
      <c r="E1410" s="2">
        <v>1357</v>
      </c>
    </row>
    <row r="1411" spans="1:5" x14ac:dyDescent="0.25">
      <c r="A1411" t="str">
        <f t="shared" si="22"/>
        <v>MA-1</v>
      </c>
      <c r="B1411" t="s">
        <v>1931</v>
      </c>
      <c r="C1411" t="s">
        <v>297</v>
      </c>
      <c r="D1411" t="s">
        <v>1569</v>
      </c>
      <c r="E1411" s="2">
        <v>1357</v>
      </c>
    </row>
    <row r="1412" spans="1:5" x14ac:dyDescent="0.25">
      <c r="A1412" t="str">
        <f t="shared" si="22"/>
        <v>MA-1</v>
      </c>
      <c r="B1412" t="s">
        <v>1933</v>
      </c>
      <c r="C1412" t="s">
        <v>64</v>
      </c>
      <c r="D1412" t="s">
        <v>1934</v>
      </c>
      <c r="E1412" s="2">
        <v>1351</v>
      </c>
    </row>
    <row r="1413" spans="1:5" x14ac:dyDescent="0.25">
      <c r="A1413" t="str">
        <f t="shared" si="22"/>
        <v>MA-1</v>
      </c>
      <c r="B1413" t="s">
        <v>1935</v>
      </c>
      <c r="C1413" t="s">
        <v>28</v>
      </c>
      <c r="D1413" t="s">
        <v>1936</v>
      </c>
      <c r="E1413" s="2">
        <v>1351</v>
      </c>
    </row>
    <row r="1414" spans="1:5" x14ac:dyDescent="0.25">
      <c r="A1414" t="str">
        <f t="shared" ref="A1414:A1477" si="23">LEFT(B1414,4)</f>
        <v>MA-1</v>
      </c>
      <c r="B1414" t="s">
        <v>1935</v>
      </c>
      <c r="C1414" t="s">
        <v>28</v>
      </c>
      <c r="D1414" t="s">
        <v>1451</v>
      </c>
      <c r="E1414" s="2">
        <v>1351</v>
      </c>
    </row>
    <row r="1415" spans="1:5" x14ac:dyDescent="0.25">
      <c r="A1415" t="str">
        <f t="shared" si="23"/>
        <v xml:space="preserve">VAR </v>
      </c>
      <c r="B1415" t="s">
        <v>1937</v>
      </c>
      <c r="C1415" t="s">
        <v>57</v>
      </c>
      <c r="D1415" t="s">
        <v>1938</v>
      </c>
      <c r="E1415" s="2">
        <v>1342</v>
      </c>
    </row>
    <row r="1416" spans="1:5" x14ac:dyDescent="0.25">
      <c r="A1416" t="str">
        <f t="shared" si="23"/>
        <v xml:space="preserve">VAR </v>
      </c>
      <c r="B1416" t="s">
        <v>1937</v>
      </c>
      <c r="C1416" t="s">
        <v>89</v>
      </c>
      <c r="D1416" t="s">
        <v>1939</v>
      </c>
      <c r="E1416" s="2">
        <v>1342</v>
      </c>
    </row>
    <row r="1417" spans="1:5" x14ac:dyDescent="0.25">
      <c r="A1417" t="str">
        <f t="shared" si="23"/>
        <v>Capa</v>
      </c>
      <c r="B1417" t="s">
        <v>2358</v>
      </c>
      <c r="C1417" t="s">
        <v>1593</v>
      </c>
      <c r="D1417" t="s">
        <v>1940</v>
      </c>
      <c r="E1417" s="2">
        <v>1331</v>
      </c>
    </row>
    <row r="1418" spans="1:5" x14ac:dyDescent="0.25">
      <c r="A1418" t="str">
        <f t="shared" si="23"/>
        <v>Capa</v>
      </c>
      <c r="B1418" t="s">
        <v>2358</v>
      </c>
      <c r="C1418" t="s">
        <v>1393</v>
      </c>
      <c r="D1418" t="s">
        <v>1941</v>
      </c>
      <c r="E1418" s="2">
        <v>1331</v>
      </c>
    </row>
    <row r="1419" spans="1:5" x14ac:dyDescent="0.25">
      <c r="A1419" t="str">
        <f t="shared" si="23"/>
        <v xml:space="preserve">RST </v>
      </c>
      <c r="B1419" t="s">
        <v>1942</v>
      </c>
      <c r="C1419" t="s">
        <v>13</v>
      </c>
      <c r="D1419" t="s">
        <v>164</v>
      </c>
      <c r="E1419" s="2">
        <v>1331</v>
      </c>
    </row>
    <row r="1420" spans="1:5" x14ac:dyDescent="0.25">
      <c r="A1420" t="str">
        <f t="shared" si="23"/>
        <v xml:space="preserve">RST </v>
      </c>
      <c r="B1420" t="s">
        <v>1942</v>
      </c>
      <c r="C1420" t="s">
        <v>89</v>
      </c>
      <c r="D1420" t="s">
        <v>1943</v>
      </c>
      <c r="E1420" s="2">
        <v>1331</v>
      </c>
    </row>
    <row r="1421" spans="1:5" x14ac:dyDescent="0.25">
      <c r="A1421" t="str">
        <f t="shared" si="23"/>
        <v>Capa</v>
      </c>
      <c r="B1421" t="s">
        <v>2359</v>
      </c>
      <c r="C1421" t="s">
        <v>13</v>
      </c>
      <c r="D1421" t="s">
        <v>1944</v>
      </c>
      <c r="E1421" s="2">
        <v>1330</v>
      </c>
    </row>
    <row r="1422" spans="1:5" x14ac:dyDescent="0.25">
      <c r="A1422" t="str">
        <f t="shared" si="23"/>
        <v>Capa</v>
      </c>
      <c r="B1422" t="s">
        <v>2359</v>
      </c>
      <c r="C1422" t="s">
        <v>73</v>
      </c>
      <c r="D1422" t="s">
        <v>1945</v>
      </c>
      <c r="E1422" s="2">
        <v>1330</v>
      </c>
    </row>
    <row r="1423" spans="1:5" x14ac:dyDescent="0.25">
      <c r="A1423" t="str">
        <f t="shared" si="23"/>
        <v>Capa</v>
      </c>
      <c r="B1423" t="s">
        <v>2359</v>
      </c>
      <c r="C1423" t="s">
        <v>62</v>
      </c>
      <c r="D1423" t="s">
        <v>1946</v>
      </c>
      <c r="E1423" s="2">
        <v>1330</v>
      </c>
    </row>
    <row r="1424" spans="1:5" x14ac:dyDescent="0.25">
      <c r="A1424" t="str">
        <f t="shared" si="23"/>
        <v xml:space="preserve">RST </v>
      </c>
      <c r="B1424" t="s">
        <v>1947</v>
      </c>
      <c r="C1424" t="s">
        <v>13</v>
      </c>
      <c r="D1424" t="s">
        <v>1948</v>
      </c>
      <c r="E1424" s="2">
        <v>1325</v>
      </c>
    </row>
    <row r="1425" spans="1:5" x14ac:dyDescent="0.25">
      <c r="A1425" t="str">
        <f t="shared" si="23"/>
        <v>Capa</v>
      </c>
      <c r="B1425" t="s">
        <v>2360</v>
      </c>
      <c r="C1425" t="s">
        <v>45</v>
      </c>
      <c r="D1425" t="s">
        <v>1949</v>
      </c>
      <c r="E1425" s="2">
        <v>1321</v>
      </c>
    </row>
    <row r="1426" spans="1:5" x14ac:dyDescent="0.25">
      <c r="A1426" t="str">
        <f t="shared" si="23"/>
        <v>Capa</v>
      </c>
      <c r="B1426" t="s">
        <v>2360</v>
      </c>
      <c r="C1426" t="s">
        <v>47</v>
      </c>
      <c r="D1426" t="s">
        <v>1950</v>
      </c>
      <c r="E1426" s="2">
        <v>1321</v>
      </c>
    </row>
    <row r="1427" spans="1:5" x14ac:dyDescent="0.25">
      <c r="A1427" t="str">
        <f t="shared" si="23"/>
        <v>Capa</v>
      </c>
      <c r="B1427" t="s">
        <v>2360</v>
      </c>
      <c r="C1427" t="s">
        <v>37</v>
      </c>
      <c r="D1427" t="s">
        <v>1951</v>
      </c>
      <c r="E1427" s="2">
        <v>1321</v>
      </c>
    </row>
    <row r="1428" spans="1:5" x14ac:dyDescent="0.25">
      <c r="A1428" t="str">
        <f t="shared" si="23"/>
        <v>Capa</v>
      </c>
      <c r="B1428" t="s">
        <v>2360</v>
      </c>
      <c r="C1428" t="s">
        <v>49</v>
      </c>
      <c r="D1428" t="s">
        <v>1952</v>
      </c>
      <c r="E1428" s="2">
        <v>1321</v>
      </c>
    </row>
    <row r="1429" spans="1:5" x14ac:dyDescent="0.25">
      <c r="A1429" t="str">
        <f t="shared" si="23"/>
        <v>Capa</v>
      </c>
      <c r="B1429" t="s">
        <v>2360</v>
      </c>
      <c r="C1429" t="s">
        <v>49</v>
      </c>
      <c r="D1429" t="s">
        <v>1953</v>
      </c>
      <c r="E1429" s="2">
        <v>1321</v>
      </c>
    </row>
    <row r="1430" spans="1:5" x14ac:dyDescent="0.25">
      <c r="A1430" t="str">
        <f t="shared" si="23"/>
        <v xml:space="preserve">RST </v>
      </c>
      <c r="B1430" t="s">
        <v>1954</v>
      </c>
      <c r="C1430" t="s">
        <v>13</v>
      </c>
      <c r="D1430" t="s">
        <v>1955</v>
      </c>
      <c r="E1430" s="2">
        <v>1321</v>
      </c>
    </row>
    <row r="1431" spans="1:5" x14ac:dyDescent="0.25">
      <c r="A1431" t="str">
        <f t="shared" si="23"/>
        <v xml:space="preserve">RST </v>
      </c>
      <c r="B1431" t="s">
        <v>1956</v>
      </c>
      <c r="C1431" t="s">
        <v>13</v>
      </c>
      <c r="D1431" t="s">
        <v>1957</v>
      </c>
      <c r="E1431" s="2">
        <v>1317</v>
      </c>
    </row>
    <row r="1432" spans="1:5" x14ac:dyDescent="0.25">
      <c r="A1432" t="str">
        <f t="shared" si="23"/>
        <v>Capa</v>
      </c>
      <c r="B1432" t="s">
        <v>2361</v>
      </c>
      <c r="C1432" t="s">
        <v>47</v>
      </c>
      <c r="D1432" t="s">
        <v>1958</v>
      </c>
      <c r="E1432" s="2">
        <v>1315</v>
      </c>
    </row>
    <row r="1433" spans="1:5" x14ac:dyDescent="0.25">
      <c r="A1433" t="str">
        <f t="shared" si="23"/>
        <v>Capa</v>
      </c>
      <c r="B1433" t="s">
        <v>2361</v>
      </c>
      <c r="C1433" t="s">
        <v>8</v>
      </c>
      <c r="D1433" t="s">
        <v>1959</v>
      </c>
      <c r="E1433" s="2">
        <v>1315</v>
      </c>
    </row>
    <row r="1434" spans="1:5" x14ac:dyDescent="0.25">
      <c r="A1434" t="str">
        <f t="shared" si="23"/>
        <v>Capa</v>
      </c>
      <c r="B1434" t="s">
        <v>2362</v>
      </c>
      <c r="C1434" t="s">
        <v>1205</v>
      </c>
      <c r="D1434" t="s">
        <v>1960</v>
      </c>
      <c r="E1434" s="2">
        <v>1315</v>
      </c>
    </row>
    <row r="1435" spans="1:5" x14ac:dyDescent="0.25">
      <c r="A1435" t="str">
        <f t="shared" si="23"/>
        <v>Capa</v>
      </c>
      <c r="B1435" t="s">
        <v>2362</v>
      </c>
      <c r="C1435" t="s">
        <v>1593</v>
      </c>
      <c r="D1435" t="s">
        <v>1961</v>
      </c>
      <c r="E1435" s="2">
        <v>1315</v>
      </c>
    </row>
    <row r="1436" spans="1:5" x14ac:dyDescent="0.25">
      <c r="A1436" t="str">
        <f t="shared" si="23"/>
        <v>Capa</v>
      </c>
      <c r="B1436" t="s">
        <v>2362</v>
      </c>
      <c r="C1436" t="s">
        <v>1393</v>
      </c>
      <c r="D1436" t="s">
        <v>1962</v>
      </c>
      <c r="E1436" s="2">
        <v>1315</v>
      </c>
    </row>
    <row r="1437" spans="1:5" x14ac:dyDescent="0.25">
      <c r="A1437" t="str">
        <f t="shared" si="23"/>
        <v>Capa</v>
      </c>
      <c r="B1437" t="s">
        <v>2363</v>
      </c>
      <c r="C1437" t="s">
        <v>45</v>
      </c>
      <c r="D1437" t="s">
        <v>1963</v>
      </c>
      <c r="E1437" s="2">
        <v>1311</v>
      </c>
    </row>
    <row r="1438" spans="1:5" x14ac:dyDescent="0.25">
      <c r="A1438" t="str">
        <f t="shared" si="23"/>
        <v>Capa</v>
      </c>
      <c r="B1438" t="s">
        <v>2363</v>
      </c>
      <c r="C1438" t="s">
        <v>47</v>
      </c>
      <c r="D1438" t="s">
        <v>1964</v>
      </c>
      <c r="E1438" s="2">
        <v>1311</v>
      </c>
    </row>
    <row r="1439" spans="1:5" x14ac:dyDescent="0.25">
      <c r="A1439" t="str">
        <f t="shared" si="23"/>
        <v>Capa</v>
      </c>
      <c r="B1439" t="s">
        <v>2363</v>
      </c>
      <c r="C1439" t="s">
        <v>64</v>
      </c>
      <c r="D1439" t="s">
        <v>1965</v>
      </c>
      <c r="E1439" s="2">
        <v>1311</v>
      </c>
    </row>
    <row r="1440" spans="1:5" x14ac:dyDescent="0.25">
      <c r="A1440" t="str">
        <f t="shared" si="23"/>
        <v>Capa</v>
      </c>
      <c r="B1440" t="s">
        <v>2363</v>
      </c>
      <c r="C1440" t="s">
        <v>73</v>
      </c>
      <c r="D1440" t="s">
        <v>1966</v>
      </c>
      <c r="E1440" s="2">
        <v>1311</v>
      </c>
    </row>
    <row r="1441" spans="1:5" x14ac:dyDescent="0.25">
      <c r="A1441" t="str">
        <f t="shared" si="23"/>
        <v>Capa</v>
      </c>
      <c r="B1441" t="s">
        <v>2363</v>
      </c>
      <c r="C1441" t="s">
        <v>73</v>
      </c>
      <c r="D1441" t="s">
        <v>1967</v>
      </c>
      <c r="E1441" s="2">
        <v>1311</v>
      </c>
    </row>
    <row r="1442" spans="1:5" x14ac:dyDescent="0.25">
      <c r="A1442" t="str">
        <f t="shared" si="23"/>
        <v>Capa</v>
      </c>
      <c r="B1442" t="s">
        <v>2363</v>
      </c>
      <c r="C1442" t="s">
        <v>1351</v>
      </c>
      <c r="D1442" t="s">
        <v>1968</v>
      </c>
      <c r="E1442" s="2">
        <v>1311</v>
      </c>
    </row>
    <row r="1443" spans="1:5" x14ac:dyDescent="0.25">
      <c r="A1443" t="str">
        <f t="shared" si="23"/>
        <v xml:space="preserve">RST </v>
      </c>
      <c r="B1443" t="s">
        <v>1969</v>
      </c>
      <c r="C1443" t="s">
        <v>13</v>
      </c>
      <c r="D1443" t="s">
        <v>1970</v>
      </c>
      <c r="E1443" s="2">
        <v>1311</v>
      </c>
    </row>
    <row r="1444" spans="1:5" x14ac:dyDescent="0.25">
      <c r="A1444" t="str">
        <f t="shared" si="23"/>
        <v xml:space="preserve">RST </v>
      </c>
      <c r="B1444" t="s">
        <v>1969</v>
      </c>
      <c r="C1444" t="s">
        <v>37</v>
      </c>
      <c r="D1444" t="s">
        <v>1971</v>
      </c>
      <c r="E1444" s="2">
        <v>1311</v>
      </c>
    </row>
    <row r="1445" spans="1:5" x14ac:dyDescent="0.25">
      <c r="A1445" t="str">
        <f t="shared" si="23"/>
        <v>Capa</v>
      </c>
      <c r="B1445" t="s">
        <v>2364</v>
      </c>
      <c r="C1445" t="s">
        <v>47</v>
      </c>
      <c r="D1445" t="s">
        <v>1972</v>
      </c>
      <c r="E1445" s="2">
        <v>1309</v>
      </c>
    </row>
    <row r="1446" spans="1:5" x14ac:dyDescent="0.25">
      <c r="A1446" t="str">
        <f t="shared" si="23"/>
        <v>Capa</v>
      </c>
      <c r="B1446" t="s">
        <v>2364</v>
      </c>
      <c r="C1446" t="s">
        <v>49</v>
      </c>
      <c r="D1446" t="s">
        <v>1973</v>
      </c>
      <c r="E1446" s="2">
        <v>1309</v>
      </c>
    </row>
    <row r="1447" spans="1:5" x14ac:dyDescent="0.25">
      <c r="A1447" t="str">
        <f t="shared" si="23"/>
        <v>Capa</v>
      </c>
      <c r="B1447" t="s">
        <v>2364</v>
      </c>
      <c r="C1447" t="s">
        <v>49</v>
      </c>
      <c r="D1447" t="s">
        <v>1974</v>
      </c>
      <c r="E1447" s="2">
        <v>1309</v>
      </c>
    </row>
    <row r="1448" spans="1:5" x14ac:dyDescent="0.25">
      <c r="A1448" t="str">
        <f t="shared" si="23"/>
        <v xml:space="preserve">RST </v>
      </c>
      <c r="B1448" t="s">
        <v>1975</v>
      </c>
      <c r="C1448" t="s">
        <v>13</v>
      </c>
      <c r="D1448" t="s">
        <v>1976</v>
      </c>
      <c r="E1448" s="2">
        <v>1307</v>
      </c>
    </row>
    <row r="1449" spans="1:5" x14ac:dyDescent="0.25">
      <c r="A1449" t="str">
        <f t="shared" si="23"/>
        <v xml:space="preserve">RST </v>
      </c>
      <c r="B1449" t="s">
        <v>1977</v>
      </c>
      <c r="C1449" t="s">
        <v>13</v>
      </c>
      <c r="D1449" t="s">
        <v>1978</v>
      </c>
      <c r="E1449" s="2">
        <v>1302</v>
      </c>
    </row>
    <row r="1450" spans="1:5" x14ac:dyDescent="0.25">
      <c r="A1450" t="str">
        <f t="shared" si="23"/>
        <v xml:space="preserve">RST </v>
      </c>
      <c r="B1450" t="s">
        <v>1979</v>
      </c>
      <c r="C1450" t="s">
        <v>13</v>
      </c>
      <c r="D1450" t="s">
        <v>1980</v>
      </c>
      <c r="E1450" s="2">
        <v>1297</v>
      </c>
    </row>
    <row r="1451" spans="1:5" x14ac:dyDescent="0.25">
      <c r="A1451" t="str">
        <f t="shared" si="23"/>
        <v xml:space="preserve">RST </v>
      </c>
      <c r="B1451" t="s">
        <v>1981</v>
      </c>
      <c r="C1451" t="s">
        <v>13</v>
      </c>
      <c r="D1451" t="s">
        <v>1982</v>
      </c>
      <c r="E1451" s="2">
        <v>1294</v>
      </c>
    </row>
    <row r="1452" spans="1:5" x14ac:dyDescent="0.25">
      <c r="A1452" t="str">
        <f t="shared" si="23"/>
        <v xml:space="preserve">RST </v>
      </c>
      <c r="B1452" t="s">
        <v>1983</v>
      </c>
      <c r="C1452" t="s">
        <v>13</v>
      </c>
      <c r="D1452" t="s">
        <v>1984</v>
      </c>
      <c r="E1452" s="2">
        <v>1292</v>
      </c>
    </row>
    <row r="1453" spans="1:5" x14ac:dyDescent="0.25">
      <c r="A1453" t="str">
        <f t="shared" si="23"/>
        <v>Capa</v>
      </c>
      <c r="B1453" t="s">
        <v>2365</v>
      </c>
      <c r="C1453" t="s">
        <v>47</v>
      </c>
      <c r="D1453" t="s">
        <v>1985</v>
      </c>
      <c r="E1453" s="2">
        <v>1290</v>
      </c>
    </row>
    <row r="1454" spans="1:5" x14ac:dyDescent="0.25">
      <c r="A1454" t="str">
        <f t="shared" si="23"/>
        <v>Capa</v>
      </c>
      <c r="B1454" t="s">
        <v>2365</v>
      </c>
      <c r="C1454" t="s">
        <v>47</v>
      </c>
      <c r="D1454" t="s">
        <v>1986</v>
      </c>
      <c r="E1454" s="2">
        <v>1290</v>
      </c>
    </row>
    <row r="1455" spans="1:5" x14ac:dyDescent="0.25">
      <c r="A1455" t="str">
        <f t="shared" si="23"/>
        <v>IC C</v>
      </c>
      <c r="B1455" t="s">
        <v>1987</v>
      </c>
      <c r="C1455" t="s">
        <v>825</v>
      </c>
      <c r="D1455" t="s">
        <v>1988</v>
      </c>
      <c r="E1455" s="2">
        <v>1281</v>
      </c>
    </row>
    <row r="1456" spans="1:5" x14ac:dyDescent="0.25">
      <c r="A1456" t="str">
        <f t="shared" si="23"/>
        <v xml:space="preserve">RST </v>
      </c>
      <c r="B1456" t="s">
        <v>1989</v>
      </c>
      <c r="C1456" t="s">
        <v>89</v>
      </c>
      <c r="D1456" t="s">
        <v>1990</v>
      </c>
      <c r="E1456" s="2">
        <v>1276</v>
      </c>
    </row>
    <row r="1457" spans="1:5" x14ac:dyDescent="0.25">
      <c r="A1457" t="str">
        <f t="shared" si="23"/>
        <v xml:space="preserve">RST </v>
      </c>
      <c r="B1457" t="s">
        <v>1989</v>
      </c>
      <c r="C1457" t="s">
        <v>1991</v>
      </c>
      <c r="D1457" t="s">
        <v>1992</v>
      </c>
      <c r="E1457" s="2">
        <v>1276</v>
      </c>
    </row>
    <row r="1458" spans="1:5" x14ac:dyDescent="0.25">
      <c r="A1458" t="str">
        <f t="shared" si="23"/>
        <v>Capa</v>
      </c>
      <c r="B1458" t="s">
        <v>2366</v>
      </c>
      <c r="C1458" t="s">
        <v>47</v>
      </c>
      <c r="D1458" t="s">
        <v>1993</v>
      </c>
      <c r="E1458" s="2">
        <v>1274</v>
      </c>
    </row>
    <row r="1459" spans="1:5" x14ac:dyDescent="0.25">
      <c r="A1459" t="str">
        <f t="shared" si="23"/>
        <v>Capa</v>
      </c>
      <c r="B1459" t="s">
        <v>2366</v>
      </c>
      <c r="C1459" t="s">
        <v>47</v>
      </c>
      <c r="D1459" t="s">
        <v>1994</v>
      </c>
      <c r="E1459" s="2">
        <v>1274</v>
      </c>
    </row>
    <row r="1460" spans="1:5" x14ac:dyDescent="0.25">
      <c r="A1460" t="str">
        <f t="shared" si="23"/>
        <v>Capa</v>
      </c>
      <c r="B1460" t="s">
        <v>2366</v>
      </c>
      <c r="C1460" t="s">
        <v>37</v>
      </c>
      <c r="D1460" t="s">
        <v>1995</v>
      </c>
      <c r="E1460" s="2">
        <v>1274</v>
      </c>
    </row>
    <row r="1461" spans="1:5" x14ac:dyDescent="0.25">
      <c r="A1461" t="str">
        <f t="shared" si="23"/>
        <v>Capa</v>
      </c>
      <c r="B1461" t="s">
        <v>2366</v>
      </c>
      <c r="C1461" t="s">
        <v>62</v>
      </c>
      <c r="D1461" t="s">
        <v>1996</v>
      </c>
      <c r="E1461" s="2">
        <v>1274</v>
      </c>
    </row>
    <row r="1462" spans="1:5" x14ac:dyDescent="0.25">
      <c r="A1462" t="str">
        <f t="shared" si="23"/>
        <v xml:space="preserve">RST </v>
      </c>
      <c r="B1462" t="s">
        <v>1997</v>
      </c>
      <c r="C1462" t="s">
        <v>13</v>
      </c>
      <c r="D1462" t="s">
        <v>1998</v>
      </c>
      <c r="E1462" s="2">
        <v>1272</v>
      </c>
    </row>
    <row r="1463" spans="1:5" x14ac:dyDescent="0.25">
      <c r="A1463" t="str">
        <f t="shared" si="23"/>
        <v>CNTM</v>
      </c>
      <c r="B1463" t="s">
        <v>1999</v>
      </c>
      <c r="C1463" t="s">
        <v>202</v>
      </c>
      <c r="D1463" t="s">
        <v>2000</v>
      </c>
      <c r="E1463" s="2">
        <v>1266</v>
      </c>
    </row>
    <row r="1464" spans="1:5" x14ac:dyDescent="0.25">
      <c r="A1464" t="str">
        <f t="shared" si="23"/>
        <v>MOSF</v>
      </c>
      <c r="B1464" t="s">
        <v>2483</v>
      </c>
      <c r="C1464" t="s">
        <v>37</v>
      </c>
      <c r="D1464" t="s">
        <v>2001</v>
      </c>
      <c r="E1464" s="2">
        <v>1260</v>
      </c>
    </row>
    <row r="1465" spans="1:5" x14ac:dyDescent="0.25">
      <c r="A1465" t="str">
        <f t="shared" si="23"/>
        <v>Capa</v>
      </c>
      <c r="B1465" t="s">
        <v>2367</v>
      </c>
      <c r="C1465" t="s">
        <v>45</v>
      </c>
      <c r="D1465" t="s">
        <v>2002</v>
      </c>
      <c r="E1465" s="2">
        <v>1250</v>
      </c>
    </row>
    <row r="1466" spans="1:5" x14ac:dyDescent="0.25">
      <c r="A1466" t="str">
        <f t="shared" si="23"/>
        <v>Capa</v>
      </c>
      <c r="B1466" t="s">
        <v>2368</v>
      </c>
      <c r="C1466" t="s">
        <v>8</v>
      </c>
      <c r="D1466" t="s">
        <v>2003</v>
      </c>
      <c r="E1466" s="2">
        <v>1233</v>
      </c>
    </row>
    <row r="1467" spans="1:5" x14ac:dyDescent="0.25">
      <c r="A1467" t="str">
        <f t="shared" si="23"/>
        <v>Capa</v>
      </c>
      <c r="B1467" t="s">
        <v>2369</v>
      </c>
      <c r="C1467" t="s">
        <v>176</v>
      </c>
      <c r="D1467" t="s">
        <v>2004</v>
      </c>
      <c r="E1467" s="2">
        <v>1221</v>
      </c>
    </row>
    <row r="1468" spans="1:5" x14ac:dyDescent="0.25">
      <c r="A1468" t="str">
        <f t="shared" si="23"/>
        <v>Capa</v>
      </c>
      <c r="B1468" t="s">
        <v>2369</v>
      </c>
      <c r="C1468" t="s">
        <v>45</v>
      </c>
      <c r="D1468" t="s">
        <v>2005</v>
      </c>
      <c r="E1468" s="2">
        <v>1221</v>
      </c>
    </row>
    <row r="1469" spans="1:5" x14ac:dyDescent="0.25">
      <c r="A1469" t="str">
        <f t="shared" si="23"/>
        <v>Capa</v>
      </c>
      <c r="B1469" t="s">
        <v>2369</v>
      </c>
      <c r="C1469" t="s">
        <v>45</v>
      </c>
      <c r="D1469" t="s">
        <v>2006</v>
      </c>
      <c r="E1469" s="2">
        <v>1221</v>
      </c>
    </row>
    <row r="1470" spans="1:5" x14ac:dyDescent="0.25">
      <c r="A1470" t="str">
        <f t="shared" si="23"/>
        <v>Capa</v>
      </c>
      <c r="B1470" t="s">
        <v>2369</v>
      </c>
      <c r="C1470" t="s">
        <v>290</v>
      </c>
      <c r="D1470" t="s">
        <v>2007</v>
      </c>
      <c r="E1470" s="2">
        <v>1221</v>
      </c>
    </row>
    <row r="1471" spans="1:5" x14ac:dyDescent="0.25">
      <c r="A1471" t="str">
        <f t="shared" si="23"/>
        <v>Capa</v>
      </c>
      <c r="B1471" t="s">
        <v>2369</v>
      </c>
      <c r="C1471" t="s">
        <v>123</v>
      </c>
      <c r="D1471" t="s">
        <v>2008</v>
      </c>
      <c r="E1471" s="2">
        <v>1221</v>
      </c>
    </row>
    <row r="1472" spans="1:5" x14ac:dyDescent="0.25">
      <c r="A1472" t="str">
        <f t="shared" si="23"/>
        <v>Capa</v>
      </c>
      <c r="B1472" t="s">
        <v>2369</v>
      </c>
      <c r="C1472" t="s">
        <v>123</v>
      </c>
      <c r="D1472" t="s">
        <v>2009</v>
      </c>
      <c r="E1472" s="2">
        <v>1221</v>
      </c>
    </row>
    <row r="1473" spans="1:5" x14ac:dyDescent="0.25">
      <c r="A1473" t="str">
        <f t="shared" si="23"/>
        <v xml:space="preserve">RST </v>
      </c>
      <c r="B1473" t="s">
        <v>2010</v>
      </c>
      <c r="C1473" t="s">
        <v>37</v>
      </c>
      <c r="D1473" t="s">
        <v>2011</v>
      </c>
      <c r="E1473" s="2">
        <v>1220</v>
      </c>
    </row>
    <row r="1474" spans="1:5" x14ac:dyDescent="0.25">
      <c r="A1474" t="str">
        <f t="shared" si="23"/>
        <v xml:space="preserve">RST </v>
      </c>
      <c r="B1474" t="s">
        <v>2010</v>
      </c>
      <c r="C1474" t="s">
        <v>37</v>
      </c>
      <c r="D1474" t="s">
        <v>2012</v>
      </c>
      <c r="E1474" s="2">
        <v>1220</v>
      </c>
    </row>
    <row r="1475" spans="1:5" x14ac:dyDescent="0.25">
      <c r="A1475" t="str">
        <f t="shared" si="23"/>
        <v>WAVE</v>
      </c>
      <c r="B1475" t="s">
        <v>2013</v>
      </c>
      <c r="C1475" t="s">
        <v>2014</v>
      </c>
      <c r="D1475" t="s">
        <v>2015</v>
      </c>
      <c r="E1475" s="2">
        <v>1206</v>
      </c>
    </row>
    <row r="1476" spans="1:5" x14ac:dyDescent="0.25">
      <c r="A1476" t="str">
        <f t="shared" si="23"/>
        <v>WAVE</v>
      </c>
      <c r="B1476" t="s">
        <v>2013</v>
      </c>
      <c r="C1476" t="s">
        <v>2014</v>
      </c>
      <c r="D1476" t="s">
        <v>2016</v>
      </c>
      <c r="E1476" s="2">
        <v>1206</v>
      </c>
    </row>
    <row r="1477" spans="1:5" x14ac:dyDescent="0.25">
      <c r="A1477" t="str">
        <f t="shared" si="23"/>
        <v>WAVE</v>
      </c>
      <c r="B1477" t="s">
        <v>2013</v>
      </c>
      <c r="C1477" t="s">
        <v>2014</v>
      </c>
      <c r="D1477" t="s">
        <v>2017</v>
      </c>
      <c r="E1477" s="2">
        <v>1206</v>
      </c>
    </row>
    <row r="1478" spans="1:5" x14ac:dyDescent="0.25">
      <c r="A1478" t="str">
        <f t="shared" ref="A1478:A1541" si="24">LEFT(B1478,4)</f>
        <v>Diod</v>
      </c>
      <c r="B1478" t="s">
        <v>2462</v>
      </c>
      <c r="C1478" t="s">
        <v>57</v>
      </c>
      <c r="D1478" t="s">
        <v>2018</v>
      </c>
      <c r="E1478" s="2">
        <v>1205</v>
      </c>
    </row>
    <row r="1479" spans="1:5" x14ac:dyDescent="0.25">
      <c r="A1479" t="str">
        <f t="shared" si="24"/>
        <v>Diod</v>
      </c>
      <c r="B1479" t="s">
        <v>2462</v>
      </c>
      <c r="C1479" t="s">
        <v>61</v>
      </c>
      <c r="D1479" t="s">
        <v>2019</v>
      </c>
      <c r="E1479" s="2">
        <v>1205</v>
      </c>
    </row>
    <row r="1480" spans="1:5" x14ac:dyDescent="0.25">
      <c r="A1480" t="str">
        <f t="shared" si="24"/>
        <v>Diod</v>
      </c>
      <c r="B1480" t="s">
        <v>2462</v>
      </c>
      <c r="C1480" t="s">
        <v>328</v>
      </c>
      <c r="D1480" t="s">
        <v>2018</v>
      </c>
      <c r="E1480" s="2">
        <v>1205</v>
      </c>
    </row>
    <row r="1481" spans="1:5" x14ac:dyDescent="0.25">
      <c r="A1481" t="str">
        <f t="shared" si="24"/>
        <v>Capa</v>
      </c>
      <c r="B1481" t="s">
        <v>2370</v>
      </c>
      <c r="C1481" t="s">
        <v>64</v>
      </c>
      <c r="D1481" t="s">
        <v>2020</v>
      </c>
      <c r="E1481" s="2">
        <v>1195</v>
      </c>
    </row>
    <row r="1482" spans="1:5" x14ac:dyDescent="0.25">
      <c r="A1482" t="str">
        <f t="shared" si="24"/>
        <v>Capa</v>
      </c>
      <c r="B1482" t="s">
        <v>2370</v>
      </c>
      <c r="C1482" t="s">
        <v>49</v>
      </c>
      <c r="D1482" t="s">
        <v>2021</v>
      </c>
      <c r="E1482" s="2">
        <v>1195</v>
      </c>
    </row>
    <row r="1483" spans="1:5" x14ac:dyDescent="0.25">
      <c r="A1483" t="str">
        <f t="shared" si="24"/>
        <v>Capa</v>
      </c>
      <c r="B1483" t="s">
        <v>2371</v>
      </c>
      <c r="C1483" t="s">
        <v>45</v>
      </c>
      <c r="D1483" t="s">
        <v>2022</v>
      </c>
      <c r="E1483" s="2">
        <v>1190</v>
      </c>
    </row>
    <row r="1484" spans="1:5" x14ac:dyDescent="0.25">
      <c r="A1484" t="str">
        <f t="shared" si="24"/>
        <v>Capa</v>
      </c>
      <c r="B1484" t="s">
        <v>2371</v>
      </c>
      <c r="C1484" t="s">
        <v>45</v>
      </c>
      <c r="D1484" t="s">
        <v>2023</v>
      </c>
      <c r="E1484" s="2">
        <v>1190</v>
      </c>
    </row>
    <row r="1485" spans="1:5" x14ac:dyDescent="0.25">
      <c r="A1485" t="str">
        <f t="shared" si="24"/>
        <v>Capa</v>
      </c>
      <c r="B1485" t="s">
        <v>2371</v>
      </c>
      <c r="C1485" t="s">
        <v>45</v>
      </c>
      <c r="D1485" t="s">
        <v>2024</v>
      </c>
      <c r="E1485" s="2">
        <v>1190</v>
      </c>
    </row>
    <row r="1486" spans="1:5" x14ac:dyDescent="0.25">
      <c r="A1486" t="str">
        <f t="shared" si="24"/>
        <v>Capa</v>
      </c>
      <c r="B1486" t="s">
        <v>2372</v>
      </c>
      <c r="C1486" t="s">
        <v>49</v>
      </c>
      <c r="D1486" t="s">
        <v>2025</v>
      </c>
      <c r="E1486" s="2">
        <v>1189</v>
      </c>
    </row>
    <row r="1487" spans="1:5" x14ac:dyDescent="0.25">
      <c r="A1487" t="str">
        <f t="shared" si="24"/>
        <v>MA-1</v>
      </c>
      <c r="B1487" t="s">
        <v>2026</v>
      </c>
      <c r="C1487" t="s">
        <v>257</v>
      </c>
      <c r="D1487" t="s">
        <v>2027</v>
      </c>
      <c r="E1487" s="2">
        <v>1188</v>
      </c>
    </row>
    <row r="1488" spans="1:5" x14ac:dyDescent="0.25">
      <c r="A1488" t="str">
        <f t="shared" si="24"/>
        <v>MA-1</v>
      </c>
      <c r="B1488" t="s">
        <v>2026</v>
      </c>
      <c r="C1488" t="s">
        <v>28</v>
      </c>
      <c r="D1488" t="s">
        <v>2027</v>
      </c>
      <c r="E1488" s="2">
        <v>1188</v>
      </c>
    </row>
    <row r="1489" spans="1:5" x14ac:dyDescent="0.25">
      <c r="A1489" t="str">
        <f t="shared" si="24"/>
        <v>MA-1</v>
      </c>
      <c r="B1489" t="s">
        <v>2028</v>
      </c>
      <c r="C1489" t="s">
        <v>946</v>
      </c>
      <c r="D1489" t="s">
        <v>2029</v>
      </c>
      <c r="E1489" s="2">
        <v>1180</v>
      </c>
    </row>
    <row r="1490" spans="1:5" x14ac:dyDescent="0.25">
      <c r="A1490" t="str">
        <f t="shared" si="24"/>
        <v>MA-1</v>
      </c>
      <c r="B1490" t="s">
        <v>2028</v>
      </c>
      <c r="C1490" t="s">
        <v>343</v>
      </c>
      <c r="D1490" t="s">
        <v>2030</v>
      </c>
      <c r="E1490" s="2">
        <v>1180</v>
      </c>
    </row>
    <row r="1491" spans="1:5" x14ac:dyDescent="0.25">
      <c r="A1491" t="str">
        <f t="shared" si="24"/>
        <v>MA-1</v>
      </c>
      <c r="B1491" t="s">
        <v>2028</v>
      </c>
      <c r="C1491" t="s">
        <v>343</v>
      </c>
      <c r="D1491" t="s">
        <v>2031</v>
      </c>
      <c r="E1491" s="2">
        <v>1180</v>
      </c>
    </row>
    <row r="1492" spans="1:5" x14ac:dyDescent="0.25">
      <c r="A1492" t="str">
        <f t="shared" si="24"/>
        <v>MA-1</v>
      </c>
      <c r="B1492" t="s">
        <v>2032</v>
      </c>
      <c r="C1492" t="s">
        <v>343</v>
      </c>
      <c r="D1492" t="s">
        <v>2033</v>
      </c>
      <c r="E1492" s="2">
        <v>1179</v>
      </c>
    </row>
    <row r="1493" spans="1:5" x14ac:dyDescent="0.25">
      <c r="A1493" t="str">
        <f t="shared" si="24"/>
        <v>MA-1</v>
      </c>
      <c r="B1493" t="s">
        <v>2034</v>
      </c>
      <c r="C1493" t="s">
        <v>37</v>
      </c>
      <c r="D1493" t="s">
        <v>2035</v>
      </c>
      <c r="E1493" s="2">
        <v>1179</v>
      </c>
    </row>
    <row r="1494" spans="1:5" x14ac:dyDescent="0.25">
      <c r="A1494" t="str">
        <f t="shared" si="24"/>
        <v xml:space="preserve">VAR </v>
      </c>
      <c r="B1494" t="s">
        <v>2036</v>
      </c>
      <c r="C1494" t="s">
        <v>57</v>
      </c>
      <c r="D1494" t="s">
        <v>2037</v>
      </c>
      <c r="E1494" s="2">
        <v>1179</v>
      </c>
    </row>
    <row r="1495" spans="1:5" x14ac:dyDescent="0.25">
      <c r="A1495" t="str">
        <f t="shared" si="24"/>
        <v>ICCM</v>
      </c>
      <c r="B1495" t="s">
        <v>2393</v>
      </c>
      <c r="C1495" t="s">
        <v>2038</v>
      </c>
      <c r="D1495" t="s">
        <v>2039</v>
      </c>
      <c r="E1495" s="2">
        <v>1172</v>
      </c>
    </row>
    <row r="1496" spans="1:5" x14ac:dyDescent="0.25">
      <c r="A1496" t="str">
        <f t="shared" si="24"/>
        <v>Capa</v>
      </c>
      <c r="B1496" t="s">
        <v>2373</v>
      </c>
      <c r="C1496" t="s">
        <v>1351</v>
      </c>
      <c r="D1496" t="s">
        <v>2040</v>
      </c>
      <c r="E1496" s="2">
        <v>1155</v>
      </c>
    </row>
    <row r="1497" spans="1:5" x14ac:dyDescent="0.25">
      <c r="A1497" t="str">
        <f t="shared" si="24"/>
        <v xml:space="preserve">RST </v>
      </c>
      <c r="B1497" t="s">
        <v>2041</v>
      </c>
      <c r="C1497" t="s">
        <v>37</v>
      </c>
      <c r="D1497" t="s">
        <v>2042</v>
      </c>
      <c r="E1497" s="2">
        <v>1153</v>
      </c>
    </row>
    <row r="1498" spans="1:5" x14ac:dyDescent="0.25">
      <c r="A1498" t="str">
        <f t="shared" si="24"/>
        <v xml:space="preserve">RST </v>
      </c>
      <c r="B1498" t="s">
        <v>2041</v>
      </c>
      <c r="C1498" t="s">
        <v>320</v>
      </c>
      <c r="D1498" t="s">
        <v>2043</v>
      </c>
      <c r="E1498" s="2">
        <v>1153</v>
      </c>
    </row>
    <row r="1499" spans="1:5" x14ac:dyDescent="0.25">
      <c r="A1499" t="str">
        <f t="shared" si="24"/>
        <v xml:space="preserve">RST </v>
      </c>
      <c r="B1499" t="s">
        <v>2044</v>
      </c>
      <c r="C1499" t="s">
        <v>207</v>
      </c>
      <c r="D1499" t="s">
        <v>2045</v>
      </c>
      <c r="E1499" s="2">
        <v>1137</v>
      </c>
    </row>
    <row r="1500" spans="1:5" x14ac:dyDescent="0.25">
      <c r="A1500" t="str">
        <f t="shared" si="24"/>
        <v>MOSF</v>
      </c>
      <c r="B1500" t="s">
        <v>2484</v>
      </c>
      <c r="C1500" t="s">
        <v>2467</v>
      </c>
      <c r="D1500" t="s">
        <v>2046</v>
      </c>
      <c r="E1500" s="2">
        <v>1131</v>
      </c>
    </row>
    <row r="1501" spans="1:5" x14ac:dyDescent="0.25">
      <c r="A1501" t="str">
        <f t="shared" si="24"/>
        <v>Capa</v>
      </c>
      <c r="B1501" t="s">
        <v>2374</v>
      </c>
      <c r="C1501" t="s">
        <v>8</v>
      </c>
      <c r="D1501" t="s">
        <v>2047</v>
      </c>
      <c r="E1501" s="2">
        <v>1123</v>
      </c>
    </row>
    <row r="1502" spans="1:5" x14ac:dyDescent="0.25">
      <c r="A1502" t="str">
        <f t="shared" si="24"/>
        <v>Capa</v>
      </c>
      <c r="B1502" t="s">
        <v>2374</v>
      </c>
      <c r="C1502" t="s">
        <v>8</v>
      </c>
      <c r="D1502" t="s">
        <v>2048</v>
      </c>
      <c r="E1502" s="2">
        <v>1123</v>
      </c>
    </row>
    <row r="1503" spans="1:5" x14ac:dyDescent="0.25">
      <c r="A1503" t="str">
        <f t="shared" si="24"/>
        <v xml:space="preserve">RST </v>
      </c>
      <c r="B1503" t="s">
        <v>2049</v>
      </c>
      <c r="C1503" t="s">
        <v>2050</v>
      </c>
      <c r="D1503" t="s">
        <v>2051</v>
      </c>
      <c r="E1503" s="2">
        <v>1121</v>
      </c>
    </row>
    <row r="1504" spans="1:5" x14ac:dyDescent="0.25">
      <c r="A1504" t="str">
        <f t="shared" si="24"/>
        <v xml:space="preserve">RST </v>
      </c>
      <c r="B1504" t="s">
        <v>2049</v>
      </c>
      <c r="C1504" t="s">
        <v>202</v>
      </c>
      <c r="D1504" t="s">
        <v>2052</v>
      </c>
      <c r="E1504" s="2">
        <v>1121</v>
      </c>
    </row>
    <row r="1505" spans="1:5" x14ac:dyDescent="0.25">
      <c r="A1505" t="str">
        <f t="shared" si="24"/>
        <v>IC A</v>
      </c>
      <c r="B1505" t="s">
        <v>2053</v>
      </c>
      <c r="C1505" t="s">
        <v>149</v>
      </c>
      <c r="D1505" t="s">
        <v>2054</v>
      </c>
      <c r="E1505" s="2">
        <v>1118</v>
      </c>
    </row>
    <row r="1506" spans="1:5" x14ac:dyDescent="0.25">
      <c r="A1506" t="str">
        <f t="shared" si="24"/>
        <v>IC A</v>
      </c>
      <c r="B1506" t="s">
        <v>2053</v>
      </c>
      <c r="C1506" t="s">
        <v>149</v>
      </c>
      <c r="D1506" t="s">
        <v>2055</v>
      </c>
      <c r="E1506" s="2">
        <v>1118</v>
      </c>
    </row>
    <row r="1507" spans="1:5" x14ac:dyDescent="0.25">
      <c r="A1507" t="str">
        <f t="shared" si="24"/>
        <v>IC A</v>
      </c>
      <c r="B1507" t="s">
        <v>2053</v>
      </c>
      <c r="C1507" t="s">
        <v>1669</v>
      </c>
      <c r="D1507" t="s">
        <v>2056</v>
      </c>
      <c r="E1507" s="2">
        <v>1118</v>
      </c>
    </row>
    <row r="1508" spans="1:5" x14ac:dyDescent="0.25">
      <c r="A1508" t="str">
        <f t="shared" si="24"/>
        <v>IC A</v>
      </c>
      <c r="B1508" t="s">
        <v>2053</v>
      </c>
      <c r="C1508" t="s">
        <v>2057</v>
      </c>
      <c r="D1508" t="s">
        <v>2058</v>
      </c>
      <c r="E1508" s="2">
        <v>1118</v>
      </c>
    </row>
    <row r="1509" spans="1:5" x14ac:dyDescent="0.25">
      <c r="A1509" t="str">
        <f t="shared" si="24"/>
        <v xml:space="preserve">PTC </v>
      </c>
      <c r="B1509" t="s">
        <v>2059</v>
      </c>
      <c r="C1509" t="s">
        <v>57</v>
      </c>
      <c r="D1509" t="s">
        <v>2060</v>
      </c>
      <c r="E1509" s="2">
        <v>1114</v>
      </c>
    </row>
    <row r="1510" spans="1:5" x14ac:dyDescent="0.25">
      <c r="A1510" t="str">
        <f t="shared" si="24"/>
        <v xml:space="preserve">RST </v>
      </c>
      <c r="B1510" t="s">
        <v>2061</v>
      </c>
      <c r="C1510" t="s">
        <v>13</v>
      </c>
      <c r="D1510" t="s">
        <v>2062</v>
      </c>
      <c r="E1510" s="2">
        <v>1107</v>
      </c>
    </row>
    <row r="1511" spans="1:5" x14ac:dyDescent="0.25">
      <c r="A1511" t="str">
        <f t="shared" si="24"/>
        <v xml:space="preserve">RST </v>
      </c>
      <c r="B1511" t="s">
        <v>2061</v>
      </c>
      <c r="C1511" t="s">
        <v>10</v>
      </c>
      <c r="D1511" t="s">
        <v>2063</v>
      </c>
      <c r="E1511" s="2">
        <v>1107</v>
      </c>
    </row>
    <row r="1512" spans="1:5" x14ac:dyDescent="0.25">
      <c r="A1512" t="str">
        <f t="shared" si="24"/>
        <v>Capa</v>
      </c>
      <c r="B1512" t="s">
        <v>2375</v>
      </c>
      <c r="C1512" t="s">
        <v>45</v>
      </c>
      <c r="D1512" t="s">
        <v>2064</v>
      </c>
      <c r="E1512" s="2">
        <v>1103</v>
      </c>
    </row>
    <row r="1513" spans="1:5" x14ac:dyDescent="0.25">
      <c r="A1513" t="str">
        <f t="shared" si="24"/>
        <v>TAPE</v>
      </c>
      <c r="B1513" t="s">
        <v>2065</v>
      </c>
      <c r="C1513" t="s">
        <v>2066</v>
      </c>
      <c r="D1513" t="s">
        <v>2067</v>
      </c>
      <c r="E1513" s="2">
        <v>1100</v>
      </c>
    </row>
    <row r="1514" spans="1:5" x14ac:dyDescent="0.25">
      <c r="A1514" t="str">
        <f t="shared" si="24"/>
        <v>TAPE</v>
      </c>
      <c r="B1514" t="s">
        <v>2065</v>
      </c>
      <c r="C1514" t="s">
        <v>2066</v>
      </c>
      <c r="D1514" t="s">
        <v>2068</v>
      </c>
      <c r="E1514" s="2">
        <v>1100</v>
      </c>
    </row>
    <row r="1515" spans="1:5" x14ac:dyDescent="0.25">
      <c r="A1515" t="str">
        <f t="shared" si="24"/>
        <v>TAPE</v>
      </c>
      <c r="B1515" t="s">
        <v>2065</v>
      </c>
      <c r="C1515" t="s">
        <v>2069</v>
      </c>
      <c r="D1515" t="s">
        <v>2067</v>
      </c>
      <c r="E1515" s="2">
        <v>1100</v>
      </c>
    </row>
    <row r="1516" spans="1:5" x14ac:dyDescent="0.25">
      <c r="A1516" t="str">
        <f t="shared" si="24"/>
        <v xml:space="preserve">LED </v>
      </c>
      <c r="B1516" t="s">
        <v>2070</v>
      </c>
      <c r="C1516" t="s">
        <v>37</v>
      </c>
      <c r="D1516" t="s">
        <v>2071</v>
      </c>
      <c r="E1516" s="2">
        <v>1092</v>
      </c>
    </row>
    <row r="1517" spans="1:5" x14ac:dyDescent="0.25">
      <c r="A1517" t="str">
        <f t="shared" si="24"/>
        <v>IC T</v>
      </c>
      <c r="B1517" t="s">
        <v>2072</v>
      </c>
      <c r="C1517" t="s">
        <v>149</v>
      </c>
      <c r="D1517" t="s">
        <v>2073</v>
      </c>
      <c r="E1517" s="2">
        <v>1080</v>
      </c>
    </row>
    <row r="1518" spans="1:5" x14ac:dyDescent="0.25">
      <c r="A1518" t="str">
        <f t="shared" si="24"/>
        <v>IC R</v>
      </c>
      <c r="B1518" t="s">
        <v>2074</v>
      </c>
      <c r="C1518" t="s">
        <v>149</v>
      </c>
      <c r="D1518" t="s">
        <v>2075</v>
      </c>
      <c r="E1518" s="2">
        <v>1074</v>
      </c>
    </row>
    <row r="1519" spans="1:5" x14ac:dyDescent="0.25">
      <c r="A1519" t="str">
        <f t="shared" si="24"/>
        <v>IC R</v>
      </c>
      <c r="B1519" t="s">
        <v>2074</v>
      </c>
      <c r="C1519" t="s">
        <v>149</v>
      </c>
      <c r="D1519" t="s">
        <v>2076</v>
      </c>
      <c r="E1519" s="2">
        <v>1074</v>
      </c>
    </row>
    <row r="1520" spans="1:5" x14ac:dyDescent="0.25">
      <c r="A1520" t="str">
        <f t="shared" si="24"/>
        <v>IC R</v>
      </c>
      <c r="B1520" t="s">
        <v>2074</v>
      </c>
      <c r="C1520" t="s">
        <v>149</v>
      </c>
      <c r="D1520" t="s">
        <v>2077</v>
      </c>
      <c r="E1520" s="2">
        <v>1074</v>
      </c>
    </row>
    <row r="1521" spans="1:5" x14ac:dyDescent="0.25">
      <c r="A1521" t="str">
        <f t="shared" si="24"/>
        <v>IC R</v>
      </c>
      <c r="B1521" t="s">
        <v>2074</v>
      </c>
      <c r="C1521" t="s">
        <v>1545</v>
      </c>
      <c r="D1521" t="s">
        <v>2078</v>
      </c>
      <c r="E1521" s="2">
        <v>1074</v>
      </c>
    </row>
    <row r="1522" spans="1:5" x14ac:dyDescent="0.25">
      <c r="A1522" t="str">
        <f t="shared" si="24"/>
        <v>Diod</v>
      </c>
      <c r="B1522" t="s">
        <v>2463</v>
      </c>
      <c r="C1522" t="s">
        <v>28</v>
      </c>
      <c r="D1522" t="s">
        <v>2079</v>
      </c>
      <c r="E1522" s="2">
        <v>1073</v>
      </c>
    </row>
    <row r="1523" spans="1:5" x14ac:dyDescent="0.25">
      <c r="A1523" t="str">
        <f t="shared" si="24"/>
        <v>Capa</v>
      </c>
      <c r="B1523" t="s">
        <v>2376</v>
      </c>
      <c r="C1523" t="s">
        <v>37</v>
      </c>
      <c r="D1523" t="s">
        <v>2080</v>
      </c>
      <c r="E1523" s="2">
        <v>1071</v>
      </c>
    </row>
    <row r="1524" spans="1:5" x14ac:dyDescent="0.25">
      <c r="A1524" t="str">
        <f t="shared" si="24"/>
        <v>ICWM</v>
      </c>
      <c r="B1524" t="s">
        <v>2471</v>
      </c>
      <c r="C1524" t="s">
        <v>2472</v>
      </c>
      <c r="D1524" t="s">
        <v>2081</v>
      </c>
      <c r="E1524" s="2">
        <v>1070</v>
      </c>
    </row>
    <row r="1525" spans="1:5" x14ac:dyDescent="0.25">
      <c r="A1525" t="str">
        <f t="shared" si="24"/>
        <v>ICWM</v>
      </c>
      <c r="B1525" t="s">
        <v>2471</v>
      </c>
      <c r="C1525" t="s">
        <v>2082</v>
      </c>
      <c r="D1525" t="s">
        <v>2081</v>
      </c>
      <c r="E1525" s="2">
        <v>1070</v>
      </c>
    </row>
    <row r="1526" spans="1:5" x14ac:dyDescent="0.25">
      <c r="A1526" t="str">
        <f t="shared" si="24"/>
        <v>Diod</v>
      </c>
      <c r="B1526" t="s">
        <v>2464</v>
      </c>
      <c r="C1526" t="s">
        <v>521</v>
      </c>
      <c r="D1526" t="s">
        <v>2083</v>
      </c>
      <c r="E1526" s="2">
        <v>1067</v>
      </c>
    </row>
    <row r="1527" spans="1:5" x14ac:dyDescent="0.25">
      <c r="A1527" t="str">
        <f t="shared" si="24"/>
        <v>Diod</v>
      </c>
      <c r="B1527" t="s">
        <v>2464</v>
      </c>
      <c r="C1527" t="s">
        <v>61</v>
      </c>
      <c r="D1527" t="s">
        <v>2084</v>
      </c>
      <c r="E1527" s="2">
        <v>1067</v>
      </c>
    </row>
    <row r="1528" spans="1:5" x14ac:dyDescent="0.25">
      <c r="A1528" t="str">
        <f t="shared" si="24"/>
        <v>Diod</v>
      </c>
      <c r="B1528" t="s">
        <v>2464</v>
      </c>
      <c r="C1528" t="s">
        <v>2085</v>
      </c>
      <c r="D1528" t="s">
        <v>2086</v>
      </c>
      <c r="E1528" s="2">
        <v>1067</v>
      </c>
    </row>
    <row r="1529" spans="1:5" x14ac:dyDescent="0.25">
      <c r="A1529" t="str">
        <f t="shared" si="24"/>
        <v>MA-1</v>
      </c>
      <c r="B1529" t="s">
        <v>2087</v>
      </c>
      <c r="C1529" t="s">
        <v>343</v>
      </c>
      <c r="D1529" t="s">
        <v>2088</v>
      </c>
      <c r="E1529" s="2">
        <v>1064</v>
      </c>
    </row>
    <row r="1530" spans="1:5" x14ac:dyDescent="0.25">
      <c r="A1530" t="str">
        <f t="shared" si="24"/>
        <v>Capa</v>
      </c>
      <c r="B1530" t="s">
        <v>2377</v>
      </c>
      <c r="C1530" t="s">
        <v>176</v>
      </c>
      <c r="D1530" t="s">
        <v>2089</v>
      </c>
      <c r="E1530" s="2">
        <v>1055</v>
      </c>
    </row>
    <row r="1531" spans="1:5" x14ac:dyDescent="0.25">
      <c r="A1531" t="str">
        <f t="shared" si="24"/>
        <v xml:space="preserve">RST </v>
      </c>
      <c r="B1531" t="s">
        <v>2090</v>
      </c>
      <c r="C1531" t="s">
        <v>37</v>
      </c>
      <c r="D1531" t="s">
        <v>2091</v>
      </c>
      <c r="E1531" s="2">
        <v>1054</v>
      </c>
    </row>
    <row r="1532" spans="1:5" x14ac:dyDescent="0.25">
      <c r="A1532" t="str">
        <f t="shared" si="24"/>
        <v xml:space="preserve">RST </v>
      </c>
      <c r="B1532" t="s">
        <v>2090</v>
      </c>
      <c r="C1532" t="s">
        <v>1683</v>
      </c>
      <c r="D1532" t="s">
        <v>2092</v>
      </c>
      <c r="E1532" s="2">
        <v>1054</v>
      </c>
    </row>
    <row r="1533" spans="1:5" x14ac:dyDescent="0.25">
      <c r="A1533" t="str">
        <f t="shared" si="24"/>
        <v>Capa</v>
      </c>
      <c r="B1533" t="s">
        <v>2378</v>
      </c>
      <c r="C1533" t="s">
        <v>49</v>
      </c>
      <c r="D1533" t="s">
        <v>2093</v>
      </c>
      <c r="E1533" s="2">
        <v>1046</v>
      </c>
    </row>
    <row r="1534" spans="1:5" x14ac:dyDescent="0.25">
      <c r="A1534" t="str">
        <f t="shared" si="24"/>
        <v>Capa</v>
      </c>
      <c r="B1534" t="s">
        <v>2378</v>
      </c>
      <c r="C1534" t="s">
        <v>62</v>
      </c>
      <c r="D1534" t="s">
        <v>2094</v>
      </c>
      <c r="E1534" s="2">
        <v>1046</v>
      </c>
    </row>
    <row r="1535" spans="1:5" x14ac:dyDescent="0.25">
      <c r="A1535" t="str">
        <f t="shared" si="24"/>
        <v>Diod</v>
      </c>
      <c r="B1535" t="s">
        <v>2465</v>
      </c>
      <c r="C1535" t="s">
        <v>510</v>
      </c>
      <c r="D1535" t="s">
        <v>2095</v>
      </c>
      <c r="E1535" s="2">
        <v>1035</v>
      </c>
    </row>
    <row r="1536" spans="1:5" x14ac:dyDescent="0.25">
      <c r="A1536" t="str">
        <f t="shared" si="24"/>
        <v>Diod</v>
      </c>
      <c r="B1536" t="s">
        <v>2465</v>
      </c>
      <c r="C1536" t="s">
        <v>30</v>
      </c>
      <c r="D1536" t="s">
        <v>2096</v>
      </c>
      <c r="E1536" s="2">
        <v>1035</v>
      </c>
    </row>
    <row r="1537" spans="1:5" x14ac:dyDescent="0.25">
      <c r="A1537" t="str">
        <f t="shared" si="24"/>
        <v xml:space="preserve">CAP </v>
      </c>
      <c r="B1537" t="s">
        <v>2097</v>
      </c>
      <c r="C1537" t="s">
        <v>8</v>
      </c>
      <c r="D1537" t="s">
        <v>2098</v>
      </c>
      <c r="E1537" s="2">
        <v>1031</v>
      </c>
    </row>
    <row r="1538" spans="1:5" x14ac:dyDescent="0.25">
      <c r="A1538" t="str">
        <f t="shared" si="24"/>
        <v>Capa</v>
      </c>
      <c r="B1538" t="s">
        <v>2379</v>
      </c>
      <c r="C1538" t="s">
        <v>13</v>
      </c>
      <c r="D1538" t="s">
        <v>2099</v>
      </c>
      <c r="E1538" s="2">
        <v>1030</v>
      </c>
    </row>
    <row r="1539" spans="1:5" x14ac:dyDescent="0.25">
      <c r="A1539" t="str">
        <f t="shared" si="24"/>
        <v>Capa</v>
      </c>
      <c r="B1539" t="s">
        <v>2379</v>
      </c>
      <c r="C1539" t="s">
        <v>47</v>
      </c>
      <c r="D1539" t="s">
        <v>2100</v>
      </c>
      <c r="E1539" s="2">
        <v>1030</v>
      </c>
    </row>
    <row r="1540" spans="1:5" x14ac:dyDescent="0.25">
      <c r="A1540" t="str">
        <f t="shared" si="24"/>
        <v>Capa</v>
      </c>
      <c r="B1540" t="s">
        <v>2379</v>
      </c>
      <c r="C1540" t="s">
        <v>49</v>
      </c>
      <c r="D1540" t="s">
        <v>2101</v>
      </c>
      <c r="E1540" s="2">
        <v>1030</v>
      </c>
    </row>
    <row r="1541" spans="1:5" x14ac:dyDescent="0.25">
      <c r="A1541" t="str">
        <f t="shared" si="24"/>
        <v>Capa</v>
      </c>
      <c r="B1541" t="s">
        <v>2380</v>
      </c>
      <c r="C1541" t="s">
        <v>64</v>
      </c>
      <c r="D1541" t="s">
        <v>2102</v>
      </c>
      <c r="E1541" s="2">
        <v>1026</v>
      </c>
    </row>
    <row r="1542" spans="1:5" x14ac:dyDescent="0.25">
      <c r="A1542" t="str">
        <f t="shared" ref="A1542:A1552" si="25">LEFT(B1542,4)</f>
        <v xml:space="preserve">RST </v>
      </c>
      <c r="B1542" t="s">
        <v>2103</v>
      </c>
      <c r="C1542" t="s">
        <v>13</v>
      </c>
      <c r="D1542" t="s">
        <v>2104</v>
      </c>
      <c r="E1542" s="2">
        <v>1021</v>
      </c>
    </row>
    <row r="1543" spans="1:5" x14ac:dyDescent="0.25">
      <c r="A1543" t="str">
        <f t="shared" si="25"/>
        <v xml:space="preserve">RST </v>
      </c>
      <c r="B1543" t="s">
        <v>2103</v>
      </c>
      <c r="C1543" t="s">
        <v>5</v>
      </c>
      <c r="D1543" t="s">
        <v>2105</v>
      </c>
      <c r="E1543" s="2">
        <v>1021</v>
      </c>
    </row>
    <row r="1544" spans="1:5" x14ac:dyDescent="0.25">
      <c r="A1544" t="str">
        <f t="shared" si="25"/>
        <v xml:space="preserve">RST </v>
      </c>
      <c r="B1544" t="s">
        <v>2103</v>
      </c>
      <c r="C1544" t="s">
        <v>320</v>
      </c>
      <c r="D1544" t="s">
        <v>2106</v>
      </c>
      <c r="E1544" s="2">
        <v>1021</v>
      </c>
    </row>
    <row r="1545" spans="1:5" x14ac:dyDescent="0.25">
      <c r="A1545" t="str">
        <f t="shared" si="25"/>
        <v>Diod</v>
      </c>
      <c r="B1545" t="s">
        <v>2466</v>
      </c>
      <c r="C1545" t="s">
        <v>2467</v>
      </c>
      <c r="D1545" t="s">
        <v>2107</v>
      </c>
      <c r="E1545" s="2">
        <v>1006</v>
      </c>
    </row>
    <row r="1546" spans="1:5" x14ac:dyDescent="0.25">
      <c r="A1546" t="str">
        <f t="shared" si="25"/>
        <v>Diod</v>
      </c>
      <c r="B1546" t="s">
        <v>2466</v>
      </c>
      <c r="C1546" t="s">
        <v>28</v>
      </c>
      <c r="D1546" t="s">
        <v>2108</v>
      </c>
      <c r="E1546" s="2">
        <v>1006</v>
      </c>
    </row>
    <row r="1547" spans="1:5" x14ac:dyDescent="0.25">
      <c r="A1547" t="str">
        <f t="shared" si="25"/>
        <v>Diod</v>
      </c>
      <c r="B1547" t="s">
        <v>2466</v>
      </c>
      <c r="C1547" t="s">
        <v>28</v>
      </c>
      <c r="D1547" t="s">
        <v>2109</v>
      </c>
      <c r="E1547" s="2">
        <v>1006</v>
      </c>
    </row>
    <row r="1548" spans="1:5" x14ac:dyDescent="0.25">
      <c r="A1548" t="str">
        <f t="shared" si="25"/>
        <v>Capa</v>
      </c>
      <c r="B1548" t="s">
        <v>2381</v>
      </c>
      <c r="C1548" t="s">
        <v>62</v>
      </c>
      <c r="D1548" t="s">
        <v>2110</v>
      </c>
      <c r="E1548" s="2">
        <v>1000</v>
      </c>
    </row>
    <row r="1549" spans="1:5" x14ac:dyDescent="0.25">
      <c r="A1549" t="str">
        <f t="shared" si="25"/>
        <v>Capa</v>
      </c>
      <c r="B1549" t="s">
        <v>2381</v>
      </c>
      <c r="C1549" t="s">
        <v>62</v>
      </c>
      <c r="D1549" t="s">
        <v>2111</v>
      </c>
      <c r="E1549" s="2">
        <v>1000</v>
      </c>
    </row>
    <row r="1550" spans="1:5" x14ac:dyDescent="0.25">
      <c r="A1550" t="str">
        <f t="shared" si="25"/>
        <v xml:space="preserve">LED </v>
      </c>
      <c r="B1550" t="s">
        <v>2112</v>
      </c>
      <c r="C1550" t="s">
        <v>762</v>
      </c>
      <c r="D1550" t="s">
        <v>2113</v>
      </c>
      <c r="E1550" s="2">
        <v>1000</v>
      </c>
    </row>
    <row r="1551" spans="1:5" x14ac:dyDescent="0.25">
      <c r="A1551" t="str">
        <f t="shared" si="25"/>
        <v>LW00</v>
      </c>
      <c r="B1551" t="s">
        <v>2114</v>
      </c>
      <c r="C1551" t="s">
        <v>2115</v>
      </c>
      <c r="D1551" t="s">
        <v>2116</v>
      </c>
      <c r="E1551" s="2">
        <v>1000</v>
      </c>
    </row>
    <row r="1552" spans="1:5" x14ac:dyDescent="0.25">
      <c r="A1552" t="str">
        <f t="shared" si="25"/>
        <v xml:space="preserve">RST </v>
      </c>
      <c r="B1552" t="s">
        <v>2117</v>
      </c>
      <c r="C1552" t="s">
        <v>5</v>
      </c>
      <c r="D1552" t="s">
        <v>2118</v>
      </c>
      <c r="E1552" s="2">
        <v>1000</v>
      </c>
    </row>
    <row r="1553" spans="5:5" x14ac:dyDescent="0.25">
      <c r="E1553" s="3">
        <f>SUM(E2:E1552)</f>
        <v>14538099</v>
      </c>
    </row>
  </sheetData>
  <autoFilter ref="A1:BGY1" xr:uid="{C43896E3-1E26-4010-81BE-C3B0A239CA4A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0161-61D3-4C5E-B098-95C0A35E16D2}">
  <sheetPr filterMode="1"/>
  <dimension ref="A1:J1553"/>
  <sheetViews>
    <sheetView tabSelected="1" topLeftCell="A718" zoomScaleNormal="100" workbookViewId="0">
      <selection activeCell="H727" sqref="H727"/>
    </sheetView>
  </sheetViews>
  <sheetFormatPr defaultRowHeight="13.2" x14ac:dyDescent="0.25"/>
  <cols>
    <col min="1" max="1" width="9.21875" customWidth="1"/>
    <col min="2" max="2" width="6.6640625" customWidth="1"/>
    <col min="3" max="3" width="11.44140625" customWidth="1"/>
    <col min="4" max="4" width="18.5546875" customWidth="1"/>
    <col min="5" max="5" width="11.5546875" customWidth="1"/>
    <col min="6" max="6" width="11" bestFit="1" customWidth="1"/>
    <col min="7" max="7" width="26.33203125" style="9" customWidth="1"/>
    <col min="8" max="8" width="49.21875" style="4" customWidth="1"/>
    <col min="9" max="9" width="30.77734375" customWidth="1"/>
    <col min="10" max="10" width="10.21875" customWidth="1"/>
  </cols>
  <sheetData>
    <row r="1" spans="1:10" x14ac:dyDescent="0.25">
      <c r="A1" s="7" t="s">
        <v>4055</v>
      </c>
      <c r="B1" s="7" t="s">
        <v>4061</v>
      </c>
      <c r="C1" s="7" t="s">
        <v>4063</v>
      </c>
      <c r="D1" s="7" t="s">
        <v>2120</v>
      </c>
      <c r="E1" s="7" t="s">
        <v>4056</v>
      </c>
      <c r="F1" s="7" t="s">
        <v>4057</v>
      </c>
      <c r="G1" s="8" t="s">
        <v>2501</v>
      </c>
      <c r="H1" s="11" t="s">
        <v>2191</v>
      </c>
      <c r="I1" s="1" t="s">
        <v>2500</v>
      </c>
      <c r="J1" s="1" t="s">
        <v>2502</v>
      </c>
    </row>
    <row r="2" spans="1:10" hidden="1" x14ac:dyDescent="0.25">
      <c r="A2" t="s">
        <v>2504</v>
      </c>
      <c r="C2" t="s">
        <v>4072</v>
      </c>
      <c r="D2" t="s">
        <v>4102</v>
      </c>
      <c r="F2" t="s">
        <v>4126</v>
      </c>
      <c r="G2" s="9" t="s">
        <v>652</v>
      </c>
      <c r="H2" t="s">
        <v>650</v>
      </c>
      <c r="I2" t="s">
        <v>651</v>
      </c>
      <c r="J2" s="2">
        <v>5360</v>
      </c>
    </row>
    <row r="3" spans="1:10" hidden="1" x14ac:dyDescent="0.25">
      <c r="A3" t="s">
        <v>2506</v>
      </c>
      <c r="C3" t="s">
        <v>4072</v>
      </c>
      <c r="D3" t="s">
        <v>4102</v>
      </c>
      <c r="F3" t="s">
        <v>4126</v>
      </c>
      <c r="G3" s="9" t="s">
        <v>650</v>
      </c>
      <c r="H3" t="s">
        <v>650</v>
      </c>
      <c r="I3" t="s">
        <v>653</v>
      </c>
      <c r="J3" s="2">
        <v>5360</v>
      </c>
    </row>
    <row r="4" spans="1:10" hidden="1" x14ac:dyDescent="0.25">
      <c r="A4" t="s">
        <v>2507</v>
      </c>
      <c r="C4" t="s">
        <v>4066</v>
      </c>
      <c r="D4" t="s">
        <v>4103</v>
      </c>
      <c r="F4" t="s">
        <v>4126</v>
      </c>
      <c r="G4" s="9">
        <v>8500031</v>
      </c>
      <c r="H4" t="s">
        <v>846</v>
      </c>
      <c r="I4" t="s">
        <v>160</v>
      </c>
      <c r="J4" s="2">
        <v>4500</v>
      </c>
    </row>
    <row r="5" spans="1:10" hidden="1" x14ac:dyDescent="0.25">
      <c r="A5" t="s">
        <v>2505</v>
      </c>
      <c r="C5" t="s">
        <v>4066</v>
      </c>
      <c r="D5" t="s">
        <v>4103</v>
      </c>
      <c r="F5" t="s">
        <v>4126</v>
      </c>
      <c r="G5" s="9" t="s">
        <v>846</v>
      </c>
      <c r="H5" t="s">
        <v>846</v>
      </c>
      <c r="I5" t="s">
        <v>160</v>
      </c>
      <c r="J5" s="2">
        <v>4500</v>
      </c>
    </row>
    <row r="6" spans="1:10" hidden="1" x14ac:dyDescent="0.25">
      <c r="A6" t="s">
        <v>2508</v>
      </c>
      <c r="C6" t="s">
        <v>4066</v>
      </c>
      <c r="D6" t="s">
        <v>4103</v>
      </c>
      <c r="F6" t="s">
        <v>4126</v>
      </c>
      <c r="G6" s="9" t="s">
        <v>848</v>
      </c>
      <c r="H6" t="s">
        <v>846</v>
      </c>
      <c r="I6" t="s">
        <v>160</v>
      </c>
      <c r="J6" s="2">
        <v>4500</v>
      </c>
    </row>
    <row r="7" spans="1:10" hidden="1" x14ac:dyDescent="0.25">
      <c r="A7" t="s">
        <v>2509</v>
      </c>
      <c r="C7" t="s">
        <v>4066</v>
      </c>
      <c r="D7" t="s">
        <v>4103</v>
      </c>
      <c r="F7" t="s">
        <v>4126</v>
      </c>
      <c r="G7" s="10" t="s">
        <v>849</v>
      </c>
      <c r="H7" t="s">
        <v>846</v>
      </c>
      <c r="I7" t="s">
        <v>160</v>
      </c>
      <c r="J7" s="2">
        <v>4500</v>
      </c>
    </row>
    <row r="8" spans="1:10" hidden="1" x14ac:dyDescent="0.25">
      <c r="A8" t="s">
        <v>2510</v>
      </c>
      <c r="C8" t="s">
        <v>4066</v>
      </c>
      <c r="D8" t="s">
        <v>4103</v>
      </c>
      <c r="F8" t="s">
        <v>4126</v>
      </c>
      <c r="G8" s="9">
        <v>22013027</v>
      </c>
      <c r="H8" t="s">
        <v>246</v>
      </c>
      <c r="I8" t="s">
        <v>160</v>
      </c>
      <c r="J8" s="2">
        <v>18263</v>
      </c>
    </row>
    <row r="9" spans="1:10" hidden="1" x14ac:dyDescent="0.25">
      <c r="A9" t="s">
        <v>2511</v>
      </c>
      <c r="C9" t="s">
        <v>4066</v>
      </c>
      <c r="D9" t="s">
        <v>4103</v>
      </c>
      <c r="F9" t="s">
        <v>4126</v>
      </c>
      <c r="G9" s="9" t="s">
        <v>246</v>
      </c>
      <c r="H9" t="s">
        <v>246</v>
      </c>
      <c r="I9" t="s">
        <v>160</v>
      </c>
      <c r="J9" s="2">
        <v>18263</v>
      </c>
    </row>
    <row r="10" spans="1:10" hidden="1" x14ac:dyDescent="0.25">
      <c r="A10" t="s">
        <v>2512</v>
      </c>
      <c r="C10" t="s">
        <v>4066</v>
      </c>
      <c r="D10" t="s">
        <v>4103</v>
      </c>
      <c r="F10" t="s">
        <v>4126</v>
      </c>
      <c r="G10" s="9" t="s">
        <v>248</v>
      </c>
      <c r="H10" t="s">
        <v>246</v>
      </c>
      <c r="I10" t="s">
        <v>160</v>
      </c>
      <c r="J10" s="2">
        <v>18263</v>
      </c>
    </row>
    <row r="11" spans="1:10" hidden="1" x14ac:dyDescent="0.25">
      <c r="A11" t="s">
        <v>2513</v>
      </c>
      <c r="C11" t="s">
        <v>4066</v>
      </c>
      <c r="D11" t="s">
        <v>4103</v>
      </c>
      <c r="F11" t="s">
        <v>4126</v>
      </c>
      <c r="G11" s="9" t="s">
        <v>159</v>
      </c>
      <c r="H11" t="s">
        <v>159</v>
      </c>
      <c r="I11" t="s">
        <v>160</v>
      </c>
      <c r="J11" s="2">
        <v>30693</v>
      </c>
    </row>
    <row r="12" spans="1:10" hidden="1" x14ac:dyDescent="0.25">
      <c r="A12" t="s">
        <v>2514</v>
      </c>
      <c r="C12" t="s">
        <v>4067</v>
      </c>
      <c r="D12" t="s">
        <v>2491</v>
      </c>
      <c r="F12" t="s">
        <v>4126</v>
      </c>
      <c r="G12" s="9" t="s">
        <v>344</v>
      </c>
      <c r="H12" t="s">
        <v>342</v>
      </c>
      <c r="I12" t="s">
        <v>343</v>
      </c>
      <c r="J12" s="2">
        <v>11028</v>
      </c>
    </row>
    <row r="13" spans="1:10" hidden="1" x14ac:dyDescent="0.25">
      <c r="A13" t="s">
        <v>2515</v>
      </c>
      <c r="C13" t="s">
        <v>4068</v>
      </c>
      <c r="D13" t="s">
        <v>2165</v>
      </c>
      <c r="F13" t="s">
        <v>4126</v>
      </c>
      <c r="G13" s="9" t="s">
        <v>1311</v>
      </c>
      <c r="H13" t="s">
        <v>1309</v>
      </c>
      <c r="I13" t="s">
        <v>1310</v>
      </c>
      <c r="J13" s="2">
        <v>2851</v>
      </c>
    </row>
    <row r="14" spans="1:10" hidden="1" x14ac:dyDescent="0.25">
      <c r="A14" t="s">
        <v>2516</v>
      </c>
      <c r="C14" t="s">
        <v>4069</v>
      </c>
      <c r="D14" t="s">
        <v>2496</v>
      </c>
      <c r="F14" t="s">
        <v>4126</v>
      </c>
      <c r="G14" s="9" t="s">
        <v>380</v>
      </c>
      <c r="H14" t="s">
        <v>378</v>
      </c>
      <c r="I14" t="s">
        <v>379</v>
      </c>
      <c r="J14" s="2">
        <v>10102</v>
      </c>
    </row>
    <row r="15" spans="1:10" hidden="1" x14ac:dyDescent="0.25">
      <c r="A15" t="s">
        <v>2517</v>
      </c>
      <c r="C15" t="s">
        <v>4070</v>
      </c>
      <c r="D15" t="s">
        <v>2485</v>
      </c>
      <c r="F15" t="s">
        <v>4126</v>
      </c>
      <c r="G15" s="9" t="s">
        <v>961</v>
      </c>
      <c r="H15" t="s">
        <v>960</v>
      </c>
      <c r="I15" t="s">
        <v>556</v>
      </c>
      <c r="J15" s="2">
        <v>4018</v>
      </c>
    </row>
    <row r="16" spans="1:10" hidden="1" x14ac:dyDescent="0.25">
      <c r="A16" t="s">
        <v>2518</v>
      </c>
      <c r="C16" t="s">
        <v>4062</v>
      </c>
      <c r="D16" t="s">
        <v>2493</v>
      </c>
      <c r="F16" t="s">
        <v>4126</v>
      </c>
      <c r="G16" s="9" t="s">
        <v>1499</v>
      </c>
      <c r="H16" t="s">
        <v>1497</v>
      </c>
      <c r="I16" t="s">
        <v>1498</v>
      </c>
      <c r="J16" s="2">
        <v>2283</v>
      </c>
    </row>
    <row r="17" spans="1:10" hidden="1" x14ac:dyDescent="0.25">
      <c r="A17" t="s">
        <v>2519</v>
      </c>
      <c r="C17" t="s">
        <v>4062</v>
      </c>
      <c r="D17" t="s">
        <v>2493</v>
      </c>
      <c r="F17" t="s">
        <v>4126</v>
      </c>
      <c r="G17" s="9" t="s">
        <v>1500</v>
      </c>
      <c r="H17" t="s">
        <v>1497</v>
      </c>
      <c r="I17" t="s">
        <v>62</v>
      </c>
      <c r="J17" s="2">
        <v>2283</v>
      </c>
    </row>
    <row r="18" spans="1:10" hidden="1" x14ac:dyDescent="0.25">
      <c r="A18" t="s">
        <v>2520</v>
      </c>
      <c r="C18" t="s">
        <v>4062</v>
      </c>
      <c r="D18" t="s">
        <v>2493</v>
      </c>
      <c r="F18" t="s">
        <v>4126</v>
      </c>
      <c r="G18" s="9" t="s">
        <v>1499</v>
      </c>
      <c r="H18" t="s">
        <v>1497</v>
      </c>
      <c r="I18" t="s">
        <v>1310</v>
      </c>
      <c r="J18" s="2">
        <v>2283</v>
      </c>
    </row>
    <row r="19" spans="1:10" hidden="1" x14ac:dyDescent="0.25">
      <c r="A19" t="s">
        <v>2521</v>
      </c>
      <c r="C19" t="s">
        <v>4066</v>
      </c>
      <c r="D19" t="s">
        <v>4103</v>
      </c>
      <c r="F19" t="s">
        <v>4126</v>
      </c>
      <c r="G19" s="9" t="s">
        <v>203</v>
      </c>
      <c r="H19" t="s">
        <v>201</v>
      </c>
      <c r="I19" t="s">
        <v>202</v>
      </c>
      <c r="J19" s="2">
        <v>21790</v>
      </c>
    </row>
    <row r="20" spans="1:10" hidden="1" x14ac:dyDescent="0.25">
      <c r="A20" t="s">
        <v>2522</v>
      </c>
      <c r="C20" t="s">
        <v>4064</v>
      </c>
      <c r="D20" t="s">
        <v>4104</v>
      </c>
      <c r="E20" t="s">
        <v>4127</v>
      </c>
      <c r="F20" t="s">
        <v>4126</v>
      </c>
      <c r="G20" s="9" t="s">
        <v>959</v>
      </c>
      <c r="H20" t="s">
        <v>958</v>
      </c>
      <c r="I20" t="s">
        <v>13</v>
      </c>
      <c r="J20" s="2">
        <v>4022</v>
      </c>
    </row>
    <row r="21" spans="1:10" hidden="1" x14ac:dyDescent="0.25">
      <c r="A21" t="s">
        <v>2523</v>
      </c>
      <c r="C21" t="s">
        <v>4064</v>
      </c>
      <c r="D21" t="s">
        <v>4104</v>
      </c>
      <c r="E21" t="s">
        <v>4127</v>
      </c>
      <c r="F21" t="s">
        <v>4126</v>
      </c>
      <c r="G21" s="9" t="s">
        <v>9</v>
      </c>
      <c r="H21" t="s">
        <v>2196</v>
      </c>
      <c r="I21" t="s">
        <v>8</v>
      </c>
      <c r="J21" s="2">
        <v>268614</v>
      </c>
    </row>
    <row r="22" spans="1:10" hidden="1" x14ac:dyDescent="0.25">
      <c r="A22" t="s">
        <v>2524</v>
      </c>
      <c r="C22" t="s">
        <v>4064</v>
      </c>
      <c r="D22" t="s">
        <v>4104</v>
      </c>
      <c r="E22" t="s">
        <v>4127</v>
      </c>
      <c r="F22" t="s">
        <v>4126</v>
      </c>
      <c r="G22" s="9" t="s">
        <v>11</v>
      </c>
      <c r="H22" t="s">
        <v>2196</v>
      </c>
      <c r="I22" t="s">
        <v>10</v>
      </c>
      <c r="J22" s="2">
        <v>268614</v>
      </c>
    </row>
    <row r="23" spans="1:10" hidden="1" x14ac:dyDescent="0.25">
      <c r="A23" t="s">
        <v>2525</v>
      </c>
      <c r="C23" t="s">
        <v>4064</v>
      </c>
      <c r="D23" t="s">
        <v>4104</v>
      </c>
      <c r="E23" t="s">
        <v>4127</v>
      </c>
      <c r="F23" t="s">
        <v>4126</v>
      </c>
      <c r="G23" s="9" t="s">
        <v>34</v>
      </c>
      <c r="H23" t="s">
        <v>2197</v>
      </c>
      <c r="I23" t="s">
        <v>13</v>
      </c>
      <c r="J23" s="2">
        <v>67975</v>
      </c>
    </row>
    <row r="24" spans="1:10" hidden="1" x14ac:dyDescent="0.25">
      <c r="A24" t="s">
        <v>2526</v>
      </c>
      <c r="C24" t="s">
        <v>4064</v>
      </c>
      <c r="D24" t="s">
        <v>4104</v>
      </c>
      <c r="E24" t="s">
        <v>4127</v>
      </c>
      <c r="F24" t="s">
        <v>4126</v>
      </c>
      <c r="G24" s="9" t="s">
        <v>35</v>
      </c>
      <c r="H24" t="s">
        <v>2197</v>
      </c>
      <c r="I24" t="s">
        <v>8</v>
      </c>
      <c r="J24" s="2">
        <v>67975</v>
      </c>
    </row>
    <row r="25" spans="1:10" hidden="1" x14ac:dyDescent="0.25">
      <c r="A25" t="s">
        <v>2527</v>
      </c>
      <c r="C25" t="s">
        <v>4064</v>
      </c>
      <c r="D25" t="s">
        <v>4104</v>
      </c>
      <c r="E25" t="s">
        <v>4127</v>
      </c>
      <c r="F25" t="s">
        <v>4126</v>
      </c>
      <c r="G25" s="9" t="s">
        <v>48</v>
      </c>
      <c r="H25" t="s">
        <v>2198</v>
      </c>
      <c r="I25" t="s">
        <v>47</v>
      </c>
      <c r="J25" s="2">
        <v>63546</v>
      </c>
    </row>
    <row r="26" spans="1:10" hidden="1" x14ac:dyDescent="0.25">
      <c r="A26" t="s">
        <v>2528</v>
      </c>
      <c r="C26" t="s">
        <v>4064</v>
      </c>
      <c r="D26" t="s">
        <v>4104</v>
      </c>
      <c r="E26" t="s">
        <v>4127</v>
      </c>
      <c r="F26" t="s">
        <v>4126</v>
      </c>
      <c r="G26" s="9" t="s">
        <v>50</v>
      </c>
      <c r="H26" t="s">
        <v>2198</v>
      </c>
      <c r="I26" t="s">
        <v>49</v>
      </c>
      <c r="J26" s="2">
        <v>63546</v>
      </c>
    </row>
    <row r="27" spans="1:10" hidden="1" x14ac:dyDescent="0.25">
      <c r="A27" t="s">
        <v>2529</v>
      </c>
      <c r="C27" t="s">
        <v>4064</v>
      </c>
      <c r="D27" t="s">
        <v>4104</v>
      </c>
      <c r="E27" t="s">
        <v>4127</v>
      </c>
      <c r="F27" t="s">
        <v>4126</v>
      </c>
      <c r="G27" s="9" t="s">
        <v>51</v>
      </c>
      <c r="H27" t="s">
        <v>2198</v>
      </c>
      <c r="I27" t="s">
        <v>8</v>
      </c>
      <c r="J27" s="2">
        <v>63546</v>
      </c>
    </row>
    <row r="28" spans="1:10" hidden="1" x14ac:dyDescent="0.25">
      <c r="A28" t="s">
        <v>2530</v>
      </c>
      <c r="C28" t="s">
        <v>4064</v>
      </c>
      <c r="D28" t="s">
        <v>4104</v>
      </c>
      <c r="E28" t="s">
        <v>4127</v>
      </c>
      <c r="F28" t="s">
        <v>4126</v>
      </c>
      <c r="G28" s="9" t="s">
        <v>52</v>
      </c>
      <c r="H28" t="s">
        <v>2198</v>
      </c>
      <c r="I28" t="s">
        <v>10</v>
      </c>
      <c r="J28" s="2">
        <v>63546</v>
      </c>
    </row>
    <row r="29" spans="1:10" hidden="1" x14ac:dyDescent="0.25">
      <c r="A29" t="s">
        <v>2531</v>
      </c>
      <c r="C29" t="s">
        <v>4064</v>
      </c>
      <c r="D29" t="s">
        <v>4104</v>
      </c>
      <c r="E29" t="s">
        <v>4127</v>
      </c>
      <c r="F29" t="s">
        <v>4126</v>
      </c>
      <c r="G29" s="9" t="s">
        <v>53</v>
      </c>
      <c r="H29" t="s">
        <v>2198</v>
      </c>
      <c r="I29" t="s">
        <v>10</v>
      </c>
      <c r="J29" s="2">
        <v>63546</v>
      </c>
    </row>
    <row r="30" spans="1:10" hidden="1" x14ac:dyDescent="0.25">
      <c r="A30" t="s">
        <v>2532</v>
      </c>
      <c r="C30" t="s">
        <v>4064</v>
      </c>
      <c r="D30" t="s">
        <v>4104</v>
      </c>
      <c r="E30" t="s">
        <v>4127</v>
      </c>
      <c r="F30" t="s">
        <v>4126</v>
      </c>
      <c r="G30" s="9" t="s">
        <v>54</v>
      </c>
      <c r="H30" t="s">
        <v>2199</v>
      </c>
      <c r="I30" t="s">
        <v>13</v>
      </c>
      <c r="J30" s="2">
        <v>61895</v>
      </c>
    </row>
    <row r="31" spans="1:10" hidden="1" x14ac:dyDescent="0.25">
      <c r="A31" t="s">
        <v>2533</v>
      </c>
      <c r="C31" t="s">
        <v>4064</v>
      </c>
      <c r="D31" t="s">
        <v>4104</v>
      </c>
      <c r="E31" t="s">
        <v>4127</v>
      </c>
      <c r="F31" t="s">
        <v>4126</v>
      </c>
      <c r="G31" s="9" t="s">
        <v>55</v>
      </c>
      <c r="H31" t="s">
        <v>2199</v>
      </c>
      <c r="I31" t="s">
        <v>47</v>
      </c>
      <c r="J31" s="2">
        <v>61895</v>
      </c>
    </row>
    <row r="32" spans="1:10" hidden="1" x14ac:dyDescent="0.25">
      <c r="A32" t="s">
        <v>2534</v>
      </c>
      <c r="C32" t="s">
        <v>4064</v>
      </c>
      <c r="D32" t="s">
        <v>4104</v>
      </c>
      <c r="E32" t="s">
        <v>4127</v>
      </c>
      <c r="F32" t="s">
        <v>4126</v>
      </c>
      <c r="G32" s="9" t="s">
        <v>56</v>
      </c>
      <c r="H32" t="s">
        <v>2199</v>
      </c>
      <c r="I32" t="s">
        <v>8</v>
      </c>
      <c r="J32" s="2">
        <v>61895</v>
      </c>
    </row>
    <row r="33" spans="1:10" hidden="1" x14ac:dyDescent="0.25">
      <c r="A33" t="s">
        <v>2535</v>
      </c>
      <c r="C33" t="s">
        <v>4064</v>
      </c>
      <c r="D33" t="s">
        <v>4104</v>
      </c>
      <c r="E33" t="s">
        <v>4127</v>
      </c>
      <c r="F33" t="s">
        <v>4126</v>
      </c>
      <c r="G33" s="9" t="s">
        <v>65</v>
      </c>
      <c r="H33" t="s">
        <v>2200</v>
      </c>
      <c r="I33" t="s">
        <v>64</v>
      </c>
      <c r="J33" s="2">
        <v>60002</v>
      </c>
    </row>
    <row r="34" spans="1:10" hidden="1" x14ac:dyDescent="0.25">
      <c r="A34" t="s">
        <v>2536</v>
      </c>
      <c r="C34" t="s">
        <v>4064</v>
      </c>
      <c r="D34" t="s">
        <v>4104</v>
      </c>
      <c r="E34" t="s">
        <v>4127</v>
      </c>
      <c r="F34" t="s">
        <v>4126</v>
      </c>
      <c r="G34" s="9" t="s">
        <v>66</v>
      </c>
      <c r="H34" t="s">
        <v>2200</v>
      </c>
      <c r="I34" t="s">
        <v>8</v>
      </c>
      <c r="J34" s="2">
        <v>60002</v>
      </c>
    </row>
    <row r="35" spans="1:10" hidden="1" x14ac:dyDescent="0.25">
      <c r="A35" t="s">
        <v>2537</v>
      </c>
      <c r="C35" t="s">
        <v>4064</v>
      </c>
      <c r="D35" t="s">
        <v>4104</v>
      </c>
      <c r="E35" t="s">
        <v>4127</v>
      </c>
      <c r="F35" t="s">
        <v>4126</v>
      </c>
      <c r="G35" s="9" t="s">
        <v>67</v>
      </c>
      <c r="H35" t="s">
        <v>2201</v>
      </c>
      <c r="I35" t="s">
        <v>13</v>
      </c>
      <c r="J35" s="2">
        <v>59154</v>
      </c>
    </row>
    <row r="36" spans="1:10" hidden="1" x14ac:dyDescent="0.25">
      <c r="A36" t="s">
        <v>2538</v>
      </c>
      <c r="C36" t="s">
        <v>4064</v>
      </c>
      <c r="D36" t="s">
        <v>4104</v>
      </c>
      <c r="E36" t="s">
        <v>4127</v>
      </c>
      <c r="F36" t="s">
        <v>4126</v>
      </c>
      <c r="G36" s="9" t="s">
        <v>68</v>
      </c>
      <c r="H36" t="s">
        <v>2201</v>
      </c>
      <c r="I36" t="s">
        <v>64</v>
      </c>
      <c r="J36" s="2">
        <v>59154</v>
      </c>
    </row>
    <row r="37" spans="1:10" hidden="1" x14ac:dyDescent="0.25">
      <c r="A37" t="s">
        <v>2539</v>
      </c>
      <c r="C37" t="s">
        <v>4064</v>
      </c>
      <c r="D37" t="s">
        <v>4104</v>
      </c>
      <c r="E37" t="s">
        <v>4127</v>
      </c>
      <c r="F37" t="s">
        <v>4126</v>
      </c>
      <c r="G37" s="9" t="s">
        <v>69</v>
      </c>
      <c r="H37" t="s">
        <v>2201</v>
      </c>
      <c r="I37" t="s">
        <v>10</v>
      </c>
      <c r="J37" s="2">
        <v>59154</v>
      </c>
    </row>
    <row r="38" spans="1:10" hidden="1" x14ac:dyDescent="0.25">
      <c r="A38" t="s">
        <v>2540</v>
      </c>
      <c r="C38" t="s">
        <v>4064</v>
      </c>
      <c r="D38" t="s">
        <v>4104</v>
      </c>
      <c r="E38" t="s">
        <v>4127</v>
      </c>
      <c r="F38" t="s">
        <v>4126</v>
      </c>
      <c r="G38" s="9" t="s">
        <v>70</v>
      </c>
      <c r="H38" t="s">
        <v>2202</v>
      </c>
      <c r="I38" t="s">
        <v>8</v>
      </c>
      <c r="J38" s="2">
        <v>50308</v>
      </c>
    </row>
    <row r="39" spans="1:10" hidden="1" x14ac:dyDescent="0.25">
      <c r="A39" t="s">
        <v>2541</v>
      </c>
      <c r="C39" t="s">
        <v>4064</v>
      </c>
      <c r="D39" t="s">
        <v>4104</v>
      </c>
      <c r="E39" t="s">
        <v>4127</v>
      </c>
      <c r="F39" t="s">
        <v>4126</v>
      </c>
      <c r="G39" s="9" t="s">
        <v>71</v>
      </c>
      <c r="H39" t="s">
        <v>2202</v>
      </c>
      <c r="I39" t="s">
        <v>8</v>
      </c>
      <c r="J39" s="2">
        <v>50308</v>
      </c>
    </row>
    <row r="40" spans="1:10" hidden="1" x14ac:dyDescent="0.25">
      <c r="A40" t="s">
        <v>2542</v>
      </c>
      <c r="C40" t="s">
        <v>4064</v>
      </c>
      <c r="D40" t="s">
        <v>4104</v>
      </c>
      <c r="E40" t="s">
        <v>4127</v>
      </c>
      <c r="F40" t="s">
        <v>4126</v>
      </c>
      <c r="G40" s="9" t="s">
        <v>72</v>
      </c>
      <c r="H40" t="s">
        <v>2203</v>
      </c>
      <c r="I40" t="s">
        <v>64</v>
      </c>
      <c r="J40" s="2">
        <v>49527</v>
      </c>
    </row>
    <row r="41" spans="1:10" hidden="1" x14ac:dyDescent="0.25">
      <c r="A41" t="s">
        <v>2543</v>
      </c>
      <c r="C41" t="s">
        <v>4064</v>
      </c>
      <c r="D41" t="s">
        <v>4104</v>
      </c>
      <c r="E41" t="s">
        <v>4127</v>
      </c>
      <c r="F41" t="s">
        <v>4126</v>
      </c>
      <c r="G41" s="9" t="s">
        <v>74</v>
      </c>
      <c r="H41" t="s">
        <v>2203</v>
      </c>
      <c r="I41" t="s">
        <v>73</v>
      </c>
      <c r="J41" s="2">
        <v>49527</v>
      </c>
    </row>
    <row r="42" spans="1:10" hidden="1" x14ac:dyDescent="0.25">
      <c r="A42" t="s">
        <v>2544</v>
      </c>
      <c r="C42" t="s">
        <v>4064</v>
      </c>
      <c r="D42" t="s">
        <v>4104</v>
      </c>
      <c r="E42" t="s">
        <v>4127</v>
      </c>
      <c r="F42" t="s">
        <v>4126</v>
      </c>
      <c r="G42" s="9" t="s">
        <v>75</v>
      </c>
      <c r="H42" t="s">
        <v>2203</v>
      </c>
      <c r="I42" t="s">
        <v>73</v>
      </c>
      <c r="J42" s="2">
        <v>49527</v>
      </c>
    </row>
    <row r="43" spans="1:10" hidden="1" x14ac:dyDescent="0.25">
      <c r="A43" t="s">
        <v>2545</v>
      </c>
      <c r="C43" t="s">
        <v>4064</v>
      </c>
      <c r="D43" t="s">
        <v>4104</v>
      </c>
      <c r="E43" t="s">
        <v>4127</v>
      </c>
      <c r="F43" t="s">
        <v>4126</v>
      </c>
      <c r="G43" s="9" t="s">
        <v>76</v>
      </c>
      <c r="H43" t="s">
        <v>2203</v>
      </c>
      <c r="I43" t="s">
        <v>73</v>
      </c>
      <c r="J43" s="2">
        <v>49527</v>
      </c>
    </row>
    <row r="44" spans="1:10" hidden="1" x14ac:dyDescent="0.25">
      <c r="A44" t="s">
        <v>2546</v>
      </c>
      <c r="C44" t="s">
        <v>4064</v>
      </c>
      <c r="D44" t="s">
        <v>4104</v>
      </c>
      <c r="E44" t="s">
        <v>4127</v>
      </c>
      <c r="F44" t="s">
        <v>4126</v>
      </c>
      <c r="G44" s="9" t="s">
        <v>77</v>
      </c>
      <c r="H44" t="s">
        <v>2203</v>
      </c>
      <c r="I44" t="s">
        <v>73</v>
      </c>
      <c r="J44" s="2">
        <v>49527</v>
      </c>
    </row>
    <row r="45" spans="1:10" hidden="1" x14ac:dyDescent="0.25">
      <c r="A45" t="s">
        <v>2547</v>
      </c>
      <c r="C45" t="s">
        <v>4064</v>
      </c>
      <c r="D45" t="s">
        <v>4104</v>
      </c>
      <c r="E45" t="s">
        <v>4127</v>
      </c>
      <c r="F45" t="s">
        <v>4126</v>
      </c>
      <c r="G45" s="9" t="s">
        <v>78</v>
      </c>
      <c r="H45" t="s">
        <v>2203</v>
      </c>
      <c r="I45" t="s">
        <v>73</v>
      </c>
      <c r="J45" s="2">
        <v>49527</v>
      </c>
    </row>
    <row r="46" spans="1:10" hidden="1" x14ac:dyDescent="0.25">
      <c r="A46" t="s">
        <v>2548</v>
      </c>
      <c r="C46" t="s">
        <v>4064</v>
      </c>
      <c r="D46" t="s">
        <v>4104</v>
      </c>
      <c r="E46" t="s">
        <v>4127</v>
      </c>
      <c r="F46" t="s">
        <v>4126</v>
      </c>
      <c r="G46" s="9" t="s">
        <v>79</v>
      </c>
      <c r="H46" t="s">
        <v>2203</v>
      </c>
      <c r="I46" t="s">
        <v>8</v>
      </c>
      <c r="J46" s="2">
        <v>49527</v>
      </c>
    </row>
    <row r="47" spans="1:10" hidden="1" x14ac:dyDescent="0.25">
      <c r="A47" t="s">
        <v>2549</v>
      </c>
      <c r="C47" t="s">
        <v>4064</v>
      </c>
      <c r="D47" t="s">
        <v>4104</v>
      </c>
      <c r="E47" t="s">
        <v>4127</v>
      </c>
      <c r="F47" t="s">
        <v>4126</v>
      </c>
      <c r="G47" s="9" t="s">
        <v>91</v>
      </c>
      <c r="H47" t="s">
        <v>2204</v>
      </c>
      <c r="I47" t="s">
        <v>49</v>
      </c>
      <c r="J47" s="2">
        <v>45462</v>
      </c>
    </row>
    <row r="48" spans="1:10" hidden="1" x14ac:dyDescent="0.25">
      <c r="A48" t="s">
        <v>2550</v>
      </c>
      <c r="C48" t="s">
        <v>4064</v>
      </c>
      <c r="D48" t="s">
        <v>4104</v>
      </c>
      <c r="E48" t="s">
        <v>4127</v>
      </c>
      <c r="F48" t="s">
        <v>4126</v>
      </c>
      <c r="G48" s="9" t="s">
        <v>95</v>
      </c>
      <c r="H48" t="s">
        <v>2205</v>
      </c>
      <c r="I48" t="s">
        <v>13</v>
      </c>
      <c r="J48" s="2">
        <v>43022</v>
      </c>
    </row>
    <row r="49" spans="1:10" hidden="1" x14ac:dyDescent="0.25">
      <c r="A49" t="s">
        <v>2551</v>
      </c>
      <c r="C49" t="s">
        <v>4064</v>
      </c>
      <c r="D49" t="s">
        <v>4104</v>
      </c>
      <c r="E49" t="s">
        <v>4127</v>
      </c>
      <c r="F49" t="s">
        <v>4126</v>
      </c>
      <c r="G49" s="9" t="s">
        <v>96</v>
      </c>
      <c r="H49" t="s">
        <v>2205</v>
      </c>
      <c r="I49" t="s">
        <v>47</v>
      </c>
      <c r="J49" s="2">
        <v>43022</v>
      </c>
    </row>
    <row r="50" spans="1:10" hidden="1" x14ac:dyDescent="0.25">
      <c r="A50" t="s">
        <v>2552</v>
      </c>
      <c r="C50" t="s">
        <v>4064</v>
      </c>
      <c r="D50" t="s">
        <v>4104</v>
      </c>
      <c r="E50" t="s">
        <v>4127</v>
      </c>
      <c r="F50" t="s">
        <v>4126</v>
      </c>
      <c r="G50" s="9" t="s">
        <v>97</v>
      </c>
      <c r="H50" t="s">
        <v>2205</v>
      </c>
      <c r="I50" t="s">
        <v>47</v>
      </c>
      <c r="J50" s="2">
        <v>43022</v>
      </c>
    </row>
    <row r="51" spans="1:10" hidden="1" x14ac:dyDescent="0.25">
      <c r="A51" t="s">
        <v>2553</v>
      </c>
      <c r="C51" t="s">
        <v>4064</v>
      </c>
      <c r="D51" t="s">
        <v>4104</v>
      </c>
      <c r="E51" t="s">
        <v>4127</v>
      </c>
      <c r="F51" t="s">
        <v>4126</v>
      </c>
      <c r="G51" s="9" t="s">
        <v>98</v>
      </c>
      <c r="H51" t="s">
        <v>2205</v>
      </c>
      <c r="I51" t="s">
        <v>64</v>
      </c>
      <c r="J51" s="2">
        <v>43022</v>
      </c>
    </row>
    <row r="52" spans="1:10" hidden="1" x14ac:dyDescent="0.25">
      <c r="A52" t="s">
        <v>2554</v>
      </c>
      <c r="C52" t="s">
        <v>4064</v>
      </c>
      <c r="D52" t="s">
        <v>4104</v>
      </c>
      <c r="E52" t="s">
        <v>4127</v>
      </c>
      <c r="F52" t="s">
        <v>4126</v>
      </c>
      <c r="G52" s="9" t="s">
        <v>99</v>
      </c>
      <c r="H52" t="s">
        <v>2205</v>
      </c>
      <c r="I52" t="s">
        <v>49</v>
      </c>
      <c r="J52" s="2">
        <v>43022</v>
      </c>
    </row>
    <row r="53" spans="1:10" hidden="1" x14ac:dyDescent="0.25">
      <c r="A53" t="s">
        <v>2555</v>
      </c>
      <c r="C53" t="s">
        <v>4064</v>
      </c>
      <c r="D53" t="s">
        <v>4104</v>
      </c>
      <c r="E53" t="s">
        <v>4127</v>
      </c>
      <c r="F53" t="s">
        <v>4126</v>
      </c>
      <c r="G53" s="9" t="s">
        <v>100</v>
      </c>
      <c r="H53" t="s">
        <v>2205</v>
      </c>
      <c r="I53" t="s">
        <v>8</v>
      </c>
      <c r="J53" s="2">
        <v>43022</v>
      </c>
    </row>
    <row r="54" spans="1:10" hidden="1" x14ac:dyDescent="0.25">
      <c r="A54" t="s">
        <v>2556</v>
      </c>
      <c r="C54" t="s">
        <v>4064</v>
      </c>
      <c r="D54" t="s">
        <v>4104</v>
      </c>
      <c r="E54" t="s">
        <v>4127</v>
      </c>
      <c r="F54" t="s">
        <v>4126</v>
      </c>
      <c r="G54" s="9" t="s">
        <v>101</v>
      </c>
      <c r="H54" t="s">
        <v>2205</v>
      </c>
      <c r="I54" t="s">
        <v>10</v>
      </c>
      <c r="J54" s="2">
        <v>43022</v>
      </c>
    </row>
    <row r="55" spans="1:10" hidden="1" x14ac:dyDescent="0.25">
      <c r="A55" t="s">
        <v>2557</v>
      </c>
      <c r="C55" t="s">
        <v>4064</v>
      </c>
      <c r="D55" t="s">
        <v>4104</v>
      </c>
      <c r="E55" t="s">
        <v>4127</v>
      </c>
      <c r="F55" t="s">
        <v>4126</v>
      </c>
      <c r="G55" s="9" t="s">
        <v>124</v>
      </c>
      <c r="H55" t="s">
        <v>2206</v>
      </c>
      <c r="I55" t="s">
        <v>123</v>
      </c>
      <c r="J55" s="2">
        <v>35261</v>
      </c>
    </row>
    <row r="56" spans="1:10" hidden="1" x14ac:dyDescent="0.25">
      <c r="A56" t="s">
        <v>2558</v>
      </c>
      <c r="C56" t="s">
        <v>4064</v>
      </c>
      <c r="D56" t="s">
        <v>4104</v>
      </c>
      <c r="E56" t="s">
        <v>4127</v>
      </c>
      <c r="F56" t="s">
        <v>4126</v>
      </c>
      <c r="G56" s="9" t="s">
        <v>125</v>
      </c>
      <c r="H56" t="s">
        <v>2206</v>
      </c>
      <c r="I56" t="s">
        <v>123</v>
      </c>
      <c r="J56" s="2">
        <v>35261</v>
      </c>
    </row>
    <row r="57" spans="1:10" hidden="1" x14ac:dyDescent="0.25">
      <c r="A57" t="s">
        <v>2559</v>
      </c>
      <c r="C57" t="s">
        <v>4064</v>
      </c>
      <c r="D57" t="s">
        <v>4104</v>
      </c>
      <c r="E57" t="s">
        <v>4127</v>
      </c>
      <c r="F57" t="s">
        <v>4126</v>
      </c>
      <c r="G57" s="9" t="s">
        <v>126</v>
      </c>
      <c r="H57" t="s">
        <v>2207</v>
      </c>
      <c r="I57" t="s">
        <v>47</v>
      </c>
      <c r="J57" s="2">
        <v>34908</v>
      </c>
    </row>
    <row r="58" spans="1:10" hidden="1" x14ac:dyDescent="0.25">
      <c r="A58" t="s">
        <v>2560</v>
      </c>
      <c r="C58" t="s">
        <v>4064</v>
      </c>
      <c r="D58" t="s">
        <v>4104</v>
      </c>
      <c r="E58" t="s">
        <v>4127</v>
      </c>
      <c r="F58" t="s">
        <v>4126</v>
      </c>
      <c r="G58" s="9" t="s">
        <v>127</v>
      </c>
      <c r="H58" t="s">
        <v>2207</v>
      </c>
      <c r="I58" t="s">
        <v>37</v>
      </c>
      <c r="J58" s="2">
        <v>34908</v>
      </c>
    </row>
    <row r="59" spans="1:10" hidden="1" x14ac:dyDescent="0.25">
      <c r="A59" t="s">
        <v>2561</v>
      </c>
      <c r="C59" t="s">
        <v>4064</v>
      </c>
      <c r="D59" t="s">
        <v>4104</v>
      </c>
      <c r="E59" t="s">
        <v>4127</v>
      </c>
      <c r="F59" t="s">
        <v>4126</v>
      </c>
      <c r="G59" s="9" t="s">
        <v>128</v>
      </c>
      <c r="H59" t="s">
        <v>2207</v>
      </c>
      <c r="I59" t="s">
        <v>10</v>
      </c>
      <c r="J59" s="2">
        <v>34908</v>
      </c>
    </row>
    <row r="60" spans="1:10" hidden="1" x14ac:dyDescent="0.25">
      <c r="A60" t="s">
        <v>2562</v>
      </c>
      <c r="C60" t="s">
        <v>4064</v>
      </c>
      <c r="D60" t="s">
        <v>4104</v>
      </c>
      <c r="E60" t="s">
        <v>4127</v>
      </c>
      <c r="F60" t="s">
        <v>4126</v>
      </c>
      <c r="G60" s="9" t="s">
        <v>140</v>
      </c>
      <c r="H60" t="s">
        <v>2208</v>
      </c>
      <c r="I60" t="s">
        <v>8</v>
      </c>
      <c r="J60" s="2">
        <v>34308</v>
      </c>
    </row>
    <row r="61" spans="1:10" hidden="1" x14ac:dyDescent="0.25">
      <c r="A61" t="s">
        <v>2563</v>
      </c>
      <c r="C61" t="s">
        <v>4064</v>
      </c>
      <c r="D61" t="s">
        <v>4104</v>
      </c>
      <c r="E61" t="s">
        <v>4127</v>
      </c>
      <c r="F61" t="s">
        <v>4126</v>
      </c>
      <c r="G61" s="9" t="s">
        <v>146</v>
      </c>
      <c r="H61" t="s">
        <v>2209</v>
      </c>
      <c r="I61" t="s">
        <v>47</v>
      </c>
      <c r="J61" s="2">
        <v>33628</v>
      </c>
    </row>
    <row r="62" spans="1:10" hidden="1" x14ac:dyDescent="0.25">
      <c r="A62" t="s">
        <v>2564</v>
      </c>
      <c r="C62" t="s">
        <v>4064</v>
      </c>
      <c r="D62" t="s">
        <v>4104</v>
      </c>
      <c r="E62" t="s">
        <v>4127</v>
      </c>
      <c r="F62" t="s">
        <v>4126</v>
      </c>
      <c r="G62" s="9" t="s">
        <v>147</v>
      </c>
      <c r="H62" t="s">
        <v>2209</v>
      </c>
      <c r="I62" t="s">
        <v>49</v>
      </c>
      <c r="J62" s="2">
        <v>33628</v>
      </c>
    </row>
    <row r="63" spans="1:10" hidden="1" x14ac:dyDescent="0.25">
      <c r="A63" t="s">
        <v>2565</v>
      </c>
      <c r="C63" t="s">
        <v>4064</v>
      </c>
      <c r="D63" t="s">
        <v>4104</v>
      </c>
      <c r="E63" t="s">
        <v>4127</v>
      </c>
      <c r="F63" t="s">
        <v>4126</v>
      </c>
      <c r="G63" s="9" t="s">
        <v>148</v>
      </c>
      <c r="H63" t="s">
        <v>2209</v>
      </c>
      <c r="I63" t="s">
        <v>10</v>
      </c>
      <c r="J63" s="2">
        <v>33628</v>
      </c>
    </row>
    <row r="64" spans="1:10" hidden="1" x14ac:dyDescent="0.25">
      <c r="A64" t="s">
        <v>2566</v>
      </c>
      <c r="C64" t="s">
        <v>4064</v>
      </c>
      <c r="D64" t="s">
        <v>4104</v>
      </c>
      <c r="E64" t="s">
        <v>4127</v>
      </c>
      <c r="F64" t="s">
        <v>4126</v>
      </c>
      <c r="G64" s="9" t="s">
        <v>154</v>
      </c>
      <c r="H64" t="s">
        <v>2210</v>
      </c>
      <c r="I64" t="s">
        <v>13</v>
      </c>
      <c r="J64" s="2">
        <v>32683</v>
      </c>
    </row>
    <row r="65" spans="1:10" hidden="1" x14ac:dyDescent="0.25">
      <c r="A65" t="s">
        <v>2567</v>
      </c>
      <c r="C65" t="s">
        <v>4064</v>
      </c>
      <c r="D65" t="s">
        <v>4104</v>
      </c>
      <c r="E65" t="s">
        <v>4127</v>
      </c>
      <c r="F65" t="s">
        <v>4126</v>
      </c>
      <c r="G65" s="9" t="s">
        <v>155</v>
      </c>
      <c r="H65" t="s">
        <v>2210</v>
      </c>
      <c r="I65" t="s">
        <v>10</v>
      </c>
      <c r="J65" s="2">
        <v>32683</v>
      </c>
    </row>
    <row r="66" spans="1:10" hidden="1" x14ac:dyDescent="0.25">
      <c r="A66" t="s">
        <v>2568</v>
      </c>
      <c r="C66" t="s">
        <v>4064</v>
      </c>
      <c r="D66" t="s">
        <v>4104</v>
      </c>
      <c r="E66" t="s">
        <v>4127</v>
      </c>
      <c r="F66" t="s">
        <v>4126</v>
      </c>
      <c r="G66" s="9" t="s">
        <v>156</v>
      </c>
      <c r="H66" t="s">
        <v>2210</v>
      </c>
      <c r="I66" t="s">
        <v>10</v>
      </c>
      <c r="J66" s="2">
        <v>32683</v>
      </c>
    </row>
    <row r="67" spans="1:10" hidden="1" x14ac:dyDescent="0.25">
      <c r="A67" t="s">
        <v>2569</v>
      </c>
      <c r="C67" t="s">
        <v>4064</v>
      </c>
      <c r="D67" t="s">
        <v>4104</v>
      </c>
      <c r="E67" t="s">
        <v>4127</v>
      </c>
      <c r="F67" t="s">
        <v>4126</v>
      </c>
      <c r="G67" s="9" t="s">
        <v>157</v>
      </c>
      <c r="H67" t="s">
        <v>2211</v>
      </c>
      <c r="I67" t="s">
        <v>13</v>
      </c>
      <c r="J67" s="2">
        <v>31714</v>
      </c>
    </row>
    <row r="68" spans="1:10" hidden="1" x14ac:dyDescent="0.25">
      <c r="A68" t="s">
        <v>2570</v>
      </c>
      <c r="C68" t="s">
        <v>4064</v>
      </c>
      <c r="D68" t="s">
        <v>4104</v>
      </c>
      <c r="E68" t="s">
        <v>4127</v>
      </c>
      <c r="F68" t="s">
        <v>4126</v>
      </c>
      <c r="G68" s="9" t="s">
        <v>158</v>
      </c>
      <c r="H68" t="s">
        <v>2211</v>
      </c>
      <c r="I68" t="s">
        <v>8</v>
      </c>
      <c r="J68" s="2">
        <v>31714</v>
      </c>
    </row>
    <row r="69" spans="1:10" hidden="1" x14ac:dyDescent="0.25">
      <c r="A69" t="s">
        <v>2571</v>
      </c>
      <c r="C69" t="s">
        <v>4064</v>
      </c>
      <c r="D69" t="s">
        <v>4104</v>
      </c>
      <c r="E69" t="s">
        <v>4127</v>
      </c>
      <c r="F69" t="s">
        <v>4126</v>
      </c>
      <c r="G69" s="9" t="s">
        <v>161</v>
      </c>
      <c r="H69" t="s">
        <v>2212</v>
      </c>
      <c r="I69" t="s">
        <v>8</v>
      </c>
      <c r="J69" s="2">
        <v>30308</v>
      </c>
    </row>
    <row r="70" spans="1:10" hidden="1" x14ac:dyDescent="0.25">
      <c r="A70" t="s">
        <v>2572</v>
      </c>
      <c r="C70" t="s">
        <v>4064</v>
      </c>
      <c r="D70" t="s">
        <v>4104</v>
      </c>
      <c r="E70" t="s">
        <v>4127</v>
      </c>
      <c r="F70" t="s">
        <v>4126</v>
      </c>
      <c r="G70" s="9" t="s">
        <v>162</v>
      </c>
      <c r="H70" t="s">
        <v>2212</v>
      </c>
      <c r="I70" t="s">
        <v>10</v>
      </c>
      <c r="J70" s="2">
        <v>30308</v>
      </c>
    </row>
    <row r="71" spans="1:10" hidden="1" x14ac:dyDescent="0.25">
      <c r="A71" t="s">
        <v>2573</v>
      </c>
      <c r="C71" t="s">
        <v>4064</v>
      </c>
      <c r="D71" t="s">
        <v>4104</v>
      </c>
      <c r="E71" t="s">
        <v>4127</v>
      </c>
      <c r="F71" t="s">
        <v>4126</v>
      </c>
      <c r="G71" s="9" t="s">
        <v>166</v>
      </c>
      <c r="H71" t="s">
        <v>2213</v>
      </c>
      <c r="I71" t="s">
        <v>13</v>
      </c>
      <c r="J71" s="2">
        <v>29296</v>
      </c>
    </row>
    <row r="72" spans="1:10" hidden="1" x14ac:dyDescent="0.25">
      <c r="A72" t="s">
        <v>2574</v>
      </c>
      <c r="C72" t="s">
        <v>4064</v>
      </c>
      <c r="D72" t="s">
        <v>4104</v>
      </c>
      <c r="E72" t="s">
        <v>4127</v>
      </c>
      <c r="F72" t="s">
        <v>4126</v>
      </c>
      <c r="G72" s="9" t="s">
        <v>167</v>
      </c>
      <c r="H72" t="s">
        <v>2213</v>
      </c>
      <c r="I72" t="s">
        <v>47</v>
      </c>
      <c r="J72" s="2">
        <v>29296</v>
      </c>
    </row>
    <row r="73" spans="1:10" hidden="1" x14ac:dyDescent="0.25">
      <c r="A73" t="s">
        <v>2575</v>
      </c>
      <c r="C73" t="s">
        <v>4064</v>
      </c>
      <c r="D73" t="s">
        <v>4104</v>
      </c>
      <c r="E73" t="s">
        <v>4127</v>
      </c>
      <c r="F73" t="s">
        <v>4126</v>
      </c>
      <c r="G73" s="9" t="s">
        <v>168</v>
      </c>
      <c r="H73" t="s">
        <v>2213</v>
      </c>
      <c r="I73" t="s">
        <v>47</v>
      </c>
      <c r="J73" s="2">
        <v>29296</v>
      </c>
    </row>
    <row r="74" spans="1:10" hidden="1" x14ac:dyDescent="0.25">
      <c r="A74" t="s">
        <v>2576</v>
      </c>
      <c r="C74" t="s">
        <v>4064</v>
      </c>
      <c r="D74" t="s">
        <v>4104</v>
      </c>
      <c r="E74" t="s">
        <v>4127</v>
      </c>
      <c r="F74" t="s">
        <v>4126</v>
      </c>
      <c r="G74" s="9" t="s">
        <v>169</v>
      </c>
      <c r="H74" t="s">
        <v>2213</v>
      </c>
      <c r="I74" t="s">
        <v>8</v>
      </c>
      <c r="J74" s="2">
        <v>29296</v>
      </c>
    </row>
    <row r="75" spans="1:10" hidden="1" x14ac:dyDescent="0.25">
      <c r="A75" t="s">
        <v>2577</v>
      </c>
      <c r="C75" t="s">
        <v>4064</v>
      </c>
      <c r="D75" t="s">
        <v>4104</v>
      </c>
      <c r="E75" t="s">
        <v>4127</v>
      </c>
      <c r="F75" t="s">
        <v>4126</v>
      </c>
      <c r="G75" s="9" t="s">
        <v>170</v>
      </c>
      <c r="H75" t="s">
        <v>2213</v>
      </c>
      <c r="I75" t="s">
        <v>10</v>
      </c>
      <c r="J75" s="2">
        <v>29296</v>
      </c>
    </row>
    <row r="76" spans="1:10" hidden="1" x14ac:dyDescent="0.25">
      <c r="A76" t="s">
        <v>2578</v>
      </c>
      <c r="C76" t="s">
        <v>4064</v>
      </c>
      <c r="D76" t="s">
        <v>4104</v>
      </c>
      <c r="E76" t="s">
        <v>4127</v>
      </c>
      <c r="F76" t="s">
        <v>4126</v>
      </c>
      <c r="G76" s="9" t="s">
        <v>188</v>
      </c>
      <c r="H76" t="s">
        <v>2214</v>
      </c>
      <c r="I76" t="s">
        <v>64</v>
      </c>
      <c r="J76" s="2">
        <v>24183</v>
      </c>
    </row>
    <row r="77" spans="1:10" hidden="1" x14ac:dyDescent="0.25">
      <c r="A77" t="s">
        <v>2579</v>
      </c>
      <c r="C77" t="s">
        <v>4064</v>
      </c>
      <c r="D77" t="s">
        <v>4104</v>
      </c>
      <c r="E77" t="s">
        <v>4127</v>
      </c>
      <c r="F77" t="s">
        <v>4126</v>
      </c>
      <c r="G77" s="9" t="s">
        <v>189</v>
      </c>
      <c r="H77" t="s">
        <v>2214</v>
      </c>
      <c r="I77" t="s">
        <v>10</v>
      </c>
      <c r="J77" s="2">
        <v>24183</v>
      </c>
    </row>
    <row r="78" spans="1:10" hidden="1" x14ac:dyDescent="0.25">
      <c r="A78" t="s">
        <v>2580</v>
      </c>
      <c r="C78" t="s">
        <v>4064</v>
      </c>
      <c r="D78" t="s">
        <v>4104</v>
      </c>
      <c r="E78" t="s">
        <v>4127</v>
      </c>
      <c r="F78" t="s">
        <v>4126</v>
      </c>
      <c r="G78" s="9" t="s">
        <v>192</v>
      </c>
      <c r="H78" t="s">
        <v>2215</v>
      </c>
      <c r="I78" t="s">
        <v>13</v>
      </c>
      <c r="J78" s="2">
        <v>22990</v>
      </c>
    </row>
    <row r="79" spans="1:10" hidden="1" x14ac:dyDescent="0.25">
      <c r="A79" t="s">
        <v>2581</v>
      </c>
      <c r="C79" t="s">
        <v>4064</v>
      </c>
      <c r="D79" t="s">
        <v>4104</v>
      </c>
      <c r="E79" t="s">
        <v>4127</v>
      </c>
      <c r="F79" t="s">
        <v>4126</v>
      </c>
      <c r="G79" s="9" t="s">
        <v>193</v>
      </c>
      <c r="H79" t="s">
        <v>2215</v>
      </c>
      <c r="I79" t="s">
        <v>47</v>
      </c>
      <c r="J79" s="2">
        <v>22990</v>
      </c>
    </row>
    <row r="80" spans="1:10" hidden="1" x14ac:dyDescent="0.25">
      <c r="A80" t="s">
        <v>2582</v>
      </c>
      <c r="C80" t="s">
        <v>4064</v>
      </c>
      <c r="D80" t="s">
        <v>4104</v>
      </c>
      <c r="E80" t="s">
        <v>4127</v>
      </c>
      <c r="F80" t="s">
        <v>4126</v>
      </c>
      <c r="G80" s="9" t="s">
        <v>194</v>
      </c>
      <c r="H80" t="s">
        <v>2216</v>
      </c>
      <c r="I80" t="s">
        <v>13</v>
      </c>
      <c r="J80" s="2">
        <v>22775</v>
      </c>
    </row>
    <row r="81" spans="1:10" hidden="1" x14ac:dyDescent="0.25">
      <c r="A81" t="s">
        <v>2583</v>
      </c>
      <c r="C81" t="s">
        <v>4064</v>
      </c>
      <c r="D81" t="s">
        <v>4104</v>
      </c>
      <c r="E81" t="s">
        <v>4127</v>
      </c>
      <c r="F81" t="s">
        <v>4126</v>
      </c>
      <c r="G81" s="9" t="s">
        <v>195</v>
      </c>
      <c r="H81" t="s">
        <v>2216</v>
      </c>
      <c r="I81" t="s">
        <v>10</v>
      </c>
      <c r="J81" s="2">
        <v>22775</v>
      </c>
    </row>
    <row r="82" spans="1:10" hidden="1" x14ac:dyDescent="0.25">
      <c r="A82" t="s">
        <v>2584</v>
      </c>
      <c r="C82" t="s">
        <v>4064</v>
      </c>
      <c r="D82" t="s">
        <v>4104</v>
      </c>
      <c r="E82" t="s">
        <v>4127</v>
      </c>
      <c r="F82" t="s">
        <v>4126</v>
      </c>
      <c r="G82" s="9" t="s">
        <v>196</v>
      </c>
      <c r="H82" t="s">
        <v>2216</v>
      </c>
      <c r="I82" t="s">
        <v>10</v>
      </c>
      <c r="J82" s="2">
        <v>22775</v>
      </c>
    </row>
    <row r="83" spans="1:10" hidden="1" x14ac:dyDescent="0.25">
      <c r="A83" t="s">
        <v>2585</v>
      </c>
      <c r="C83" t="s">
        <v>4064</v>
      </c>
      <c r="D83" t="s">
        <v>4104</v>
      </c>
      <c r="E83" t="s">
        <v>4127</v>
      </c>
      <c r="F83" t="s">
        <v>4126</v>
      </c>
      <c r="G83" s="9" t="s">
        <v>205</v>
      </c>
      <c r="H83" t="s">
        <v>2217</v>
      </c>
      <c r="I83" t="s">
        <v>204</v>
      </c>
      <c r="J83" s="2">
        <v>21459</v>
      </c>
    </row>
    <row r="84" spans="1:10" hidden="1" x14ac:dyDescent="0.25">
      <c r="A84" t="s">
        <v>2586</v>
      </c>
      <c r="C84" t="s">
        <v>4064</v>
      </c>
      <c r="D84" t="s">
        <v>4104</v>
      </c>
      <c r="E84" t="s">
        <v>4127</v>
      </c>
      <c r="F84" t="s">
        <v>4126</v>
      </c>
      <c r="G84" s="9" t="s">
        <v>211</v>
      </c>
      <c r="H84" t="s">
        <v>2218</v>
      </c>
      <c r="I84" t="s">
        <v>13</v>
      </c>
      <c r="J84" s="2">
        <v>20797</v>
      </c>
    </row>
    <row r="85" spans="1:10" hidden="1" x14ac:dyDescent="0.25">
      <c r="A85" t="s">
        <v>2587</v>
      </c>
      <c r="C85" t="s">
        <v>4064</v>
      </c>
      <c r="D85" t="s">
        <v>4104</v>
      </c>
      <c r="E85" t="s">
        <v>4127</v>
      </c>
      <c r="F85" t="s">
        <v>4126</v>
      </c>
      <c r="G85" s="9" t="s">
        <v>212</v>
      </c>
      <c r="H85" t="s">
        <v>2218</v>
      </c>
      <c r="I85" t="s">
        <v>8</v>
      </c>
      <c r="J85" s="2">
        <v>20797</v>
      </c>
    </row>
    <row r="86" spans="1:10" hidden="1" x14ac:dyDescent="0.25">
      <c r="A86" t="s">
        <v>2588</v>
      </c>
      <c r="C86" t="s">
        <v>4064</v>
      </c>
      <c r="D86" t="s">
        <v>4104</v>
      </c>
      <c r="E86" t="s">
        <v>4127</v>
      </c>
      <c r="F86" t="s">
        <v>4126</v>
      </c>
      <c r="G86" s="9" t="s">
        <v>216</v>
      </c>
      <c r="H86" t="s">
        <v>2219</v>
      </c>
      <c r="I86" t="s">
        <v>47</v>
      </c>
      <c r="J86" s="2">
        <v>20401</v>
      </c>
    </row>
    <row r="87" spans="1:10" hidden="1" x14ac:dyDescent="0.25">
      <c r="A87" t="s">
        <v>2589</v>
      </c>
      <c r="C87" t="s">
        <v>4064</v>
      </c>
      <c r="D87" t="s">
        <v>4104</v>
      </c>
      <c r="E87" t="s">
        <v>4127</v>
      </c>
      <c r="F87" t="s">
        <v>4126</v>
      </c>
      <c r="G87" s="9" t="s">
        <v>217</v>
      </c>
      <c r="H87" t="s">
        <v>2219</v>
      </c>
      <c r="I87" t="s">
        <v>47</v>
      </c>
      <c r="J87" s="2">
        <v>20401</v>
      </c>
    </row>
    <row r="88" spans="1:10" hidden="1" x14ac:dyDescent="0.25">
      <c r="A88" t="s">
        <v>2590</v>
      </c>
      <c r="C88" t="s">
        <v>4064</v>
      </c>
      <c r="D88" t="s">
        <v>4104</v>
      </c>
      <c r="E88" t="s">
        <v>4127</v>
      </c>
      <c r="F88" t="s">
        <v>4126</v>
      </c>
      <c r="G88" s="9" t="s">
        <v>218</v>
      </c>
      <c r="H88" t="s">
        <v>2219</v>
      </c>
      <c r="I88" t="s">
        <v>64</v>
      </c>
      <c r="J88" s="2">
        <v>20401</v>
      </c>
    </row>
    <row r="89" spans="1:10" hidden="1" x14ac:dyDescent="0.25">
      <c r="A89" t="s">
        <v>2591</v>
      </c>
      <c r="C89" t="s">
        <v>4064</v>
      </c>
      <c r="D89" t="s">
        <v>4104</v>
      </c>
      <c r="E89" t="s">
        <v>4127</v>
      </c>
      <c r="F89" t="s">
        <v>4126</v>
      </c>
      <c r="G89" s="9" t="s">
        <v>238</v>
      </c>
      <c r="H89" t="s">
        <v>2220</v>
      </c>
      <c r="I89" t="s">
        <v>47</v>
      </c>
      <c r="J89" s="2">
        <v>19090</v>
      </c>
    </row>
    <row r="90" spans="1:10" hidden="1" x14ac:dyDescent="0.25">
      <c r="A90" t="s">
        <v>2592</v>
      </c>
      <c r="C90" t="s">
        <v>4064</v>
      </c>
      <c r="D90" t="s">
        <v>4104</v>
      </c>
      <c r="E90" t="s">
        <v>4127</v>
      </c>
      <c r="F90" t="s">
        <v>4126</v>
      </c>
      <c r="G90" s="9" t="s">
        <v>239</v>
      </c>
      <c r="H90" t="s">
        <v>2220</v>
      </c>
      <c r="I90" t="s">
        <v>8</v>
      </c>
      <c r="J90" s="2">
        <v>19090</v>
      </c>
    </row>
    <row r="91" spans="1:10" hidden="1" x14ac:dyDescent="0.25">
      <c r="A91" t="s">
        <v>2593</v>
      </c>
      <c r="C91" t="s">
        <v>4064</v>
      </c>
      <c r="D91" t="s">
        <v>4104</v>
      </c>
      <c r="E91" t="s">
        <v>4127</v>
      </c>
      <c r="F91" t="s">
        <v>4126</v>
      </c>
      <c r="G91" s="9" t="s">
        <v>240</v>
      </c>
      <c r="H91" t="s">
        <v>2220</v>
      </c>
      <c r="I91" t="s">
        <v>10</v>
      </c>
      <c r="J91" s="2">
        <v>19090</v>
      </c>
    </row>
    <row r="92" spans="1:10" hidden="1" x14ac:dyDescent="0.25">
      <c r="A92" t="s">
        <v>2594</v>
      </c>
      <c r="C92" t="s">
        <v>4064</v>
      </c>
      <c r="D92" t="s">
        <v>4104</v>
      </c>
      <c r="E92" t="s">
        <v>4127</v>
      </c>
      <c r="F92" t="s">
        <v>4126</v>
      </c>
      <c r="G92" s="9" t="s">
        <v>241</v>
      </c>
      <c r="H92" t="s">
        <v>2221</v>
      </c>
      <c r="I92" t="s">
        <v>8</v>
      </c>
      <c r="J92" s="2">
        <v>18974</v>
      </c>
    </row>
    <row r="93" spans="1:10" hidden="1" x14ac:dyDescent="0.25">
      <c r="A93" t="s">
        <v>2595</v>
      </c>
      <c r="C93" t="s">
        <v>4064</v>
      </c>
      <c r="D93" t="s">
        <v>4104</v>
      </c>
      <c r="E93" t="s">
        <v>4127</v>
      </c>
      <c r="F93" t="s">
        <v>4126</v>
      </c>
      <c r="G93" s="9" t="s">
        <v>242</v>
      </c>
      <c r="H93" t="s">
        <v>2221</v>
      </c>
      <c r="I93" t="s">
        <v>62</v>
      </c>
      <c r="J93" s="2">
        <v>18974</v>
      </c>
    </row>
    <row r="94" spans="1:10" hidden="1" x14ac:dyDescent="0.25">
      <c r="A94" t="s">
        <v>2596</v>
      </c>
      <c r="C94" t="s">
        <v>4064</v>
      </c>
      <c r="D94" t="s">
        <v>4104</v>
      </c>
      <c r="E94" t="s">
        <v>4127</v>
      </c>
      <c r="F94" t="s">
        <v>4126</v>
      </c>
      <c r="G94" s="9" t="s">
        <v>243</v>
      </c>
      <c r="H94" t="s">
        <v>2221</v>
      </c>
      <c r="I94" t="s">
        <v>10</v>
      </c>
      <c r="J94" s="2">
        <v>18974</v>
      </c>
    </row>
    <row r="95" spans="1:10" hidden="1" x14ac:dyDescent="0.25">
      <c r="A95" t="s">
        <v>2597</v>
      </c>
      <c r="C95" t="s">
        <v>4064</v>
      </c>
      <c r="D95" t="s">
        <v>4104</v>
      </c>
      <c r="E95" t="s">
        <v>4127</v>
      </c>
      <c r="F95" t="s">
        <v>4126</v>
      </c>
      <c r="G95" s="9" t="s">
        <v>250</v>
      </c>
      <c r="H95" t="s">
        <v>2222</v>
      </c>
      <c r="I95" t="s">
        <v>249</v>
      </c>
      <c r="J95" s="2">
        <v>18030</v>
      </c>
    </row>
    <row r="96" spans="1:10" hidden="1" x14ac:dyDescent="0.25">
      <c r="A96" t="s">
        <v>2598</v>
      </c>
      <c r="C96" t="s">
        <v>4064</v>
      </c>
      <c r="D96" t="s">
        <v>4104</v>
      </c>
      <c r="E96" t="s">
        <v>4127</v>
      </c>
      <c r="F96" t="s">
        <v>4126</v>
      </c>
      <c r="G96" s="9" t="s">
        <v>251</v>
      </c>
      <c r="H96" t="s">
        <v>2222</v>
      </c>
      <c r="I96" t="s">
        <v>204</v>
      </c>
      <c r="J96" s="2">
        <v>18030</v>
      </c>
    </row>
    <row r="97" spans="1:10" hidden="1" x14ac:dyDescent="0.25">
      <c r="A97" t="s">
        <v>2599</v>
      </c>
      <c r="C97" t="s">
        <v>4064</v>
      </c>
      <c r="D97" t="s">
        <v>4104</v>
      </c>
      <c r="E97" t="s">
        <v>4127</v>
      </c>
      <c r="F97" t="s">
        <v>4126</v>
      </c>
      <c r="G97" s="9" t="s">
        <v>261</v>
      </c>
      <c r="H97" t="s">
        <v>2223</v>
      </c>
      <c r="I97" t="s">
        <v>176</v>
      </c>
      <c r="J97" s="2">
        <v>16992</v>
      </c>
    </row>
    <row r="98" spans="1:10" hidden="1" x14ac:dyDescent="0.25">
      <c r="A98" t="s">
        <v>2600</v>
      </c>
      <c r="C98" t="s">
        <v>4064</v>
      </c>
      <c r="D98" t="s">
        <v>4104</v>
      </c>
      <c r="E98" t="s">
        <v>4127</v>
      </c>
      <c r="F98" t="s">
        <v>4126</v>
      </c>
      <c r="G98" s="9" t="s">
        <v>262</v>
      </c>
      <c r="H98" t="s">
        <v>2223</v>
      </c>
      <c r="I98" t="s">
        <v>37</v>
      </c>
      <c r="J98" s="2">
        <v>16992</v>
      </c>
    </row>
    <row r="99" spans="1:10" hidden="1" x14ac:dyDescent="0.25">
      <c r="A99" t="s">
        <v>2601</v>
      </c>
      <c r="C99" t="s">
        <v>4064</v>
      </c>
      <c r="D99" t="s">
        <v>4104</v>
      </c>
      <c r="E99" t="s">
        <v>4127</v>
      </c>
      <c r="F99" t="s">
        <v>4126</v>
      </c>
      <c r="G99" s="9" t="s">
        <v>263</v>
      </c>
      <c r="H99" t="s">
        <v>2223</v>
      </c>
      <c r="I99" t="s">
        <v>249</v>
      </c>
      <c r="J99" s="2">
        <v>16992</v>
      </c>
    </row>
    <row r="100" spans="1:10" hidden="1" x14ac:dyDescent="0.25">
      <c r="A100" t="s">
        <v>2602</v>
      </c>
      <c r="C100" t="s">
        <v>4064</v>
      </c>
      <c r="D100" t="s">
        <v>4104</v>
      </c>
      <c r="E100" t="s">
        <v>4127</v>
      </c>
      <c r="F100" t="s">
        <v>4126</v>
      </c>
      <c r="G100" s="9" t="s">
        <v>264</v>
      </c>
      <c r="H100" t="s">
        <v>2223</v>
      </c>
      <c r="I100" t="s">
        <v>204</v>
      </c>
      <c r="J100" s="2">
        <v>16992</v>
      </c>
    </row>
    <row r="101" spans="1:10" hidden="1" x14ac:dyDescent="0.25">
      <c r="A101" t="s">
        <v>2603</v>
      </c>
      <c r="C101" t="s">
        <v>4064</v>
      </c>
      <c r="D101" t="s">
        <v>4104</v>
      </c>
      <c r="E101" t="s">
        <v>4127</v>
      </c>
      <c r="F101" t="s">
        <v>4126</v>
      </c>
      <c r="G101" s="9" t="s">
        <v>269</v>
      </c>
      <c r="H101" t="s">
        <v>2224</v>
      </c>
      <c r="I101" t="s">
        <v>13</v>
      </c>
      <c r="J101" s="2">
        <v>15572</v>
      </c>
    </row>
    <row r="102" spans="1:10" hidden="1" x14ac:dyDescent="0.25">
      <c r="A102" t="s">
        <v>2604</v>
      </c>
      <c r="C102" t="s">
        <v>4064</v>
      </c>
      <c r="D102" t="s">
        <v>4104</v>
      </c>
      <c r="E102" t="s">
        <v>4127</v>
      </c>
      <c r="F102" t="s">
        <v>4126</v>
      </c>
      <c r="G102" s="9" t="s">
        <v>275</v>
      </c>
      <c r="H102" t="s">
        <v>2225</v>
      </c>
      <c r="I102" t="s">
        <v>47</v>
      </c>
      <c r="J102" s="2">
        <v>14627</v>
      </c>
    </row>
    <row r="103" spans="1:10" hidden="1" x14ac:dyDescent="0.25">
      <c r="A103" t="s">
        <v>2605</v>
      </c>
      <c r="C103" t="s">
        <v>4064</v>
      </c>
      <c r="D103" t="s">
        <v>4104</v>
      </c>
      <c r="E103" t="s">
        <v>4127</v>
      </c>
      <c r="F103" t="s">
        <v>4126</v>
      </c>
      <c r="G103" s="9" t="s">
        <v>276</v>
      </c>
      <c r="H103" t="s">
        <v>2225</v>
      </c>
      <c r="I103" t="s">
        <v>37</v>
      </c>
      <c r="J103" s="2">
        <v>14627</v>
      </c>
    </row>
    <row r="104" spans="1:10" hidden="1" x14ac:dyDescent="0.25">
      <c r="A104" t="s">
        <v>2606</v>
      </c>
      <c r="C104" t="s">
        <v>4064</v>
      </c>
      <c r="D104" t="s">
        <v>4104</v>
      </c>
      <c r="E104" t="s">
        <v>4127</v>
      </c>
      <c r="F104" t="s">
        <v>4126</v>
      </c>
      <c r="G104" s="9" t="s">
        <v>291</v>
      </c>
      <c r="H104" t="s">
        <v>2226</v>
      </c>
      <c r="I104" t="s">
        <v>290</v>
      </c>
      <c r="J104" s="2">
        <v>14015</v>
      </c>
    </row>
    <row r="105" spans="1:10" hidden="1" x14ac:dyDescent="0.25">
      <c r="A105" t="s">
        <v>2607</v>
      </c>
      <c r="C105" t="s">
        <v>4064</v>
      </c>
      <c r="D105" t="s">
        <v>4104</v>
      </c>
      <c r="E105" t="s">
        <v>4127</v>
      </c>
      <c r="F105" t="s">
        <v>4126</v>
      </c>
      <c r="G105" s="9" t="s">
        <v>314</v>
      </c>
      <c r="H105" t="s">
        <v>2227</v>
      </c>
      <c r="I105" t="s">
        <v>45</v>
      </c>
      <c r="J105" s="2">
        <v>11696</v>
      </c>
    </row>
    <row r="106" spans="1:10" hidden="1" x14ac:dyDescent="0.25">
      <c r="A106" t="s">
        <v>2608</v>
      </c>
      <c r="C106" t="s">
        <v>4064</v>
      </c>
      <c r="D106" t="s">
        <v>4104</v>
      </c>
      <c r="E106" t="s">
        <v>4127</v>
      </c>
      <c r="F106" t="s">
        <v>4126</v>
      </c>
      <c r="G106" s="9" t="s">
        <v>315</v>
      </c>
      <c r="H106" t="s">
        <v>2227</v>
      </c>
      <c r="I106" t="s">
        <v>47</v>
      </c>
      <c r="J106" s="2">
        <v>11696</v>
      </c>
    </row>
    <row r="107" spans="1:10" hidden="1" x14ac:dyDescent="0.25">
      <c r="A107" t="s">
        <v>2609</v>
      </c>
      <c r="C107" t="s">
        <v>4064</v>
      </c>
      <c r="D107" t="s">
        <v>4104</v>
      </c>
      <c r="E107" t="s">
        <v>4127</v>
      </c>
      <c r="F107" t="s">
        <v>4126</v>
      </c>
      <c r="G107" s="9" t="s">
        <v>316</v>
      </c>
      <c r="H107" t="s">
        <v>2227</v>
      </c>
      <c r="I107" t="s">
        <v>37</v>
      </c>
      <c r="J107" s="2">
        <v>11696</v>
      </c>
    </row>
    <row r="108" spans="1:10" hidden="1" x14ac:dyDescent="0.25">
      <c r="A108" t="s">
        <v>2610</v>
      </c>
      <c r="C108" t="s">
        <v>4064</v>
      </c>
      <c r="D108" t="s">
        <v>4104</v>
      </c>
      <c r="E108" t="s">
        <v>4127</v>
      </c>
      <c r="F108" t="s">
        <v>4126</v>
      </c>
      <c r="G108" s="9" t="s">
        <v>330</v>
      </c>
      <c r="H108" t="s">
        <v>2228</v>
      </c>
      <c r="I108" t="s">
        <v>13</v>
      </c>
      <c r="J108" s="2">
        <v>11532</v>
      </c>
    </row>
    <row r="109" spans="1:10" hidden="1" x14ac:dyDescent="0.25">
      <c r="A109" t="s">
        <v>2611</v>
      </c>
      <c r="C109" t="s">
        <v>4064</v>
      </c>
      <c r="D109" t="s">
        <v>4104</v>
      </c>
      <c r="E109" t="s">
        <v>4127</v>
      </c>
      <c r="F109" t="s">
        <v>4126</v>
      </c>
      <c r="G109" s="9" t="s">
        <v>331</v>
      </c>
      <c r="H109" t="s">
        <v>2228</v>
      </c>
      <c r="I109" t="s">
        <v>47</v>
      </c>
      <c r="J109" s="2">
        <v>11532</v>
      </c>
    </row>
    <row r="110" spans="1:10" hidden="1" x14ac:dyDescent="0.25">
      <c r="A110" t="s">
        <v>2612</v>
      </c>
      <c r="C110" t="s">
        <v>4064</v>
      </c>
      <c r="D110" t="s">
        <v>4104</v>
      </c>
      <c r="E110" t="s">
        <v>4127</v>
      </c>
      <c r="F110" t="s">
        <v>4126</v>
      </c>
      <c r="G110" s="9" t="s">
        <v>332</v>
      </c>
      <c r="H110" t="s">
        <v>2228</v>
      </c>
      <c r="I110" t="s">
        <v>49</v>
      </c>
      <c r="J110" s="2">
        <v>11532</v>
      </c>
    </row>
    <row r="111" spans="1:10" hidden="1" x14ac:dyDescent="0.25">
      <c r="A111" t="s">
        <v>2613</v>
      </c>
      <c r="C111" t="s">
        <v>4064</v>
      </c>
      <c r="D111" t="s">
        <v>4104</v>
      </c>
      <c r="E111" t="s">
        <v>4127</v>
      </c>
      <c r="F111" t="s">
        <v>4126</v>
      </c>
      <c r="G111" s="9" t="s">
        <v>333</v>
      </c>
      <c r="H111" t="s">
        <v>2229</v>
      </c>
      <c r="I111" t="s">
        <v>249</v>
      </c>
      <c r="J111" s="2">
        <v>11178</v>
      </c>
    </row>
    <row r="112" spans="1:10" hidden="1" x14ac:dyDescent="0.25">
      <c r="A112" t="s">
        <v>2614</v>
      </c>
      <c r="C112" t="s">
        <v>4064</v>
      </c>
      <c r="D112" t="s">
        <v>4104</v>
      </c>
      <c r="E112" t="s">
        <v>4127</v>
      </c>
      <c r="F112" t="s">
        <v>4126</v>
      </c>
      <c r="G112" s="9" t="s">
        <v>338</v>
      </c>
      <c r="H112" t="s">
        <v>2230</v>
      </c>
      <c r="I112" t="s">
        <v>37</v>
      </c>
      <c r="J112" s="2">
        <v>11046</v>
      </c>
    </row>
    <row r="113" spans="1:10" hidden="1" x14ac:dyDescent="0.25">
      <c r="A113" t="s">
        <v>2615</v>
      </c>
      <c r="C113" t="s">
        <v>4064</v>
      </c>
      <c r="D113" t="s">
        <v>4104</v>
      </c>
      <c r="E113" t="s">
        <v>4127</v>
      </c>
      <c r="F113" t="s">
        <v>4126</v>
      </c>
      <c r="G113" s="9" t="s">
        <v>339</v>
      </c>
      <c r="H113" t="s">
        <v>2230</v>
      </c>
      <c r="I113" t="s">
        <v>64</v>
      </c>
      <c r="J113" s="2">
        <v>11046</v>
      </c>
    </row>
    <row r="114" spans="1:10" hidden="1" x14ac:dyDescent="0.25">
      <c r="A114" t="s">
        <v>2616</v>
      </c>
      <c r="C114" t="s">
        <v>4064</v>
      </c>
      <c r="D114" t="s">
        <v>4104</v>
      </c>
      <c r="E114" t="s">
        <v>4127</v>
      </c>
      <c r="F114" t="s">
        <v>4126</v>
      </c>
      <c r="G114" s="9" t="s">
        <v>341</v>
      </c>
      <c r="H114" t="s">
        <v>2230</v>
      </c>
      <c r="I114" t="s">
        <v>340</v>
      </c>
      <c r="J114" s="2">
        <v>11046</v>
      </c>
    </row>
    <row r="115" spans="1:10" hidden="1" x14ac:dyDescent="0.25">
      <c r="A115" t="s">
        <v>2617</v>
      </c>
      <c r="C115" t="s">
        <v>4064</v>
      </c>
      <c r="D115" t="s">
        <v>4104</v>
      </c>
      <c r="E115" t="s">
        <v>4127</v>
      </c>
      <c r="F115" t="s">
        <v>4126</v>
      </c>
      <c r="G115" s="9" t="s">
        <v>347</v>
      </c>
      <c r="H115" t="s">
        <v>2231</v>
      </c>
      <c r="I115" t="s">
        <v>8</v>
      </c>
      <c r="J115" s="2">
        <v>10735</v>
      </c>
    </row>
    <row r="116" spans="1:10" hidden="1" x14ac:dyDescent="0.25">
      <c r="A116" t="s">
        <v>2618</v>
      </c>
      <c r="C116" t="s">
        <v>4064</v>
      </c>
      <c r="D116" t="s">
        <v>4104</v>
      </c>
      <c r="E116" t="s">
        <v>4127</v>
      </c>
      <c r="F116" t="s">
        <v>4126</v>
      </c>
      <c r="G116" s="9" t="s">
        <v>348</v>
      </c>
      <c r="H116" t="s">
        <v>2232</v>
      </c>
      <c r="I116" t="s">
        <v>8</v>
      </c>
      <c r="J116" s="2">
        <v>10720</v>
      </c>
    </row>
    <row r="117" spans="1:10" hidden="1" x14ac:dyDescent="0.25">
      <c r="A117" t="s">
        <v>2619</v>
      </c>
      <c r="C117" t="s">
        <v>4064</v>
      </c>
      <c r="D117" t="s">
        <v>4104</v>
      </c>
      <c r="E117" t="s">
        <v>4127</v>
      </c>
      <c r="F117" t="s">
        <v>4126</v>
      </c>
      <c r="G117" s="9" t="s">
        <v>387</v>
      </c>
      <c r="H117" t="s">
        <v>2233</v>
      </c>
      <c r="I117" t="s">
        <v>13</v>
      </c>
      <c r="J117" s="2">
        <v>9936</v>
      </c>
    </row>
    <row r="118" spans="1:10" hidden="1" x14ac:dyDescent="0.25">
      <c r="A118" t="s">
        <v>2620</v>
      </c>
      <c r="C118" t="s">
        <v>4064</v>
      </c>
      <c r="D118" t="s">
        <v>4104</v>
      </c>
      <c r="E118" t="s">
        <v>4127</v>
      </c>
      <c r="F118" t="s">
        <v>4126</v>
      </c>
      <c r="G118" s="9" t="s">
        <v>389</v>
      </c>
      <c r="H118" t="s">
        <v>2234</v>
      </c>
      <c r="I118" t="s">
        <v>49</v>
      </c>
      <c r="J118" s="2">
        <v>9872</v>
      </c>
    </row>
    <row r="119" spans="1:10" hidden="1" x14ac:dyDescent="0.25">
      <c r="A119" t="s">
        <v>2621</v>
      </c>
      <c r="C119" t="s">
        <v>4064</v>
      </c>
      <c r="D119" t="s">
        <v>4104</v>
      </c>
      <c r="E119" t="s">
        <v>4127</v>
      </c>
      <c r="F119" t="s">
        <v>4126</v>
      </c>
      <c r="G119" s="9" t="s">
        <v>397</v>
      </c>
      <c r="H119" t="s">
        <v>2235</v>
      </c>
      <c r="I119" t="s">
        <v>47</v>
      </c>
      <c r="J119" s="2">
        <v>9765</v>
      </c>
    </row>
    <row r="120" spans="1:10" hidden="1" x14ac:dyDescent="0.25">
      <c r="A120" t="s">
        <v>2622</v>
      </c>
      <c r="C120" t="s">
        <v>4064</v>
      </c>
      <c r="D120" t="s">
        <v>4104</v>
      </c>
      <c r="E120" t="s">
        <v>4127</v>
      </c>
      <c r="F120" t="s">
        <v>4126</v>
      </c>
      <c r="G120" s="9" t="s">
        <v>398</v>
      </c>
      <c r="H120" t="s">
        <v>2235</v>
      </c>
      <c r="I120" t="s">
        <v>47</v>
      </c>
      <c r="J120" s="2">
        <v>9765</v>
      </c>
    </row>
    <row r="121" spans="1:10" hidden="1" x14ac:dyDescent="0.25">
      <c r="A121" t="s">
        <v>2623</v>
      </c>
      <c r="C121" t="s">
        <v>4064</v>
      </c>
      <c r="D121" t="s">
        <v>4104</v>
      </c>
      <c r="E121" t="s">
        <v>4127</v>
      </c>
      <c r="F121" t="s">
        <v>4126</v>
      </c>
      <c r="G121" s="9" t="s">
        <v>408</v>
      </c>
      <c r="H121" t="s">
        <v>2236</v>
      </c>
      <c r="I121" t="s">
        <v>47</v>
      </c>
      <c r="J121" s="2">
        <v>9621</v>
      </c>
    </row>
    <row r="122" spans="1:10" hidden="1" x14ac:dyDescent="0.25">
      <c r="A122" t="s">
        <v>2624</v>
      </c>
      <c r="C122" t="s">
        <v>4064</v>
      </c>
      <c r="D122" t="s">
        <v>4104</v>
      </c>
      <c r="E122" t="s">
        <v>4127</v>
      </c>
      <c r="F122" t="s">
        <v>4126</v>
      </c>
      <c r="G122" s="9" t="s">
        <v>409</v>
      </c>
      <c r="H122" t="s">
        <v>2236</v>
      </c>
      <c r="I122" t="s">
        <v>47</v>
      </c>
      <c r="J122" s="2">
        <v>9621</v>
      </c>
    </row>
    <row r="123" spans="1:10" hidden="1" x14ac:dyDescent="0.25">
      <c r="A123" t="s">
        <v>2625</v>
      </c>
      <c r="C123" t="s">
        <v>4064</v>
      </c>
      <c r="D123" t="s">
        <v>4104</v>
      </c>
      <c r="E123" t="s">
        <v>4127</v>
      </c>
      <c r="F123" t="s">
        <v>4126</v>
      </c>
      <c r="G123" s="9" t="s">
        <v>410</v>
      </c>
      <c r="H123" t="s">
        <v>2236</v>
      </c>
      <c r="I123" t="s">
        <v>47</v>
      </c>
      <c r="J123" s="2">
        <v>9621</v>
      </c>
    </row>
    <row r="124" spans="1:10" hidden="1" x14ac:dyDescent="0.25">
      <c r="A124" t="s">
        <v>2626</v>
      </c>
      <c r="C124" t="s">
        <v>4064</v>
      </c>
      <c r="D124" t="s">
        <v>4104</v>
      </c>
      <c r="E124" t="s">
        <v>4127</v>
      </c>
      <c r="F124" t="s">
        <v>4126</v>
      </c>
      <c r="G124" s="9" t="s">
        <v>411</v>
      </c>
      <c r="H124" t="s">
        <v>2236</v>
      </c>
      <c r="I124" t="s">
        <v>62</v>
      </c>
      <c r="J124" s="2">
        <v>9621</v>
      </c>
    </row>
    <row r="125" spans="1:10" hidden="1" x14ac:dyDescent="0.25">
      <c r="A125" t="s">
        <v>2627</v>
      </c>
      <c r="C125" t="s">
        <v>4064</v>
      </c>
      <c r="D125" t="s">
        <v>4104</v>
      </c>
      <c r="E125" t="s">
        <v>4127</v>
      </c>
      <c r="F125" t="s">
        <v>4126</v>
      </c>
      <c r="G125" s="9" t="s">
        <v>425</v>
      </c>
      <c r="H125" t="s">
        <v>2237</v>
      </c>
      <c r="I125" t="s">
        <v>13</v>
      </c>
      <c r="J125" s="2">
        <v>9427</v>
      </c>
    </row>
    <row r="126" spans="1:10" hidden="1" x14ac:dyDescent="0.25">
      <c r="A126" t="s">
        <v>2628</v>
      </c>
      <c r="C126" t="s">
        <v>4064</v>
      </c>
      <c r="D126" t="s">
        <v>4104</v>
      </c>
      <c r="E126" t="s">
        <v>4127</v>
      </c>
      <c r="F126" t="s">
        <v>4126</v>
      </c>
      <c r="G126" s="9" t="s">
        <v>426</v>
      </c>
      <c r="H126" t="s">
        <v>2237</v>
      </c>
      <c r="I126" t="s">
        <v>47</v>
      </c>
      <c r="J126" s="2">
        <v>9427</v>
      </c>
    </row>
    <row r="127" spans="1:10" hidden="1" x14ac:dyDescent="0.25">
      <c r="A127" t="s">
        <v>2629</v>
      </c>
      <c r="C127" t="s">
        <v>4064</v>
      </c>
      <c r="D127" t="s">
        <v>4104</v>
      </c>
      <c r="E127" t="s">
        <v>4127</v>
      </c>
      <c r="F127" t="s">
        <v>4126</v>
      </c>
      <c r="G127" s="9" t="s">
        <v>427</v>
      </c>
      <c r="H127" t="s">
        <v>2237</v>
      </c>
      <c r="I127" t="s">
        <v>8</v>
      </c>
      <c r="J127" s="2">
        <v>9427</v>
      </c>
    </row>
    <row r="128" spans="1:10" hidden="1" x14ac:dyDescent="0.25">
      <c r="A128" t="s">
        <v>2630</v>
      </c>
      <c r="C128" t="s">
        <v>4064</v>
      </c>
      <c r="D128" t="s">
        <v>4104</v>
      </c>
      <c r="E128" t="s">
        <v>4127</v>
      </c>
      <c r="F128" t="s">
        <v>4126</v>
      </c>
      <c r="G128" s="9" t="s">
        <v>148</v>
      </c>
      <c r="H128" t="s">
        <v>2237</v>
      </c>
      <c r="I128" t="s">
        <v>10</v>
      </c>
      <c r="J128" s="2">
        <v>9427</v>
      </c>
    </row>
    <row r="129" spans="1:10" hidden="1" x14ac:dyDescent="0.25">
      <c r="A129" t="s">
        <v>2631</v>
      </c>
      <c r="C129" t="s">
        <v>4064</v>
      </c>
      <c r="D129" t="s">
        <v>4104</v>
      </c>
      <c r="E129" t="s">
        <v>4127</v>
      </c>
      <c r="F129" t="s">
        <v>4126</v>
      </c>
      <c r="G129" s="9" t="s">
        <v>428</v>
      </c>
      <c r="H129" t="s">
        <v>2237</v>
      </c>
      <c r="I129" t="s">
        <v>10</v>
      </c>
      <c r="J129" s="2">
        <v>9427</v>
      </c>
    </row>
    <row r="130" spans="1:10" hidden="1" x14ac:dyDescent="0.25">
      <c r="A130" t="s">
        <v>2632</v>
      </c>
      <c r="C130" t="s">
        <v>4064</v>
      </c>
      <c r="D130" t="s">
        <v>4104</v>
      </c>
      <c r="E130" t="s">
        <v>4127</v>
      </c>
      <c r="F130" t="s">
        <v>4126</v>
      </c>
      <c r="G130" s="9" t="s">
        <v>433</v>
      </c>
      <c r="H130" t="s">
        <v>2238</v>
      </c>
      <c r="I130" t="s">
        <v>13</v>
      </c>
      <c r="J130" s="2">
        <v>9298</v>
      </c>
    </row>
    <row r="131" spans="1:10" hidden="1" x14ac:dyDescent="0.25">
      <c r="A131" t="s">
        <v>2633</v>
      </c>
      <c r="C131" t="s">
        <v>4064</v>
      </c>
      <c r="D131" t="s">
        <v>4104</v>
      </c>
      <c r="E131" t="s">
        <v>4127</v>
      </c>
      <c r="F131" t="s">
        <v>4126</v>
      </c>
      <c r="G131" s="9" t="s">
        <v>451</v>
      </c>
      <c r="H131" t="s">
        <v>2239</v>
      </c>
      <c r="I131" t="s">
        <v>45</v>
      </c>
      <c r="J131" s="2">
        <v>9028</v>
      </c>
    </row>
    <row r="132" spans="1:10" hidden="1" x14ac:dyDescent="0.25">
      <c r="A132" t="s">
        <v>2634</v>
      </c>
      <c r="C132" t="s">
        <v>4064</v>
      </c>
      <c r="D132" t="s">
        <v>4104</v>
      </c>
      <c r="E132" t="s">
        <v>4127</v>
      </c>
      <c r="F132" t="s">
        <v>4126</v>
      </c>
      <c r="G132" s="9" t="s">
        <v>475</v>
      </c>
      <c r="H132" t="s">
        <v>2240</v>
      </c>
      <c r="I132" t="s">
        <v>474</v>
      </c>
      <c r="J132" s="2">
        <v>8519</v>
      </c>
    </row>
    <row r="133" spans="1:10" hidden="1" x14ac:dyDescent="0.25">
      <c r="A133" t="s">
        <v>2635</v>
      </c>
      <c r="C133" t="s">
        <v>4064</v>
      </c>
      <c r="D133" t="s">
        <v>4104</v>
      </c>
      <c r="E133" t="s">
        <v>4127</v>
      </c>
      <c r="F133" t="s">
        <v>4126</v>
      </c>
      <c r="G133" s="9" t="s">
        <v>492</v>
      </c>
      <c r="H133" t="s">
        <v>2241</v>
      </c>
      <c r="I133" t="s">
        <v>47</v>
      </c>
      <c r="J133" s="2">
        <v>8009</v>
      </c>
    </row>
    <row r="134" spans="1:10" hidden="1" x14ac:dyDescent="0.25">
      <c r="A134" t="s">
        <v>2636</v>
      </c>
      <c r="C134" t="s">
        <v>4064</v>
      </c>
      <c r="D134" t="s">
        <v>4104</v>
      </c>
      <c r="E134" t="s">
        <v>4127</v>
      </c>
      <c r="F134" t="s">
        <v>4126</v>
      </c>
      <c r="G134" s="9" t="s">
        <v>493</v>
      </c>
      <c r="H134" t="s">
        <v>2241</v>
      </c>
      <c r="I134" t="s">
        <v>47</v>
      </c>
      <c r="J134" s="2">
        <v>8009</v>
      </c>
    </row>
    <row r="135" spans="1:10" hidden="1" x14ac:dyDescent="0.25">
      <c r="A135" t="s">
        <v>2637</v>
      </c>
      <c r="C135" t="s">
        <v>4064</v>
      </c>
      <c r="D135" t="s">
        <v>4104</v>
      </c>
      <c r="E135" t="s">
        <v>4127</v>
      </c>
      <c r="F135" t="s">
        <v>4126</v>
      </c>
      <c r="G135" s="9" t="s">
        <v>494</v>
      </c>
      <c r="H135" t="s">
        <v>2241</v>
      </c>
      <c r="I135" t="s">
        <v>343</v>
      </c>
      <c r="J135" s="2">
        <v>8009</v>
      </c>
    </row>
    <row r="136" spans="1:10" hidden="1" x14ac:dyDescent="0.25">
      <c r="A136" t="s">
        <v>2638</v>
      </c>
      <c r="C136" t="s">
        <v>4064</v>
      </c>
      <c r="D136" t="s">
        <v>4104</v>
      </c>
      <c r="E136" t="s">
        <v>4127</v>
      </c>
      <c r="F136" t="s">
        <v>4126</v>
      </c>
      <c r="G136" s="9" t="s">
        <v>512</v>
      </c>
      <c r="H136" t="s">
        <v>2242</v>
      </c>
      <c r="I136" t="s">
        <v>13</v>
      </c>
      <c r="J136" s="2">
        <v>7725</v>
      </c>
    </row>
    <row r="137" spans="1:10" hidden="1" x14ac:dyDescent="0.25">
      <c r="A137" t="s">
        <v>2639</v>
      </c>
      <c r="C137" t="s">
        <v>4064</v>
      </c>
      <c r="D137" t="s">
        <v>4104</v>
      </c>
      <c r="E137" t="s">
        <v>4127</v>
      </c>
      <c r="F137" t="s">
        <v>4126</v>
      </c>
      <c r="G137" s="9" t="s">
        <v>546</v>
      </c>
      <c r="H137" t="s">
        <v>2243</v>
      </c>
      <c r="I137" t="s">
        <v>64</v>
      </c>
      <c r="J137" s="2">
        <v>6998</v>
      </c>
    </row>
    <row r="138" spans="1:10" hidden="1" x14ac:dyDescent="0.25">
      <c r="A138" t="s">
        <v>2640</v>
      </c>
      <c r="C138" t="s">
        <v>4064</v>
      </c>
      <c r="D138" t="s">
        <v>4104</v>
      </c>
      <c r="E138" t="s">
        <v>4127</v>
      </c>
      <c r="F138" t="s">
        <v>4126</v>
      </c>
      <c r="G138" s="9" t="s">
        <v>547</v>
      </c>
      <c r="H138" t="s">
        <v>2243</v>
      </c>
      <c r="I138" t="s">
        <v>64</v>
      </c>
      <c r="J138" s="2">
        <v>6998</v>
      </c>
    </row>
    <row r="139" spans="1:10" hidden="1" x14ac:dyDescent="0.25">
      <c r="A139" t="s">
        <v>2641</v>
      </c>
      <c r="C139" t="s">
        <v>4064</v>
      </c>
      <c r="D139" t="s">
        <v>4104</v>
      </c>
      <c r="E139" t="s">
        <v>4127</v>
      </c>
      <c r="F139" t="s">
        <v>4126</v>
      </c>
      <c r="G139" s="9" t="s">
        <v>548</v>
      </c>
      <c r="H139" t="s">
        <v>2243</v>
      </c>
      <c r="I139" t="s">
        <v>64</v>
      </c>
      <c r="J139" s="2">
        <v>6998</v>
      </c>
    </row>
    <row r="140" spans="1:10" hidden="1" x14ac:dyDescent="0.25">
      <c r="A140" t="s">
        <v>2642</v>
      </c>
      <c r="C140" t="s">
        <v>4064</v>
      </c>
      <c r="D140" t="s">
        <v>4104</v>
      </c>
      <c r="E140" t="s">
        <v>4127</v>
      </c>
      <c r="F140" t="s">
        <v>4126</v>
      </c>
      <c r="G140" s="9" t="s">
        <v>559</v>
      </c>
      <c r="H140" t="s">
        <v>2244</v>
      </c>
      <c r="I140" t="s">
        <v>64</v>
      </c>
      <c r="J140" s="2">
        <v>6684</v>
      </c>
    </row>
    <row r="141" spans="1:10" hidden="1" x14ac:dyDescent="0.25">
      <c r="A141" t="s">
        <v>2643</v>
      </c>
      <c r="C141" t="s">
        <v>4064</v>
      </c>
      <c r="D141" t="s">
        <v>4104</v>
      </c>
      <c r="E141" t="s">
        <v>4127</v>
      </c>
      <c r="F141" t="s">
        <v>4126</v>
      </c>
      <c r="G141" s="9" t="s">
        <v>567</v>
      </c>
      <c r="H141" t="s">
        <v>2245</v>
      </c>
      <c r="I141" t="s">
        <v>47</v>
      </c>
      <c r="J141" s="2">
        <v>6587</v>
      </c>
    </row>
    <row r="142" spans="1:10" hidden="1" x14ac:dyDescent="0.25">
      <c r="A142" t="s">
        <v>2644</v>
      </c>
      <c r="C142" t="s">
        <v>4064</v>
      </c>
      <c r="D142" t="s">
        <v>4104</v>
      </c>
      <c r="E142" t="s">
        <v>4127</v>
      </c>
      <c r="F142" t="s">
        <v>4126</v>
      </c>
      <c r="G142" s="9" t="s">
        <v>568</v>
      </c>
      <c r="H142" t="s">
        <v>2245</v>
      </c>
      <c r="I142" t="s">
        <v>37</v>
      </c>
      <c r="J142" s="2">
        <v>6587</v>
      </c>
    </row>
    <row r="143" spans="1:10" hidden="1" x14ac:dyDescent="0.25">
      <c r="A143" t="s">
        <v>2645</v>
      </c>
      <c r="C143" t="s">
        <v>4064</v>
      </c>
      <c r="D143" t="s">
        <v>4104</v>
      </c>
      <c r="E143" t="s">
        <v>4127</v>
      </c>
      <c r="F143" t="s">
        <v>4126</v>
      </c>
      <c r="G143" s="9" t="s">
        <v>569</v>
      </c>
      <c r="H143" t="s">
        <v>2245</v>
      </c>
      <c r="I143" t="s">
        <v>62</v>
      </c>
      <c r="J143" s="2">
        <v>6587</v>
      </c>
    </row>
    <row r="144" spans="1:10" hidden="1" x14ac:dyDescent="0.25">
      <c r="A144" t="s">
        <v>2646</v>
      </c>
      <c r="C144" t="s">
        <v>4064</v>
      </c>
      <c r="D144" t="s">
        <v>4104</v>
      </c>
      <c r="E144" t="s">
        <v>4127</v>
      </c>
      <c r="F144" t="s">
        <v>4126</v>
      </c>
      <c r="G144" s="9" t="s">
        <v>573</v>
      </c>
      <c r="H144" t="s">
        <v>2246</v>
      </c>
      <c r="I144" t="s">
        <v>13</v>
      </c>
      <c r="J144" s="2">
        <v>6544</v>
      </c>
    </row>
    <row r="145" spans="1:10" hidden="1" x14ac:dyDescent="0.25">
      <c r="A145" t="s">
        <v>2647</v>
      </c>
      <c r="C145" t="s">
        <v>4064</v>
      </c>
      <c r="D145" t="s">
        <v>4104</v>
      </c>
      <c r="E145" t="s">
        <v>4127</v>
      </c>
      <c r="F145" t="s">
        <v>4126</v>
      </c>
      <c r="G145" s="9" t="s">
        <v>580</v>
      </c>
      <c r="H145" t="s">
        <v>2247</v>
      </c>
      <c r="I145" t="s">
        <v>579</v>
      </c>
      <c r="J145" s="2">
        <v>6345</v>
      </c>
    </row>
    <row r="146" spans="1:10" hidden="1" x14ac:dyDescent="0.25">
      <c r="A146" t="s">
        <v>2648</v>
      </c>
      <c r="C146" t="s">
        <v>4064</v>
      </c>
      <c r="D146" t="s">
        <v>4104</v>
      </c>
      <c r="E146" t="s">
        <v>4127</v>
      </c>
      <c r="F146" t="s">
        <v>4126</v>
      </c>
      <c r="G146" s="9" t="s">
        <v>580</v>
      </c>
      <c r="H146" t="s">
        <v>2247</v>
      </c>
      <c r="I146" t="s">
        <v>581</v>
      </c>
      <c r="J146" s="2">
        <v>6345</v>
      </c>
    </row>
    <row r="147" spans="1:10" hidden="1" x14ac:dyDescent="0.25">
      <c r="A147" t="s">
        <v>2649</v>
      </c>
      <c r="C147" t="s">
        <v>4064</v>
      </c>
      <c r="D147" t="s">
        <v>4104</v>
      </c>
      <c r="E147" t="s">
        <v>4127</v>
      </c>
      <c r="F147" t="s">
        <v>4126</v>
      </c>
      <c r="G147" s="9" t="s">
        <v>582</v>
      </c>
      <c r="H147" t="s">
        <v>2247</v>
      </c>
      <c r="I147" t="s">
        <v>581</v>
      </c>
      <c r="J147" s="2">
        <v>6345</v>
      </c>
    </row>
    <row r="148" spans="1:10" hidden="1" x14ac:dyDescent="0.25">
      <c r="A148" t="s">
        <v>2650</v>
      </c>
      <c r="C148" t="s">
        <v>4064</v>
      </c>
      <c r="D148" t="s">
        <v>4104</v>
      </c>
      <c r="E148" t="s">
        <v>4127</v>
      </c>
      <c r="F148" t="s">
        <v>4126</v>
      </c>
      <c r="G148" s="9" t="s">
        <v>586</v>
      </c>
      <c r="H148" t="s">
        <v>2248</v>
      </c>
      <c r="I148" t="s">
        <v>579</v>
      </c>
      <c r="J148" s="2">
        <v>6310</v>
      </c>
    </row>
    <row r="149" spans="1:10" hidden="1" x14ac:dyDescent="0.25">
      <c r="A149" t="s">
        <v>2651</v>
      </c>
      <c r="C149" t="s">
        <v>4064</v>
      </c>
      <c r="D149" t="s">
        <v>4104</v>
      </c>
      <c r="E149" t="s">
        <v>4127</v>
      </c>
      <c r="F149" t="s">
        <v>4126</v>
      </c>
      <c r="G149" s="9" t="s">
        <v>586</v>
      </c>
      <c r="H149" t="s">
        <v>2248</v>
      </c>
      <c r="I149" t="s">
        <v>581</v>
      </c>
      <c r="J149" s="2">
        <v>6310</v>
      </c>
    </row>
    <row r="150" spans="1:10" hidden="1" x14ac:dyDescent="0.25">
      <c r="A150" t="s">
        <v>2652</v>
      </c>
      <c r="C150" t="s">
        <v>4064</v>
      </c>
      <c r="D150" t="s">
        <v>4104</v>
      </c>
      <c r="E150" t="s">
        <v>4127</v>
      </c>
      <c r="F150" t="s">
        <v>4126</v>
      </c>
      <c r="G150" s="9" t="s">
        <v>587</v>
      </c>
      <c r="H150" t="s">
        <v>2248</v>
      </c>
      <c r="I150" t="s">
        <v>581</v>
      </c>
      <c r="J150" s="2">
        <v>6310</v>
      </c>
    </row>
    <row r="151" spans="1:10" hidden="1" x14ac:dyDescent="0.25">
      <c r="A151" t="s">
        <v>2653</v>
      </c>
      <c r="C151" t="s">
        <v>4064</v>
      </c>
      <c r="D151" t="s">
        <v>4104</v>
      </c>
      <c r="E151" t="s">
        <v>4127</v>
      </c>
      <c r="F151" t="s">
        <v>4126</v>
      </c>
      <c r="G151" s="9" t="s">
        <v>592</v>
      </c>
      <c r="H151" t="s">
        <v>2249</v>
      </c>
      <c r="I151" t="s">
        <v>10</v>
      </c>
      <c r="J151" s="2">
        <v>6274</v>
      </c>
    </row>
    <row r="152" spans="1:10" hidden="1" x14ac:dyDescent="0.25">
      <c r="A152" t="s">
        <v>2654</v>
      </c>
      <c r="C152" t="s">
        <v>4064</v>
      </c>
      <c r="D152" t="s">
        <v>4104</v>
      </c>
      <c r="E152" t="s">
        <v>4127</v>
      </c>
      <c r="F152" t="s">
        <v>4126</v>
      </c>
      <c r="G152" s="9" t="s">
        <v>593</v>
      </c>
      <c r="H152" t="s">
        <v>2250</v>
      </c>
      <c r="I152" t="s">
        <v>184</v>
      </c>
      <c r="J152" s="2">
        <v>6255</v>
      </c>
    </row>
    <row r="153" spans="1:10" hidden="1" x14ac:dyDescent="0.25">
      <c r="A153" t="s">
        <v>2655</v>
      </c>
      <c r="C153" t="s">
        <v>4064</v>
      </c>
      <c r="D153" t="s">
        <v>4104</v>
      </c>
      <c r="E153" t="s">
        <v>4127</v>
      </c>
      <c r="F153" t="s">
        <v>4126</v>
      </c>
      <c r="G153" s="9" t="s">
        <v>600</v>
      </c>
      <c r="H153" t="s">
        <v>2251</v>
      </c>
      <c r="I153" t="s">
        <v>13</v>
      </c>
      <c r="J153" s="2">
        <v>6046</v>
      </c>
    </row>
    <row r="154" spans="1:10" hidden="1" x14ac:dyDescent="0.25">
      <c r="A154" t="s">
        <v>2656</v>
      </c>
      <c r="C154" t="s">
        <v>4064</v>
      </c>
      <c r="D154" t="s">
        <v>4104</v>
      </c>
      <c r="E154" t="s">
        <v>4127</v>
      </c>
      <c r="F154" t="s">
        <v>4126</v>
      </c>
      <c r="G154" s="9" t="s">
        <v>601</v>
      </c>
      <c r="H154" t="s">
        <v>2251</v>
      </c>
      <c r="I154" t="s">
        <v>47</v>
      </c>
      <c r="J154" s="2">
        <v>6046</v>
      </c>
    </row>
    <row r="155" spans="1:10" hidden="1" x14ac:dyDescent="0.25">
      <c r="A155" t="s">
        <v>2657</v>
      </c>
      <c r="C155" t="s">
        <v>4064</v>
      </c>
      <c r="D155" t="s">
        <v>4104</v>
      </c>
      <c r="E155" t="s">
        <v>4127</v>
      </c>
      <c r="F155" t="s">
        <v>4126</v>
      </c>
      <c r="G155" s="9" t="s">
        <v>620</v>
      </c>
      <c r="H155" t="s">
        <v>2252</v>
      </c>
      <c r="I155" t="s">
        <v>64</v>
      </c>
      <c r="J155" s="2">
        <v>5708</v>
      </c>
    </row>
    <row r="156" spans="1:10" hidden="1" x14ac:dyDescent="0.25">
      <c r="A156" t="s">
        <v>2658</v>
      </c>
      <c r="C156" t="s">
        <v>4064</v>
      </c>
      <c r="D156" t="s">
        <v>4104</v>
      </c>
      <c r="E156" t="s">
        <v>4127</v>
      </c>
      <c r="F156" t="s">
        <v>4126</v>
      </c>
      <c r="G156" s="9" t="s">
        <v>621</v>
      </c>
      <c r="H156" t="s">
        <v>2252</v>
      </c>
      <c r="I156" t="s">
        <v>343</v>
      </c>
      <c r="J156" s="2">
        <v>5708</v>
      </c>
    </row>
    <row r="157" spans="1:10" hidden="1" x14ac:dyDescent="0.25">
      <c r="A157" t="s">
        <v>2659</v>
      </c>
      <c r="C157" t="s">
        <v>4064</v>
      </c>
      <c r="D157" t="s">
        <v>4104</v>
      </c>
      <c r="E157" t="s">
        <v>4127</v>
      </c>
      <c r="F157" t="s">
        <v>4126</v>
      </c>
      <c r="G157" s="9" t="s">
        <v>624</v>
      </c>
      <c r="H157" t="s">
        <v>2253</v>
      </c>
      <c r="I157" t="s">
        <v>64</v>
      </c>
      <c r="J157" s="2">
        <v>5645</v>
      </c>
    </row>
    <row r="158" spans="1:10" hidden="1" x14ac:dyDescent="0.25">
      <c r="A158" t="s">
        <v>2660</v>
      </c>
      <c r="C158" t="s">
        <v>4064</v>
      </c>
      <c r="D158" t="s">
        <v>4104</v>
      </c>
      <c r="E158" t="s">
        <v>4127</v>
      </c>
      <c r="F158" t="s">
        <v>4126</v>
      </c>
      <c r="G158" s="9" t="s">
        <v>625</v>
      </c>
      <c r="H158" t="s">
        <v>2253</v>
      </c>
      <c r="I158" t="s">
        <v>10</v>
      </c>
      <c r="J158" s="2">
        <v>5645</v>
      </c>
    </row>
    <row r="159" spans="1:10" hidden="1" x14ac:dyDescent="0.25">
      <c r="A159" t="s">
        <v>2661</v>
      </c>
      <c r="C159" t="s">
        <v>4064</v>
      </c>
      <c r="D159" t="s">
        <v>4104</v>
      </c>
      <c r="E159" t="s">
        <v>4127</v>
      </c>
      <c r="F159" t="s">
        <v>4126</v>
      </c>
      <c r="G159" s="9" t="s">
        <v>700</v>
      </c>
      <c r="H159" t="s">
        <v>2254</v>
      </c>
      <c r="I159" t="s">
        <v>49</v>
      </c>
      <c r="J159" s="2">
        <v>5068</v>
      </c>
    </row>
    <row r="160" spans="1:10" hidden="1" x14ac:dyDescent="0.25">
      <c r="A160" t="s">
        <v>2662</v>
      </c>
      <c r="C160" t="s">
        <v>4064</v>
      </c>
      <c r="D160" t="s">
        <v>4104</v>
      </c>
      <c r="E160" t="s">
        <v>4127</v>
      </c>
      <c r="F160" t="s">
        <v>4126</v>
      </c>
      <c r="G160" s="9" t="s">
        <v>707</v>
      </c>
      <c r="H160" t="s">
        <v>2255</v>
      </c>
      <c r="I160" t="s">
        <v>13</v>
      </c>
      <c r="J160" s="2">
        <v>5058</v>
      </c>
    </row>
    <row r="161" spans="1:10" hidden="1" x14ac:dyDescent="0.25">
      <c r="A161" t="s">
        <v>2663</v>
      </c>
      <c r="C161" t="s">
        <v>4064</v>
      </c>
      <c r="D161" t="s">
        <v>4104</v>
      </c>
      <c r="E161" t="s">
        <v>4127</v>
      </c>
      <c r="F161" t="s">
        <v>4126</v>
      </c>
      <c r="G161" s="9" t="s">
        <v>715</v>
      </c>
      <c r="H161" t="s">
        <v>2256</v>
      </c>
      <c r="I161" t="s">
        <v>13</v>
      </c>
      <c r="J161" s="2">
        <v>4976</v>
      </c>
    </row>
    <row r="162" spans="1:10" hidden="1" x14ac:dyDescent="0.25">
      <c r="A162" t="s">
        <v>2664</v>
      </c>
      <c r="C162" t="s">
        <v>4064</v>
      </c>
      <c r="D162" t="s">
        <v>4104</v>
      </c>
      <c r="E162" t="s">
        <v>4127</v>
      </c>
      <c r="F162" t="s">
        <v>4126</v>
      </c>
      <c r="G162" s="9" t="s">
        <v>716</v>
      </c>
      <c r="H162" t="s">
        <v>2256</v>
      </c>
      <c r="I162" t="s">
        <v>47</v>
      </c>
      <c r="J162" s="2">
        <v>4976</v>
      </c>
    </row>
    <row r="163" spans="1:10" hidden="1" x14ac:dyDescent="0.25">
      <c r="A163" t="s">
        <v>2665</v>
      </c>
      <c r="C163" t="s">
        <v>4064</v>
      </c>
      <c r="D163" t="s">
        <v>4104</v>
      </c>
      <c r="E163" t="s">
        <v>4127</v>
      </c>
      <c r="F163" t="s">
        <v>4126</v>
      </c>
      <c r="G163" s="9" t="s">
        <v>752</v>
      </c>
      <c r="H163" t="s">
        <v>2257</v>
      </c>
      <c r="I163" t="s">
        <v>13</v>
      </c>
      <c r="J163" s="2">
        <v>4910</v>
      </c>
    </row>
    <row r="164" spans="1:10" hidden="1" x14ac:dyDescent="0.25">
      <c r="A164" t="s">
        <v>2666</v>
      </c>
      <c r="C164" t="s">
        <v>4064</v>
      </c>
      <c r="D164" t="s">
        <v>4104</v>
      </c>
      <c r="E164" t="s">
        <v>4127</v>
      </c>
      <c r="F164" t="s">
        <v>4126</v>
      </c>
      <c r="G164" s="9" t="s">
        <v>780</v>
      </c>
      <c r="H164" t="s">
        <v>2258</v>
      </c>
      <c r="I164" t="s">
        <v>13</v>
      </c>
      <c r="J164" s="2">
        <v>4807</v>
      </c>
    </row>
    <row r="165" spans="1:10" hidden="1" x14ac:dyDescent="0.25">
      <c r="A165" t="s">
        <v>2667</v>
      </c>
      <c r="C165" t="s">
        <v>4064</v>
      </c>
      <c r="D165" t="s">
        <v>4104</v>
      </c>
      <c r="E165" t="s">
        <v>4127</v>
      </c>
      <c r="F165" t="s">
        <v>4126</v>
      </c>
      <c r="G165" s="9" t="s">
        <v>791</v>
      </c>
      <c r="H165" t="s">
        <v>2259</v>
      </c>
      <c r="I165" t="s">
        <v>49</v>
      </c>
      <c r="J165" s="2">
        <v>4765</v>
      </c>
    </row>
    <row r="166" spans="1:10" hidden="1" x14ac:dyDescent="0.25">
      <c r="A166" t="s">
        <v>2668</v>
      </c>
      <c r="C166" t="s">
        <v>4064</v>
      </c>
      <c r="D166" t="s">
        <v>4104</v>
      </c>
      <c r="E166" t="s">
        <v>4127</v>
      </c>
      <c r="F166" t="s">
        <v>4126</v>
      </c>
      <c r="G166" s="9" t="s">
        <v>802</v>
      </c>
      <c r="H166" t="s">
        <v>2260</v>
      </c>
      <c r="I166" t="s">
        <v>47</v>
      </c>
      <c r="J166" s="2">
        <v>4722</v>
      </c>
    </row>
    <row r="167" spans="1:10" hidden="1" x14ac:dyDescent="0.25">
      <c r="A167" t="s">
        <v>2669</v>
      </c>
      <c r="C167" t="s">
        <v>4064</v>
      </c>
      <c r="D167" t="s">
        <v>4104</v>
      </c>
      <c r="E167" t="s">
        <v>4127</v>
      </c>
      <c r="F167" t="s">
        <v>4126</v>
      </c>
      <c r="G167" s="9" t="s">
        <v>807</v>
      </c>
      <c r="H167" t="s">
        <v>2261</v>
      </c>
      <c r="I167" t="s">
        <v>49</v>
      </c>
      <c r="J167" s="2">
        <v>4710</v>
      </c>
    </row>
    <row r="168" spans="1:10" hidden="1" x14ac:dyDescent="0.25">
      <c r="A168" t="s">
        <v>2670</v>
      </c>
      <c r="C168" t="s">
        <v>4064</v>
      </c>
      <c r="D168" t="s">
        <v>4104</v>
      </c>
      <c r="E168" t="s">
        <v>4127</v>
      </c>
      <c r="F168" t="s">
        <v>4126</v>
      </c>
      <c r="G168" s="9" t="s">
        <v>439</v>
      </c>
      <c r="H168" t="s">
        <v>2262</v>
      </c>
      <c r="I168" t="s">
        <v>47</v>
      </c>
      <c r="J168" s="2">
        <v>4661</v>
      </c>
    </row>
    <row r="169" spans="1:10" hidden="1" x14ac:dyDescent="0.25">
      <c r="A169" t="s">
        <v>2671</v>
      </c>
      <c r="C169" t="s">
        <v>4064</v>
      </c>
      <c r="D169" t="s">
        <v>4104</v>
      </c>
      <c r="E169" t="s">
        <v>4127</v>
      </c>
      <c r="F169" t="s">
        <v>4126</v>
      </c>
      <c r="G169" s="9" t="s">
        <v>833</v>
      </c>
      <c r="H169" t="s">
        <v>2262</v>
      </c>
      <c r="I169" t="s">
        <v>10</v>
      </c>
      <c r="J169" s="2">
        <v>4661</v>
      </c>
    </row>
    <row r="170" spans="1:10" hidden="1" x14ac:dyDescent="0.25">
      <c r="A170" t="s">
        <v>2672</v>
      </c>
      <c r="C170" t="s">
        <v>4064</v>
      </c>
      <c r="D170" t="s">
        <v>4104</v>
      </c>
      <c r="E170" t="s">
        <v>4127</v>
      </c>
      <c r="F170" t="s">
        <v>4126</v>
      </c>
      <c r="G170" s="9" t="s">
        <v>853</v>
      </c>
      <c r="H170" t="s">
        <v>2263</v>
      </c>
      <c r="I170" t="s">
        <v>8</v>
      </c>
      <c r="J170" s="2">
        <v>4468</v>
      </c>
    </row>
    <row r="171" spans="1:10" hidden="1" x14ac:dyDescent="0.25">
      <c r="A171" t="s">
        <v>2673</v>
      </c>
      <c r="C171" t="s">
        <v>4064</v>
      </c>
      <c r="D171" t="s">
        <v>4104</v>
      </c>
      <c r="E171" t="s">
        <v>4127</v>
      </c>
      <c r="F171" t="s">
        <v>4126</v>
      </c>
      <c r="G171" s="9" t="s">
        <v>854</v>
      </c>
      <c r="H171" t="s">
        <v>2263</v>
      </c>
      <c r="I171" t="s">
        <v>8</v>
      </c>
      <c r="J171" s="2">
        <v>4468</v>
      </c>
    </row>
    <row r="172" spans="1:10" hidden="1" x14ac:dyDescent="0.25">
      <c r="A172" t="s">
        <v>2674</v>
      </c>
      <c r="C172" t="s">
        <v>4064</v>
      </c>
      <c r="D172" t="s">
        <v>4104</v>
      </c>
      <c r="E172" t="s">
        <v>4127</v>
      </c>
      <c r="F172" t="s">
        <v>4126</v>
      </c>
      <c r="G172" s="9" t="s">
        <v>855</v>
      </c>
      <c r="H172" t="s">
        <v>2263</v>
      </c>
      <c r="I172" t="s">
        <v>10</v>
      </c>
      <c r="J172" s="2">
        <v>4468</v>
      </c>
    </row>
    <row r="173" spans="1:10" hidden="1" x14ac:dyDescent="0.25">
      <c r="A173" t="s">
        <v>2675</v>
      </c>
      <c r="C173" t="s">
        <v>4064</v>
      </c>
      <c r="D173" t="s">
        <v>4104</v>
      </c>
      <c r="E173" t="s">
        <v>4127</v>
      </c>
      <c r="F173" t="s">
        <v>4126</v>
      </c>
      <c r="G173" s="9" t="s">
        <v>883</v>
      </c>
      <c r="H173" t="s">
        <v>2264</v>
      </c>
      <c r="I173" t="s">
        <v>47</v>
      </c>
      <c r="J173" s="2">
        <v>4325</v>
      </c>
    </row>
    <row r="174" spans="1:10" hidden="1" x14ac:dyDescent="0.25">
      <c r="A174" t="s">
        <v>2676</v>
      </c>
      <c r="C174" t="s">
        <v>4064</v>
      </c>
      <c r="D174" t="s">
        <v>4104</v>
      </c>
      <c r="E174" t="s">
        <v>4127</v>
      </c>
      <c r="F174" t="s">
        <v>4126</v>
      </c>
      <c r="G174" s="9" t="s">
        <v>884</v>
      </c>
      <c r="H174" t="s">
        <v>2264</v>
      </c>
      <c r="I174" t="s">
        <v>123</v>
      </c>
      <c r="J174" s="2">
        <v>4325</v>
      </c>
    </row>
    <row r="175" spans="1:10" hidden="1" x14ac:dyDescent="0.25">
      <c r="A175" t="s">
        <v>2677</v>
      </c>
      <c r="C175" t="s">
        <v>4064</v>
      </c>
      <c r="D175" t="s">
        <v>4104</v>
      </c>
      <c r="E175" t="s">
        <v>4127</v>
      </c>
      <c r="F175" t="s">
        <v>4126</v>
      </c>
      <c r="G175" s="9" t="s">
        <v>891</v>
      </c>
      <c r="H175" t="s">
        <v>2265</v>
      </c>
      <c r="I175" t="s">
        <v>49</v>
      </c>
      <c r="J175" s="2">
        <v>4259</v>
      </c>
    </row>
    <row r="176" spans="1:10" hidden="1" x14ac:dyDescent="0.25">
      <c r="A176" t="s">
        <v>2678</v>
      </c>
      <c r="C176" t="s">
        <v>4064</v>
      </c>
      <c r="D176" t="s">
        <v>4104</v>
      </c>
      <c r="E176" t="s">
        <v>4127</v>
      </c>
      <c r="F176" t="s">
        <v>4126</v>
      </c>
      <c r="G176" s="9" t="s">
        <v>898</v>
      </c>
      <c r="H176" t="s">
        <v>2266</v>
      </c>
      <c r="I176" t="s">
        <v>13</v>
      </c>
      <c r="J176" s="2">
        <v>4214</v>
      </c>
    </row>
    <row r="177" spans="1:10" hidden="1" x14ac:dyDescent="0.25">
      <c r="A177" t="s">
        <v>2679</v>
      </c>
      <c r="C177" t="s">
        <v>4064</v>
      </c>
      <c r="D177" t="s">
        <v>4104</v>
      </c>
      <c r="E177" t="s">
        <v>4127</v>
      </c>
      <c r="F177" t="s">
        <v>4126</v>
      </c>
      <c r="G177" s="9" t="s">
        <v>899</v>
      </c>
      <c r="H177" t="s">
        <v>2266</v>
      </c>
      <c r="I177" t="s">
        <v>47</v>
      </c>
      <c r="J177" s="2">
        <v>4214</v>
      </c>
    </row>
    <row r="178" spans="1:10" hidden="1" x14ac:dyDescent="0.25">
      <c r="A178" t="s">
        <v>2680</v>
      </c>
      <c r="C178" t="s">
        <v>4064</v>
      </c>
      <c r="D178" t="s">
        <v>4104</v>
      </c>
      <c r="E178" t="s">
        <v>4127</v>
      </c>
      <c r="F178" t="s">
        <v>4126</v>
      </c>
      <c r="G178" s="9" t="s">
        <v>900</v>
      </c>
      <c r="H178" t="s">
        <v>2266</v>
      </c>
      <c r="I178" t="s">
        <v>37</v>
      </c>
      <c r="J178" s="2">
        <v>4214</v>
      </c>
    </row>
    <row r="179" spans="1:10" hidden="1" x14ac:dyDescent="0.25">
      <c r="A179" t="s">
        <v>2681</v>
      </c>
      <c r="C179" t="s">
        <v>4064</v>
      </c>
      <c r="D179" t="s">
        <v>4104</v>
      </c>
      <c r="E179" t="s">
        <v>4127</v>
      </c>
      <c r="F179" t="s">
        <v>4126</v>
      </c>
      <c r="G179" s="9" t="s">
        <v>952</v>
      </c>
      <c r="H179" t="s">
        <v>2267</v>
      </c>
      <c r="I179" t="s">
        <v>73</v>
      </c>
      <c r="J179" s="2">
        <v>4053</v>
      </c>
    </row>
    <row r="180" spans="1:10" hidden="1" x14ac:dyDescent="0.25">
      <c r="A180" t="s">
        <v>2682</v>
      </c>
      <c r="C180" t="s">
        <v>4064</v>
      </c>
      <c r="D180" t="s">
        <v>4104</v>
      </c>
      <c r="E180" t="s">
        <v>4127</v>
      </c>
      <c r="F180" t="s">
        <v>4126</v>
      </c>
      <c r="G180" s="9" t="s">
        <v>953</v>
      </c>
      <c r="H180" t="s">
        <v>2267</v>
      </c>
      <c r="I180" t="s">
        <v>49</v>
      </c>
      <c r="J180" s="2">
        <v>4053</v>
      </c>
    </row>
    <row r="181" spans="1:10" hidden="1" x14ac:dyDescent="0.25">
      <c r="A181" t="s">
        <v>2683</v>
      </c>
      <c r="C181" t="s">
        <v>4064</v>
      </c>
      <c r="D181" t="s">
        <v>4104</v>
      </c>
      <c r="E181" t="s">
        <v>4127</v>
      </c>
      <c r="F181" t="s">
        <v>4126</v>
      </c>
      <c r="G181" s="9" t="s">
        <v>425</v>
      </c>
      <c r="H181" t="s">
        <v>2268</v>
      </c>
      <c r="I181" t="s">
        <v>13</v>
      </c>
      <c r="J181" s="2">
        <v>3983</v>
      </c>
    </row>
    <row r="182" spans="1:10" hidden="1" x14ac:dyDescent="0.25">
      <c r="A182" t="s">
        <v>2684</v>
      </c>
      <c r="C182" t="s">
        <v>4064</v>
      </c>
      <c r="D182" t="s">
        <v>4104</v>
      </c>
      <c r="E182" t="s">
        <v>4127</v>
      </c>
      <c r="F182" t="s">
        <v>4126</v>
      </c>
      <c r="G182" s="9" t="s">
        <v>427</v>
      </c>
      <c r="H182" t="s">
        <v>2268</v>
      </c>
      <c r="I182" t="s">
        <v>8</v>
      </c>
      <c r="J182" s="2">
        <v>3983</v>
      </c>
    </row>
    <row r="183" spans="1:10" hidden="1" x14ac:dyDescent="0.25">
      <c r="A183" t="s">
        <v>2685</v>
      </c>
      <c r="C183" t="s">
        <v>4064</v>
      </c>
      <c r="D183" t="s">
        <v>4104</v>
      </c>
      <c r="E183" t="s">
        <v>4127</v>
      </c>
      <c r="F183" t="s">
        <v>4126</v>
      </c>
      <c r="G183" s="9" t="s">
        <v>973</v>
      </c>
      <c r="H183" t="s">
        <v>2269</v>
      </c>
      <c r="I183" t="s">
        <v>45</v>
      </c>
      <c r="J183" s="2">
        <v>3930</v>
      </c>
    </row>
    <row r="184" spans="1:10" hidden="1" x14ac:dyDescent="0.25">
      <c r="A184" t="s">
        <v>2686</v>
      </c>
      <c r="C184" t="s">
        <v>4064</v>
      </c>
      <c r="D184" t="s">
        <v>4104</v>
      </c>
      <c r="E184" t="s">
        <v>4127</v>
      </c>
      <c r="F184" t="s">
        <v>4126</v>
      </c>
      <c r="G184" s="9" t="s">
        <v>974</v>
      </c>
      <c r="H184" t="s">
        <v>2269</v>
      </c>
      <c r="I184" t="s">
        <v>45</v>
      </c>
      <c r="J184" s="2">
        <v>3930</v>
      </c>
    </row>
    <row r="185" spans="1:10" hidden="1" x14ac:dyDescent="0.25">
      <c r="A185" t="s">
        <v>2687</v>
      </c>
      <c r="C185" t="s">
        <v>4064</v>
      </c>
      <c r="D185" t="s">
        <v>4104</v>
      </c>
      <c r="E185" t="s">
        <v>4127</v>
      </c>
      <c r="F185" t="s">
        <v>4126</v>
      </c>
      <c r="G185" s="9" t="s">
        <v>975</v>
      </c>
      <c r="H185" t="s">
        <v>2269</v>
      </c>
      <c r="I185" t="s">
        <v>47</v>
      </c>
      <c r="J185" s="2">
        <v>3930</v>
      </c>
    </row>
    <row r="186" spans="1:10" hidden="1" x14ac:dyDescent="0.25">
      <c r="A186" t="s">
        <v>2688</v>
      </c>
      <c r="C186" t="s">
        <v>4064</v>
      </c>
      <c r="D186" t="s">
        <v>4104</v>
      </c>
      <c r="E186" t="s">
        <v>4127</v>
      </c>
      <c r="F186" t="s">
        <v>4126</v>
      </c>
      <c r="G186" s="9" t="s">
        <v>980</v>
      </c>
      <c r="H186" t="s">
        <v>2270</v>
      </c>
      <c r="I186" t="s">
        <v>13</v>
      </c>
      <c r="J186" s="2">
        <v>3923</v>
      </c>
    </row>
    <row r="187" spans="1:10" hidden="1" x14ac:dyDescent="0.25">
      <c r="A187" t="s">
        <v>2689</v>
      </c>
      <c r="C187" t="s">
        <v>4064</v>
      </c>
      <c r="D187" t="s">
        <v>4104</v>
      </c>
      <c r="E187" t="s">
        <v>4127</v>
      </c>
      <c r="F187" t="s">
        <v>4126</v>
      </c>
      <c r="G187" s="9" t="s">
        <v>989</v>
      </c>
      <c r="H187" t="s">
        <v>2271</v>
      </c>
      <c r="I187" t="s">
        <v>13</v>
      </c>
      <c r="J187" s="2">
        <v>3884</v>
      </c>
    </row>
    <row r="188" spans="1:10" hidden="1" x14ac:dyDescent="0.25">
      <c r="A188" t="s">
        <v>2690</v>
      </c>
      <c r="C188" t="s">
        <v>4064</v>
      </c>
      <c r="D188" t="s">
        <v>4104</v>
      </c>
      <c r="E188" t="s">
        <v>4127</v>
      </c>
      <c r="F188" t="s">
        <v>4126</v>
      </c>
      <c r="G188" s="9" t="s">
        <v>990</v>
      </c>
      <c r="H188" t="s">
        <v>2271</v>
      </c>
      <c r="I188" t="s">
        <v>47</v>
      </c>
      <c r="J188" s="2">
        <v>3884</v>
      </c>
    </row>
    <row r="189" spans="1:10" hidden="1" x14ac:dyDescent="0.25">
      <c r="A189" t="s">
        <v>2691</v>
      </c>
      <c r="C189" t="s">
        <v>4064</v>
      </c>
      <c r="D189" t="s">
        <v>4104</v>
      </c>
      <c r="E189" t="s">
        <v>4127</v>
      </c>
      <c r="F189" t="s">
        <v>4126</v>
      </c>
      <c r="G189" s="9" t="s">
        <v>991</v>
      </c>
      <c r="H189" t="s">
        <v>2271</v>
      </c>
      <c r="I189" t="s">
        <v>8</v>
      </c>
      <c r="J189" s="2">
        <v>3884</v>
      </c>
    </row>
    <row r="190" spans="1:10" hidden="1" x14ac:dyDescent="0.25">
      <c r="A190" t="s">
        <v>2692</v>
      </c>
      <c r="C190" t="s">
        <v>4064</v>
      </c>
      <c r="D190" t="s">
        <v>4104</v>
      </c>
      <c r="E190" t="s">
        <v>4127</v>
      </c>
      <c r="F190" t="s">
        <v>4126</v>
      </c>
      <c r="G190" s="9" t="s">
        <v>992</v>
      </c>
      <c r="H190" t="s">
        <v>2271</v>
      </c>
      <c r="I190" t="s">
        <v>343</v>
      </c>
      <c r="J190" s="2">
        <v>3884</v>
      </c>
    </row>
    <row r="191" spans="1:10" hidden="1" x14ac:dyDescent="0.25">
      <c r="A191" t="s">
        <v>2693</v>
      </c>
      <c r="C191" t="s">
        <v>4064</v>
      </c>
      <c r="D191" t="s">
        <v>4104</v>
      </c>
      <c r="E191" t="s">
        <v>4127</v>
      </c>
      <c r="F191" t="s">
        <v>4126</v>
      </c>
      <c r="G191" s="9" t="s">
        <v>993</v>
      </c>
      <c r="H191" t="s">
        <v>2272</v>
      </c>
      <c r="I191" t="s">
        <v>13</v>
      </c>
      <c r="J191" s="2">
        <v>3868</v>
      </c>
    </row>
    <row r="192" spans="1:10" hidden="1" x14ac:dyDescent="0.25">
      <c r="A192" t="s">
        <v>2694</v>
      </c>
      <c r="C192" t="s">
        <v>4064</v>
      </c>
      <c r="D192" t="s">
        <v>4104</v>
      </c>
      <c r="E192" t="s">
        <v>4127</v>
      </c>
      <c r="F192" t="s">
        <v>4126</v>
      </c>
      <c r="G192" s="9" t="s">
        <v>994</v>
      </c>
      <c r="H192" t="s">
        <v>2272</v>
      </c>
      <c r="I192" t="s">
        <v>47</v>
      </c>
      <c r="J192" s="2">
        <v>3868</v>
      </c>
    </row>
    <row r="193" spans="1:10" hidden="1" x14ac:dyDescent="0.25">
      <c r="A193" t="s">
        <v>2695</v>
      </c>
      <c r="C193" t="s">
        <v>4064</v>
      </c>
      <c r="D193" t="s">
        <v>4104</v>
      </c>
      <c r="E193" t="s">
        <v>4127</v>
      </c>
      <c r="F193" t="s">
        <v>4126</v>
      </c>
      <c r="G193" s="9" t="s">
        <v>995</v>
      </c>
      <c r="H193" t="s">
        <v>2272</v>
      </c>
      <c r="I193" t="s">
        <v>47</v>
      </c>
      <c r="J193" s="2">
        <v>3868</v>
      </c>
    </row>
    <row r="194" spans="1:10" hidden="1" x14ac:dyDescent="0.25">
      <c r="A194" t="s">
        <v>2696</v>
      </c>
      <c r="C194" t="s">
        <v>4064</v>
      </c>
      <c r="D194" t="s">
        <v>4104</v>
      </c>
      <c r="E194" t="s">
        <v>4127</v>
      </c>
      <c r="F194" t="s">
        <v>4126</v>
      </c>
      <c r="G194" s="9" t="s">
        <v>996</v>
      </c>
      <c r="H194" t="s">
        <v>2273</v>
      </c>
      <c r="I194" t="s">
        <v>13</v>
      </c>
      <c r="J194" s="2">
        <v>3860</v>
      </c>
    </row>
    <row r="195" spans="1:10" hidden="1" x14ac:dyDescent="0.25">
      <c r="A195" t="s">
        <v>2697</v>
      </c>
      <c r="C195" t="s">
        <v>4064</v>
      </c>
      <c r="D195" t="s">
        <v>4104</v>
      </c>
      <c r="E195" t="s">
        <v>4127</v>
      </c>
      <c r="F195" t="s">
        <v>4126</v>
      </c>
      <c r="G195" s="9" t="s">
        <v>1005</v>
      </c>
      <c r="H195" t="s">
        <v>2274</v>
      </c>
      <c r="I195" t="s">
        <v>13</v>
      </c>
      <c r="J195" s="2">
        <v>3833</v>
      </c>
    </row>
    <row r="196" spans="1:10" hidden="1" x14ac:dyDescent="0.25">
      <c r="A196" t="s">
        <v>2698</v>
      </c>
      <c r="C196" t="s">
        <v>4064</v>
      </c>
      <c r="D196" t="s">
        <v>4104</v>
      </c>
      <c r="E196" t="s">
        <v>4127</v>
      </c>
      <c r="F196" t="s">
        <v>4126</v>
      </c>
      <c r="G196" s="9" t="s">
        <v>1006</v>
      </c>
      <c r="H196" t="s">
        <v>2275</v>
      </c>
      <c r="I196" t="s">
        <v>13</v>
      </c>
      <c r="J196" s="2">
        <v>3826</v>
      </c>
    </row>
    <row r="197" spans="1:10" hidden="1" x14ac:dyDescent="0.25">
      <c r="A197" t="s">
        <v>2699</v>
      </c>
      <c r="C197" t="s">
        <v>4064</v>
      </c>
      <c r="D197" t="s">
        <v>4104</v>
      </c>
      <c r="E197" t="s">
        <v>4127</v>
      </c>
      <c r="F197" t="s">
        <v>4126</v>
      </c>
      <c r="G197" s="9" t="s">
        <v>1007</v>
      </c>
      <c r="H197" t="s">
        <v>2275</v>
      </c>
      <c r="I197" t="s">
        <v>47</v>
      </c>
      <c r="J197" s="2">
        <v>3826</v>
      </c>
    </row>
    <row r="198" spans="1:10" hidden="1" x14ac:dyDescent="0.25">
      <c r="A198" t="s">
        <v>2700</v>
      </c>
      <c r="C198" t="s">
        <v>4064</v>
      </c>
      <c r="D198" t="s">
        <v>4104</v>
      </c>
      <c r="E198" t="s">
        <v>4127</v>
      </c>
      <c r="F198" t="s">
        <v>4126</v>
      </c>
      <c r="G198" s="9" t="s">
        <v>1008</v>
      </c>
      <c r="H198" t="s">
        <v>2275</v>
      </c>
      <c r="I198" t="s">
        <v>49</v>
      </c>
      <c r="J198" s="2">
        <v>3826</v>
      </c>
    </row>
    <row r="199" spans="1:10" hidden="1" x14ac:dyDescent="0.25">
      <c r="A199" t="s">
        <v>2701</v>
      </c>
      <c r="C199" t="s">
        <v>4064</v>
      </c>
      <c r="D199" t="s">
        <v>4104</v>
      </c>
      <c r="E199" t="s">
        <v>4127</v>
      </c>
      <c r="F199" t="s">
        <v>4126</v>
      </c>
      <c r="G199" s="9" t="s">
        <v>1009</v>
      </c>
      <c r="H199" t="s">
        <v>2276</v>
      </c>
      <c r="I199" t="s">
        <v>13</v>
      </c>
      <c r="J199" s="2">
        <v>3820</v>
      </c>
    </row>
    <row r="200" spans="1:10" hidden="1" x14ac:dyDescent="0.25">
      <c r="A200" t="s">
        <v>2702</v>
      </c>
      <c r="C200" t="s">
        <v>4064</v>
      </c>
      <c r="D200" t="s">
        <v>4104</v>
      </c>
      <c r="E200" t="s">
        <v>4127</v>
      </c>
      <c r="F200" t="s">
        <v>4126</v>
      </c>
      <c r="G200" s="9" t="s">
        <v>1010</v>
      </c>
      <c r="H200" t="s">
        <v>2276</v>
      </c>
      <c r="I200" t="s">
        <v>47</v>
      </c>
      <c r="J200" s="2">
        <v>3820</v>
      </c>
    </row>
    <row r="201" spans="1:10" hidden="1" x14ac:dyDescent="0.25">
      <c r="A201" t="s">
        <v>2703</v>
      </c>
      <c r="C201" t="s">
        <v>4064</v>
      </c>
      <c r="D201" t="s">
        <v>4104</v>
      </c>
      <c r="E201" t="s">
        <v>4127</v>
      </c>
      <c r="F201" t="s">
        <v>4126</v>
      </c>
      <c r="G201" s="9" t="s">
        <v>1011</v>
      </c>
      <c r="H201" t="s">
        <v>2276</v>
      </c>
      <c r="I201" t="s">
        <v>64</v>
      </c>
      <c r="J201" s="2">
        <v>3820</v>
      </c>
    </row>
    <row r="202" spans="1:10" hidden="1" x14ac:dyDescent="0.25">
      <c r="A202" t="s">
        <v>2704</v>
      </c>
      <c r="C202" t="s">
        <v>4064</v>
      </c>
      <c r="D202" t="s">
        <v>4104</v>
      </c>
      <c r="E202" t="s">
        <v>4127</v>
      </c>
      <c r="F202" t="s">
        <v>4126</v>
      </c>
      <c r="G202" s="9" t="s">
        <v>1023</v>
      </c>
      <c r="H202" t="s">
        <v>2277</v>
      </c>
      <c r="I202" t="s">
        <v>47</v>
      </c>
      <c r="J202" s="2">
        <v>3795</v>
      </c>
    </row>
    <row r="203" spans="1:10" hidden="1" x14ac:dyDescent="0.25">
      <c r="A203" t="s">
        <v>2705</v>
      </c>
      <c r="C203" t="s">
        <v>4064</v>
      </c>
      <c r="D203" t="s">
        <v>4104</v>
      </c>
      <c r="E203" t="s">
        <v>4127</v>
      </c>
      <c r="F203" t="s">
        <v>4126</v>
      </c>
      <c r="G203" s="9" t="s">
        <v>1024</v>
      </c>
      <c r="H203" t="s">
        <v>2277</v>
      </c>
      <c r="I203" t="s">
        <v>49</v>
      </c>
      <c r="J203" s="2">
        <v>3795</v>
      </c>
    </row>
    <row r="204" spans="1:10" hidden="1" x14ac:dyDescent="0.25">
      <c r="A204" t="s">
        <v>2706</v>
      </c>
      <c r="C204" t="s">
        <v>4064</v>
      </c>
      <c r="D204" t="s">
        <v>4104</v>
      </c>
      <c r="E204" t="s">
        <v>4127</v>
      </c>
      <c r="F204" t="s">
        <v>4126</v>
      </c>
      <c r="G204" s="9" t="s">
        <v>1025</v>
      </c>
      <c r="H204" t="s">
        <v>2278</v>
      </c>
      <c r="I204" t="s">
        <v>13</v>
      </c>
      <c r="J204" s="2">
        <v>3792</v>
      </c>
    </row>
    <row r="205" spans="1:10" hidden="1" x14ac:dyDescent="0.25">
      <c r="A205" t="s">
        <v>2707</v>
      </c>
      <c r="C205" t="s">
        <v>4064</v>
      </c>
      <c r="D205" t="s">
        <v>4104</v>
      </c>
      <c r="E205" t="s">
        <v>4127</v>
      </c>
      <c r="F205" t="s">
        <v>4126</v>
      </c>
      <c r="G205" s="9" t="s">
        <v>1048</v>
      </c>
      <c r="H205" t="s">
        <v>2279</v>
      </c>
      <c r="I205" t="s">
        <v>47</v>
      </c>
      <c r="J205" s="2">
        <v>3734</v>
      </c>
    </row>
    <row r="206" spans="1:10" hidden="1" x14ac:dyDescent="0.25">
      <c r="A206" t="s">
        <v>2708</v>
      </c>
      <c r="C206" t="s">
        <v>4064</v>
      </c>
      <c r="D206" t="s">
        <v>4104</v>
      </c>
      <c r="E206" t="s">
        <v>4127</v>
      </c>
      <c r="F206" t="s">
        <v>4126</v>
      </c>
      <c r="G206" s="9" t="s">
        <v>1049</v>
      </c>
      <c r="H206" t="s">
        <v>2279</v>
      </c>
      <c r="I206" t="s">
        <v>47</v>
      </c>
      <c r="J206" s="2">
        <v>3734</v>
      </c>
    </row>
    <row r="207" spans="1:10" hidden="1" x14ac:dyDescent="0.25">
      <c r="A207" t="s">
        <v>2709</v>
      </c>
      <c r="C207" t="s">
        <v>4064</v>
      </c>
      <c r="D207" t="s">
        <v>4104</v>
      </c>
      <c r="E207" t="s">
        <v>4127</v>
      </c>
      <c r="F207" t="s">
        <v>4126</v>
      </c>
      <c r="G207" s="9" t="s">
        <v>1052</v>
      </c>
      <c r="H207" t="s">
        <v>2280</v>
      </c>
      <c r="I207" t="s">
        <v>290</v>
      </c>
      <c r="J207" s="2">
        <v>3718</v>
      </c>
    </row>
    <row r="208" spans="1:10" hidden="1" x14ac:dyDescent="0.25">
      <c r="A208" t="s">
        <v>2710</v>
      </c>
      <c r="C208" t="s">
        <v>4064</v>
      </c>
      <c r="D208" t="s">
        <v>4104</v>
      </c>
      <c r="E208" t="s">
        <v>4127</v>
      </c>
      <c r="F208" t="s">
        <v>4126</v>
      </c>
      <c r="G208" s="9" t="s">
        <v>1058</v>
      </c>
      <c r="H208" t="s">
        <v>2281</v>
      </c>
      <c r="I208" t="s">
        <v>47</v>
      </c>
      <c r="J208" s="2">
        <v>3700</v>
      </c>
    </row>
    <row r="209" spans="1:10" hidden="1" x14ac:dyDescent="0.25">
      <c r="A209" t="s">
        <v>2711</v>
      </c>
      <c r="C209" t="s">
        <v>4064</v>
      </c>
      <c r="D209" t="s">
        <v>4104</v>
      </c>
      <c r="E209" t="s">
        <v>4127</v>
      </c>
      <c r="F209" t="s">
        <v>4126</v>
      </c>
      <c r="G209" s="9" t="s">
        <v>1059</v>
      </c>
      <c r="H209" t="s">
        <v>2281</v>
      </c>
      <c r="I209" t="s">
        <v>8</v>
      </c>
      <c r="J209" s="2">
        <v>3700</v>
      </c>
    </row>
    <row r="210" spans="1:10" hidden="1" x14ac:dyDescent="0.25">
      <c r="A210" t="s">
        <v>2712</v>
      </c>
      <c r="C210" t="s">
        <v>4064</v>
      </c>
      <c r="D210" t="s">
        <v>4104</v>
      </c>
      <c r="E210" t="s">
        <v>4127</v>
      </c>
      <c r="F210" t="s">
        <v>4126</v>
      </c>
      <c r="G210" s="9" t="s">
        <v>1079</v>
      </c>
      <c r="H210" t="s">
        <v>2282</v>
      </c>
      <c r="I210" t="s">
        <v>45</v>
      </c>
      <c r="J210" s="2">
        <v>3582</v>
      </c>
    </row>
    <row r="211" spans="1:10" hidden="1" x14ac:dyDescent="0.25">
      <c r="A211" t="s">
        <v>2713</v>
      </c>
      <c r="C211" t="s">
        <v>4064</v>
      </c>
      <c r="D211" t="s">
        <v>4104</v>
      </c>
      <c r="E211" t="s">
        <v>4127</v>
      </c>
      <c r="F211" t="s">
        <v>4126</v>
      </c>
      <c r="G211" s="9" t="s">
        <v>1080</v>
      </c>
      <c r="H211" t="s">
        <v>2282</v>
      </c>
      <c r="I211" t="s">
        <v>45</v>
      </c>
      <c r="J211" s="2">
        <v>3582</v>
      </c>
    </row>
    <row r="212" spans="1:10" hidden="1" x14ac:dyDescent="0.25">
      <c r="A212" t="s">
        <v>2714</v>
      </c>
      <c r="C212" t="s">
        <v>4064</v>
      </c>
      <c r="D212" t="s">
        <v>4104</v>
      </c>
      <c r="E212" t="s">
        <v>4127</v>
      </c>
      <c r="F212" t="s">
        <v>4126</v>
      </c>
      <c r="G212" s="9" t="s">
        <v>1081</v>
      </c>
      <c r="H212" t="s">
        <v>2282</v>
      </c>
      <c r="I212" t="s">
        <v>45</v>
      </c>
      <c r="J212" s="2">
        <v>3582</v>
      </c>
    </row>
    <row r="213" spans="1:10" hidden="1" x14ac:dyDescent="0.25">
      <c r="A213" t="s">
        <v>2715</v>
      </c>
      <c r="C213" t="s">
        <v>4064</v>
      </c>
      <c r="D213" t="s">
        <v>4104</v>
      </c>
      <c r="E213" t="s">
        <v>4127</v>
      </c>
      <c r="F213" t="s">
        <v>4126</v>
      </c>
      <c r="G213" s="9" t="s">
        <v>1082</v>
      </c>
      <c r="H213" t="s">
        <v>2282</v>
      </c>
      <c r="I213" t="s">
        <v>45</v>
      </c>
      <c r="J213" s="2">
        <v>3582</v>
      </c>
    </row>
    <row r="214" spans="1:10" hidden="1" x14ac:dyDescent="0.25">
      <c r="A214" t="s">
        <v>2716</v>
      </c>
      <c r="C214" t="s">
        <v>4064</v>
      </c>
      <c r="D214" t="s">
        <v>4104</v>
      </c>
      <c r="E214" t="s">
        <v>4127</v>
      </c>
      <c r="F214" t="s">
        <v>4126</v>
      </c>
      <c r="G214" s="9" t="s">
        <v>1005</v>
      </c>
      <c r="H214" t="s">
        <v>2283</v>
      </c>
      <c r="I214" t="s">
        <v>13</v>
      </c>
      <c r="J214" s="2">
        <v>3382</v>
      </c>
    </row>
    <row r="215" spans="1:10" hidden="1" x14ac:dyDescent="0.25">
      <c r="A215" t="s">
        <v>2717</v>
      </c>
      <c r="C215" t="s">
        <v>4064</v>
      </c>
      <c r="D215" t="s">
        <v>4104</v>
      </c>
      <c r="E215" t="s">
        <v>4127</v>
      </c>
      <c r="F215" t="s">
        <v>4126</v>
      </c>
      <c r="G215" s="9" t="s">
        <v>1136</v>
      </c>
      <c r="H215" t="s">
        <v>2284</v>
      </c>
      <c r="I215" t="s">
        <v>45</v>
      </c>
      <c r="J215" s="2">
        <v>3361</v>
      </c>
    </row>
    <row r="216" spans="1:10" hidden="1" x14ac:dyDescent="0.25">
      <c r="A216" t="s">
        <v>2718</v>
      </c>
      <c r="C216" t="s">
        <v>4064</v>
      </c>
      <c r="D216" t="s">
        <v>4104</v>
      </c>
      <c r="E216" t="s">
        <v>4127</v>
      </c>
      <c r="F216" t="s">
        <v>4126</v>
      </c>
      <c r="G216" s="9" t="s">
        <v>1137</v>
      </c>
      <c r="H216" t="s">
        <v>2284</v>
      </c>
      <c r="I216" t="s">
        <v>47</v>
      </c>
      <c r="J216" s="2">
        <v>3361</v>
      </c>
    </row>
    <row r="217" spans="1:10" hidden="1" x14ac:dyDescent="0.25">
      <c r="A217" t="s">
        <v>2719</v>
      </c>
      <c r="C217" t="s">
        <v>4064</v>
      </c>
      <c r="D217" t="s">
        <v>4104</v>
      </c>
      <c r="E217" t="s">
        <v>4127</v>
      </c>
      <c r="F217" t="s">
        <v>4126</v>
      </c>
      <c r="G217" s="9" t="s">
        <v>1164</v>
      </c>
      <c r="H217" t="s">
        <v>2285</v>
      </c>
      <c r="I217" t="s">
        <v>8</v>
      </c>
      <c r="J217" s="2">
        <v>3334</v>
      </c>
    </row>
    <row r="218" spans="1:10" hidden="1" x14ac:dyDescent="0.25">
      <c r="A218" t="s">
        <v>2720</v>
      </c>
      <c r="C218" t="s">
        <v>4064</v>
      </c>
      <c r="D218" t="s">
        <v>4104</v>
      </c>
      <c r="E218" t="s">
        <v>4127</v>
      </c>
      <c r="F218" t="s">
        <v>4126</v>
      </c>
      <c r="G218" s="9" t="s">
        <v>1203</v>
      </c>
      <c r="H218" t="s">
        <v>2286</v>
      </c>
      <c r="I218" t="s">
        <v>249</v>
      </c>
      <c r="J218" s="2">
        <v>3247</v>
      </c>
    </row>
    <row r="219" spans="1:10" hidden="1" x14ac:dyDescent="0.25">
      <c r="A219" t="s">
        <v>2721</v>
      </c>
      <c r="C219" t="s">
        <v>4064</v>
      </c>
      <c r="D219" t="s">
        <v>4104</v>
      </c>
      <c r="E219" t="s">
        <v>4127</v>
      </c>
      <c r="F219" t="s">
        <v>4126</v>
      </c>
      <c r="G219" s="9" t="s">
        <v>1204</v>
      </c>
      <c r="H219" t="s">
        <v>2286</v>
      </c>
      <c r="I219" t="s">
        <v>249</v>
      </c>
      <c r="J219" s="2">
        <v>3247</v>
      </c>
    </row>
    <row r="220" spans="1:10" hidden="1" x14ac:dyDescent="0.25">
      <c r="A220" t="s">
        <v>2722</v>
      </c>
      <c r="C220" t="s">
        <v>4064</v>
      </c>
      <c r="D220" t="s">
        <v>4104</v>
      </c>
      <c r="E220" t="s">
        <v>4127</v>
      </c>
      <c r="F220" t="s">
        <v>4126</v>
      </c>
      <c r="G220" s="9" t="s">
        <v>1206</v>
      </c>
      <c r="H220" t="s">
        <v>2286</v>
      </c>
      <c r="I220" t="s">
        <v>1205</v>
      </c>
      <c r="J220" s="2">
        <v>3247</v>
      </c>
    </row>
    <row r="221" spans="1:10" hidden="1" x14ac:dyDescent="0.25">
      <c r="A221" t="s">
        <v>2723</v>
      </c>
      <c r="C221" t="s">
        <v>4064</v>
      </c>
      <c r="D221" t="s">
        <v>4104</v>
      </c>
      <c r="E221" t="s">
        <v>4127</v>
      </c>
      <c r="F221" t="s">
        <v>4126</v>
      </c>
      <c r="G221" s="9" t="s">
        <v>1207</v>
      </c>
      <c r="H221" t="s">
        <v>2286</v>
      </c>
      <c r="I221" t="s">
        <v>204</v>
      </c>
      <c r="J221" s="2">
        <v>3247</v>
      </c>
    </row>
    <row r="222" spans="1:10" hidden="1" x14ac:dyDescent="0.25">
      <c r="A222" t="s">
        <v>2724</v>
      </c>
      <c r="C222" t="s">
        <v>4064</v>
      </c>
      <c r="D222" t="s">
        <v>4104</v>
      </c>
      <c r="E222" t="s">
        <v>4127</v>
      </c>
      <c r="F222" t="s">
        <v>4126</v>
      </c>
      <c r="G222" s="9" t="s">
        <v>1206</v>
      </c>
      <c r="H222" t="s">
        <v>2286</v>
      </c>
      <c r="I222" t="s">
        <v>1208</v>
      </c>
      <c r="J222" s="2">
        <v>3247</v>
      </c>
    </row>
    <row r="223" spans="1:10" hidden="1" x14ac:dyDescent="0.25">
      <c r="A223" t="s">
        <v>2725</v>
      </c>
      <c r="C223" t="s">
        <v>4064</v>
      </c>
      <c r="D223" t="s">
        <v>4104</v>
      </c>
      <c r="E223" t="s">
        <v>4127</v>
      </c>
      <c r="F223" t="s">
        <v>4126</v>
      </c>
      <c r="G223" s="9" t="s">
        <v>1209</v>
      </c>
      <c r="H223" t="s">
        <v>2286</v>
      </c>
      <c r="I223" t="s">
        <v>1208</v>
      </c>
      <c r="J223" s="2">
        <v>3247</v>
      </c>
    </row>
    <row r="224" spans="1:10" hidden="1" x14ac:dyDescent="0.25">
      <c r="A224" t="s">
        <v>2726</v>
      </c>
      <c r="C224" t="s">
        <v>4064</v>
      </c>
      <c r="D224" t="s">
        <v>4104</v>
      </c>
      <c r="E224" t="s">
        <v>4127</v>
      </c>
      <c r="F224" t="s">
        <v>4126</v>
      </c>
      <c r="G224" s="9" t="s">
        <v>1212</v>
      </c>
      <c r="H224" t="s">
        <v>2287</v>
      </c>
      <c r="I224" t="s">
        <v>13</v>
      </c>
      <c r="J224" s="2">
        <v>3218</v>
      </c>
    </row>
    <row r="225" spans="1:10" hidden="1" x14ac:dyDescent="0.25">
      <c r="A225" t="s">
        <v>2727</v>
      </c>
      <c r="C225" t="s">
        <v>4064</v>
      </c>
      <c r="D225" t="s">
        <v>4104</v>
      </c>
      <c r="E225" t="s">
        <v>4127</v>
      </c>
      <c r="F225" t="s">
        <v>4126</v>
      </c>
      <c r="G225" s="9" t="s">
        <v>1213</v>
      </c>
      <c r="H225" t="s">
        <v>2287</v>
      </c>
      <c r="I225" t="s">
        <v>47</v>
      </c>
      <c r="J225" s="2">
        <v>3218</v>
      </c>
    </row>
    <row r="226" spans="1:10" hidden="1" x14ac:dyDescent="0.25">
      <c r="A226" t="s">
        <v>2728</v>
      </c>
      <c r="C226" t="s">
        <v>4064</v>
      </c>
      <c r="D226" t="s">
        <v>4104</v>
      </c>
      <c r="E226" t="s">
        <v>4127</v>
      </c>
      <c r="F226" t="s">
        <v>4126</v>
      </c>
      <c r="G226" s="9" t="s">
        <v>1006</v>
      </c>
      <c r="H226" t="s">
        <v>2288</v>
      </c>
      <c r="I226" t="s">
        <v>13</v>
      </c>
      <c r="J226" s="2">
        <v>3124</v>
      </c>
    </row>
    <row r="227" spans="1:10" hidden="1" x14ac:dyDescent="0.25">
      <c r="A227" t="s">
        <v>2729</v>
      </c>
      <c r="C227" t="s">
        <v>4064</v>
      </c>
      <c r="D227" t="s">
        <v>4104</v>
      </c>
      <c r="E227" t="s">
        <v>4127</v>
      </c>
      <c r="F227" t="s">
        <v>4126</v>
      </c>
      <c r="G227" s="9" t="s">
        <v>1235</v>
      </c>
      <c r="H227" t="s">
        <v>2288</v>
      </c>
      <c r="I227" t="s">
        <v>45</v>
      </c>
      <c r="J227" s="2">
        <v>3124</v>
      </c>
    </row>
    <row r="228" spans="1:10" hidden="1" x14ac:dyDescent="0.25">
      <c r="A228" t="s">
        <v>2730</v>
      </c>
      <c r="C228" t="s">
        <v>4064</v>
      </c>
      <c r="D228" t="s">
        <v>4104</v>
      </c>
      <c r="E228" t="s">
        <v>4127</v>
      </c>
      <c r="F228" t="s">
        <v>4126</v>
      </c>
      <c r="G228" s="9" t="s">
        <v>1236</v>
      </c>
      <c r="H228" t="s">
        <v>2288</v>
      </c>
      <c r="I228" t="s">
        <v>47</v>
      </c>
      <c r="J228" s="2">
        <v>3124</v>
      </c>
    </row>
    <row r="229" spans="1:10" hidden="1" x14ac:dyDescent="0.25">
      <c r="A229" t="s">
        <v>2731</v>
      </c>
      <c r="C229" t="s">
        <v>4064</v>
      </c>
      <c r="D229" t="s">
        <v>4104</v>
      </c>
      <c r="E229" t="s">
        <v>4127</v>
      </c>
      <c r="F229" t="s">
        <v>4126</v>
      </c>
      <c r="G229" s="9" t="s">
        <v>1237</v>
      </c>
      <c r="H229" t="s">
        <v>2288</v>
      </c>
      <c r="I229" t="s">
        <v>37</v>
      </c>
      <c r="J229" s="2">
        <v>3124</v>
      </c>
    </row>
    <row r="230" spans="1:10" hidden="1" x14ac:dyDescent="0.25">
      <c r="A230" t="s">
        <v>2732</v>
      </c>
      <c r="C230" t="s">
        <v>4064</v>
      </c>
      <c r="D230" t="s">
        <v>4104</v>
      </c>
      <c r="E230" t="s">
        <v>4127</v>
      </c>
      <c r="F230" t="s">
        <v>4126</v>
      </c>
      <c r="G230" s="9" t="s">
        <v>1238</v>
      </c>
      <c r="H230" t="s">
        <v>2288</v>
      </c>
      <c r="I230" t="s">
        <v>64</v>
      </c>
      <c r="J230" s="2">
        <v>3124</v>
      </c>
    </row>
    <row r="231" spans="1:10" hidden="1" x14ac:dyDescent="0.25">
      <c r="A231" t="s">
        <v>2733</v>
      </c>
      <c r="C231" t="s">
        <v>4064</v>
      </c>
      <c r="D231" t="s">
        <v>4104</v>
      </c>
      <c r="E231" t="s">
        <v>4127</v>
      </c>
      <c r="F231" t="s">
        <v>4126</v>
      </c>
      <c r="G231" s="9" t="s">
        <v>1239</v>
      </c>
      <c r="H231" t="s">
        <v>2288</v>
      </c>
      <c r="I231" t="s">
        <v>62</v>
      </c>
      <c r="J231" s="2">
        <v>3124</v>
      </c>
    </row>
    <row r="232" spans="1:10" hidden="1" x14ac:dyDescent="0.25">
      <c r="A232" t="s">
        <v>2734</v>
      </c>
      <c r="C232" t="s">
        <v>4064</v>
      </c>
      <c r="D232" t="s">
        <v>4104</v>
      </c>
      <c r="E232" t="s">
        <v>4127</v>
      </c>
      <c r="F232" t="s">
        <v>4126</v>
      </c>
      <c r="G232" s="9" t="s">
        <v>1240</v>
      </c>
      <c r="H232" t="s">
        <v>2289</v>
      </c>
      <c r="I232" t="s">
        <v>13</v>
      </c>
      <c r="J232" s="2">
        <v>3093</v>
      </c>
    </row>
    <row r="233" spans="1:10" hidden="1" x14ac:dyDescent="0.25">
      <c r="A233" t="s">
        <v>2735</v>
      </c>
      <c r="C233" t="s">
        <v>4064</v>
      </c>
      <c r="D233" t="s">
        <v>4104</v>
      </c>
      <c r="E233" t="s">
        <v>4127</v>
      </c>
      <c r="F233" t="s">
        <v>4126</v>
      </c>
      <c r="G233" s="9" t="s">
        <v>1241</v>
      </c>
      <c r="H233" t="s">
        <v>2289</v>
      </c>
      <c r="I233" t="s">
        <v>47</v>
      </c>
      <c r="J233" s="2">
        <v>3093</v>
      </c>
    </row>
    <row r="234" spans="1:10" hidden="1" x14ac:dyDescent="0.25">
      <c r="A234" t="s">
        <v>2736</v>
      </c>
      <c r="C234" t="s">
        <v>4064</v>
      </c>
      <c r="D234" t="s">
        <v>4104</v>
      </c>
      <c r="E234" t="s">
        <v>4127</v>
      </c>
      <c r="F234" t="s">
        <v>4126</v>
      </c>
      <c r="G234" s="9" t="s">
        <v>1242</v>
      </c>
      <c r="H234" t="s">
        <v>2289</v>
      </c>
      <c r="I234" t="s">
        <v>8</v>
      </c>
      <c r="J234" s="2">
        <v>3093</v>
      </c>
    </row>
    <row r="235" spans="1:10" hidden="1" x14ac:dyDescent="0.25">
      <c r="A235" t="s">
        <v>2737</v>
      </c>
      <c r="C235" t="s">
        <v>4064</v>
      </c>
      <c r="D235" t="s">
        <v>4104</v>
      </c>
      <c r="E235" t="s">
        <v>4127</v>
      </c>
      <c r="F235" t="s">
        <v>4126</v>
      </c>
      <c r="G235" s="9" t="s">
        <v>1243</v>
      </c>
      <c r="H235" t="s">
        <v>2289</v>
      </c>
      <c r="I235" t="s">
        <v>8</v>
      </c>
      <c r="J235" s="2">
        <v>3093</v>
      </c>
    </row>
    <row r="236" spans="1:10" hidden="1" x14ac:dyDescent="0.25">
      <c r="A236" t="s">
        <v>2738</v>
      </c>
      <c r="C236" t="s">
        <v>4064</v>
      </c>
      <c r="D236" t="s">
        <v>4104</v>
      </c>
      <c r="E236" t="s">
        <v>4127</v>
      </c>
      <c r="F236" t="s">
        <v>4126</v>
      </c>
      <c r="G236" s="9" t="s">
        <v>1244</v>
      </c>
      <c r="H236" t="s">
        <v>2289</v>
      </c>
      <c r="I236" t="s">
        <v>10</v>
      </c>
      <c r="J236" s="2">
        <v>3093</v>
      </c>
    </row>
    <row r="237" spans="1:10" hidden="1" x14ac:dyDescent="0.25">
      <c r="A237" t="s">
        <v>2739</v>
      </c>
      <c r="C237" t="s">
        <v>4064</v>
      </c>
      <c r="D237" t="s">
        <v>4104</v>
      </c>
      <c r="E237" t="s">
        <v>4127</v>
      </c>
      <c r="F237" t="s">
        <v>4126</v>
      </c>
      <c r="G237" s="9" t="s">
        <v>1245</v>
      </c>
      <c r="H237" t="s">
        <v>2290</v>
      </c>
      <c r="I237" t="s">
        <v>47</v>
      </c>
      <c r="J237" s="2">
        <v>3081</v>
      </c>
    </row>
    <row r="238" spans="1:10" hidden="1" x14ac:dyDescent="0.25">
      <c r="A238" t="s">
        <v>2740</v>
      </c>
      <c r="C238" t="s">
        <v>4064</v>
      </c>
      <c r="D238" t="s">
        <v>4104</v>
      </c>
      <c r="E238" t="s">
        <v>4127</v>
      </c>
      <c r="F238" t="s">
        <v>4126</v>
      </c>
      <c r="G238" s="9" t="s">
        <v>1246</v>
      </c>
      <c r="H238" t="s">
        <v>2290</v>
      </c>
      <c r="I238" t="s">
        <v>47</v>
      </c>
      <c r="J238" s="2">
        <v>3081</v>
      </c>
    </row>
    <row r="239" spans="1:10" hidden="1" x14ac:dyDescent="0.25">
      <c r="A239" t="s">
        <v>2741</v>
      </c>
      <c r="C239" t="s">
        <v>4064</v>
      </c>
      <c r="D239" t="s">
        <v>4104</v>
      </c>
      <c r="E239" t="s">
        <v>4127</v>
      </c>
      <c r="F239" t="s">
        <v>4126</v>
      </c>
      <c r="G239" s="9" t="s">
        <v>1247</v>
      </c>
      <c r="H239" t="s">
        <v>2290</v>
      </c>
      <c r="I239" t="s">
        <v>37</v>
      </c>
      <c r="J239" s="2">
        <v>3081</v>
      </c>
    </row>
    <row r="240" spans="1:10" hidden="1" x14ac:dyDescent="0.25">
      <c r="A240" t="s">
        <v>2742</v>
      </c>
      <c r="C240" t="s">
        <v>4064</v>
      </c>
      <c r="D240" t="s">
        <v>4104</v>
      </c>
      <c r="E240" t="s">
        <v>4127</v>
      </c>
      <c r="F240" t="s">
        <v>4126</v>
      </c>
      <c r="G240" s="9" t="s">
        <v>1248</v>
      </c>
      <c r="H240" t="s">
        <v>2290</v>
      </c>
      <c r="I240" t="s">
        <v>64</v>
      </c>
      <c r="J240" s="2">
        <v>3081</v>
      </c>
    </row>
    <row r="241" spans="1:10" hidden="1" x14ac:dyDescent="0.25">
      <c r="A241" t="s">
        <v>2743</v>
      </c>
      <c r="C241" t="s">
        <v>4064</v>
      </c>
      <c r="D241" t="s">
        <v>4104</v>
      </c>
      <c r="E241" t="s">
        <v>4127</v>
      </c>
      <c r="F241" t="s">
        <v>4126</v>
      </c>
      <c r="G241" s="9" t="s">
        <v>1250</v>
      </c>
      <c r="H241" t="s">
        <v>2291</v>
      </c>
      <c r="I241" t="s">
        <v>47</v>
      </c>
      <c r="J241" s="2">
        <v>3078</v>
      </c>
    </row>
    <row r="242" spans="1:10" hidden="1" x14ac:dyDescent="0.25">
      <c r="A242" t="s">
        <v>2744</v>
      </c>
      <c r="C242" t="s">
        <v>4064</v>
      </c>
      <c r="D242" t="s">
        <v>4104</v>
      </c>
      <c r="E242" t="s">
        <v>4127</v>
      </c>
      <c r="F242" t="s">
        <v>4126</v>
      </c>
      <c r="G242" s="9" t="s">
        <v>1251</v>
      </c>
      <c r="H242" t="s">
        <v>2291</v>
      </c>
      <c r="I242" t="s">
        <v>64</v>
      </c>
      <c r="J242" s="2">
        <v>3078</v>
      </c>
    </row>
    <row r="243" spans="1:10" hidden="1" x14ac:dyDescent="0.25">
      <c r="A243" t="s">
        <v>2745</v>
      </c>
      <c r="C243" t="s">
        <v>4064</v>
      </c>
      <c r="D243" t="s">
        <v>4104</v>
      </c>
      <c r="E243" t="s">
        <v>4127</v>
      </c>
      <c r="F243" t="s">
        <v>4126</v>
      </c>
      <c r="G243" s="9" t="s">
        <v>1276</v>
      </c>
      <c r="H243" t="s">
        <v>2292</v>
      </c>
      <c r="I243" t="s">
        <v>13</v>
      </c>
      <c r="J243" s="2">
        <v>2981</v>
      </c>
    </row>
    <row r="244" spans="1:10" hidden="1" x14ac:dyDescent="0.25">
      <c r="A244" t="s">
        <v>2746</v>
      </c>
      <c r="C244" t="s">
        <v>4064</v>
      </c>
      <c r="D244" t="s">
        <v>4104</v>
      </c>
      <c r="E244" t="s">
        <v>4127</v>
      </c>
      <c r="F244" t="s">
        <v>4126</v>
      </c>
      <c r="G244" s="9" t="s">
        <v>1277</v>
      </c>
      <c r="H244" t="s">
        <v>2292</v>
      </c>
      <c r="I244" t="s">
        <v>8</v>
      </c>
      <c r="J244" s="2">
        <v>2981</v>
      </c>
    </row>
    <row r="245" spans="1:10" hidden="1" x14ac:dyDescent="0.25">
      <c r="A245" t="s">
        <v>2747</v>
      </c>
      <c r="C245" t="s">
        <v>4064</v>
      </c>
      <c r="D245" t="s">
        <v>4104</v>
      </c>
      <c r="E245" t="s">
        <v>4127</v>
      </c>
      <c r="F245" t="s">
        <v>4126</v>
      </c>
      <c r="G245" s="9" t="s">
        <v>1282</v>
      </c>
      <c r="H245" t="s">
        <v>2293</v>
      </c>
      <c r="I245" t="s">
        <v>47</v>
      </c>
      <c r="J245" s="2">
        <v>2958</v>
      </c>
    </row>
    <row r="246" spans="1:10" hidden="1" x14ac:dyDescent="0.25">
      <c r="A246" t="s">
        <v>2748</v>
      </c>
      <c r="C246" t="s">
        <v>4064</v>
      </c>
      <c r="D246" t="s">
        <v>4104</v>
      </c>
      <c r="E246" t="s">
        <v>4127</v>
      </c>
      <c r="F246" t="s">
        <v>4126</v>
      </c>
      <c r="G246" s="9" t="s">
        <v>1298</v>
      </c>
      <c r="H246" t="s">
        <v>2294</v>
      </c>
      <c r="I246" t="s">
        <v>47</v>
      </c>
      <c r="J246" s="2">
        <v>2911</v>
      </c>
    </row>
    <row r="247" spans="1:10" hidden="1" x14ac:dyDescent="0.25">
      <c r="A247" t="s">
        <v>2749</v>
      </c>
      <c r="C247" t="s">
        <v>4064</v>
      </c>
      <c r="D247" t="s">
        <v>4104</v>
      </c>
      <c r="E247" t="s">
        <v>4127</v>
      </c>
      <c r="F247" t="s">
        <v>4126</v>
      </c>
      <c r="G247" s="9" t="s">
        <v>1299</v>
      </c>
      <c r="H247" t="s">
        <v>2294</v>
      </c>
      <c r="I247" t="s">
        <v>49</v>
      </c>
      <c r="J247" s="2">
        <v>2911</v>
      </c>
    </row>
    <row r="248" spans="1:10" hidden="1" x14ac:dyDescent="0.25">
      <c r="A248" t="s">
        <v>2750</v>
      </c>
      <c r="C248" t="s">
        <v>4064</v>
      </c>
      <c r="D248" t="s">
        <v>4104</v>
      </c>
      <c r="E248" t="s">
        <v>4127</v>
      </c>
      <c r="F248" t="s">
        <v>4126</v>
      </c>
      <c r="G248" s="9" t="s">
        <v>1317</v>
      </c>
      <c r="H248" t="s">
        <v>2295</v>
      </c>
      <c r="I248" t="s">
        <v>47</v>
      </c>
      <c r="J248" s="2">
        <v>2826</v>
      </c>
    </row>
    <row r="249" spans="1:10" hidden="1" x14ac:dyDescent="0.25">
      <c r="A249" t="s">
        <v>2751</v>
      </c>
      <c r="C249" t="s">
        <v>4064</v>
      </c>
      <c r="D249" t="s">
        <v>4104</v>
      </c>
      <c r="E249" t="s">
        <v>4127</v>
      </c>
      <c r="F249" t="s">
        <v>4126</v>
      </c>
      <c r="G249" s="9" t="s">
        <v>1318</v>
      </c>
      <c r="H249" t="s">
        <v>2296</v>
      </c>
      <c r="I249" t="s">
        <v>13</v>
      </c>
      <c r="J249" s="2">
        <v>2822</v>
      </c>
    </row>
    <row r="250" spans="1:10" hidden="1" x14ac:dyDescent="0.25">
      <c r="A250" t="s">
        <v>2752</v>
      </c>
      <c r="C250" t="s">
        <v>4064</v>
      </c>
      <c r="D250" t="s">
        <v>4104</v>
      </c>
      <c r="E250" t="s">
        <v>4127</v>
      </c>
      <c r="F250" t="s">
        <v>4126</v>
      </c>
      <c r="G250" s="9" t="s">
        <v>1319</v>
      </c>
      <c r="H250" t="s">
        <v>2296</v>
      </c>
      <c r="I250" t="s">
        <v>62</v>
      </c>
      <c r="J250" s="2">
        <v>2822</v>
      </c>
    </row>
    <row r="251" spans="1:10" hidden="1" x14ac:dyDescent="0.25">
      <c r="A251" t="s">
        <v>2753</v>
      </c>
      <c r="C251" t="s">
        <v>4064</v>
      </c>
      <c r="D251" t="s">
        <v>4104</v>
      </c>
      <c r="E251" t="s">
        <v>4127</v>
      </c>
      <c r="F251" t="s">
        <v>4126</v>
      </c>
      <c r="G251" s="9" t="s">
        <v>1320</v>
      </c>
      <c r="H251" t="s">
        <v>2296</v>
      </c>
      <c r="I251" t="s">
        <v>62</v>
      </c>
      <c r="J251" s="2">
        <v>2822</v>
      </c>
    </row>
    <row r="252" spans="1:10" hidden="1" x14ac:dyDescent="0.25">
      <c r="A252" t="s">
        <v>2754</v>
      </c>
      <c r="C252" t="s">
        <v>4064</v>
      </c>
      <c r="D252" t="s">
        <v>4104</v>
      </c>
      <c r="E252" t="s">
        <v>4127</v>
      </c>
      <c r="F252" t="s">
        <v>4126</v>
      </c>
      <c r="G252" s="9" t="s">
        <v>1335</v>
      </c>
      <c r="H252" t="s">
        <v>2297</v>
      </c>
      <c r="I252" t="s">
        <v>47</v>
      </c>
      <c r="J252" s="2">
        <v>2786</v>
      </c>
    </row>
    <row r="253" spans="1:10" hidden="1" x14ac:dyDescent="0.25">
      <c r="A253" t="s">
        <v>2755</v>
      </c>
      <c r="C253" t="s">
        <v>4064</v>
      </c>
      <c r="D253" t="s">
        <v>4104</v>
      </c>
      <c r="E253" t="s">
        <v>4127</v>
      </c>
      <c r="F253" t="s">
        <v>4126</v>
      </c>
      <c r="G253" s="9" t="s">
        <v>1336</v>
      </c>
      <c r="H253" t="s">
        <v>2297</v>
      </c>
      <c r="I253" t="s">
        <v>64</v>
      </c>
      <c r="J253" s="2">
        <v>2786</v>
      </c>
    </row>
    <row r="254" spans="1:10" hidden="1" x14ac:dyDescent="0.25">
      <c r="A254" t="s">
        <v>2756</v>
      </c>
      <c r="C254" t="s">
        <v>4064</v>
      </c>
      <c r="D254" t="s">
        <v>4104</v>
      </c>
      <c r="E254" t="s">
        <v>4127</v>
      </c>
      <c r="F254" t="s">
        <v>4126</v>
      </c>
      <c r="G254" s="9" t="s">
        <v>1337</v>
      </c>
      <c r="H254" t="s">
        <v>2297</v>
      </c>
      <c r="I254" t="s">
        <v>64</v>
      </c>
      <c r="J254" s="2">
        <v>2786</v>
      </c>
    </row>
    <row r="255" spans="1:10" hidden="1" x14ac:dyDescent="0.25">
      <c r="A255" t="s">
        <v>2757</v>
      </c>
      <c r="C255" t="s">
        <v>4064</v>
      </c>
      <c r="D255" t="s">
        <v>4104</v>
      </c>
      <c r="E255" t="s">
        <v>4127</v>
      </c>
      <c r="F255" t="s">
        <v>4126</v>
      </c>
      <c r="G255" s="9" t="s">
        <v>1338</v>
      </c>
      <c r="H255" t="s">
        <v>2297</v>
      </c>
      <c r="I255" t="s">
        <v>10</v>
      </c>
      <c r="J255" s="2">
        <v>2786</v>
      </c>
    </row>
    <row r="256" spans="1:10" hidden="1" x14ac:dyDescent="0.25">
      <c r="A256" t="s">
        <v>2758</v>
      </c>
      <c r="C256" t="s">
        <v>4064</v>
      </c>
      <c r="D256" t="s">
        <v>4104</v>
      </c>
      <c r="E256" t="s">
        <v>4127</v>
      </c>
      <c r="F256" t="s">
        <v>4126</v>
      </c>
      <c r="G256" s="9" t="s">
        <v>1340</v>
      </c>
      <c r="H256" t="s">
        <v>2297</v>
      </c>
      <c r="I256" t="s">
        <v>1339</v>
      </c>
      <c r="J256" s="2">
        <v>2786</v>
      </c>
    </row>
    <row r="257" spans="1:10" hidden="1" x14ac:dyDescent="0.25">
      <c r="A257" t="s">
        <v>2759</v>
      </c>
      <c r="C257" t="s">
        <v>4064</v>
      </c>
      <c r="D257" t="s">
        <v>4104</v>
      </c>
      <c r="E257" t="s">
        <v>4127</v>
      </c>
      <c r="F257" t="s">
        <v>4126</v>
      </c>
      <c r="G257" s="9" t="s">
        <v>1341</v>
      </c>
      <c r="H257" t="s">
        <v>2298</v>
      </c>
      <c r="I257" t="s">
        <v>47</v>
      </c>
      <c r="J257" s="2">
        <v>2778</v>
      </c>
    </row>
    <row r="258" spans="1:10" hidden="1" x14ac:dyDescent="0.25">
      <c r="A258" t="s">
        <v>2760</v>
      </c>
      <c r="C258" t="s">
        <v>4064</v>
      </c>
      <c r="D258" t="s">
        <v>4104</v>
      </c>
      <c r="E258" t="s">
        <v>4127</v>
      </c>
      <c r="F258" t="s">
        <v>4126</v>
      </c>
      <c r="G258" s="9" t="s">
        <v>1342</v>
      </c>
      <c r="H258" t="s">
        <v>2298</v>
      </c>
      <c r="I258" t="s">
        <v>47</v>
      </c>
      <c r="J258" s="2">
        <v>2778</v>
      </c>
    </row>
    <row r="259" spans="1:10" hidden="1" x14ac:dyDescent="0.25">
      <c r="A259" t="s">
        <v>2761</v>
      </c>
      <c r="C259" t="s">
        <v>4064</v>
      </c>
      <c r="D259" t="s">
        <v>4104</v>
      </c>
      <c r="E259" t="s">
        <v>4127</v>
      </c>
      <c r="F259" t="s">
        <v>4126</v>
      </c>
      <c r="G259" s="9" t="s">
        <v>1343</v>
      </c>
      <c r="H259" t="s">
        <v>2298</v>
      </c>
      <c r="I259" t="s">
        <v>37</v>
      </c>
      <c r="J259" s="2">
        <v>2778</v>
      </c>
    </row>
    <row r="260" spans="1:10" hidden="1" x14ac:dyDescent="0.25">
      <c r="A260" t="s">
        <v>2762</v>
      </c>
      <c r="C260" t="s">
        <v>4064</v>
      </c>
      <c r="D260" t="s">
        <v>4104</v>
      </c>
      <c r="E260" t="s">
        <v>4127</v>
      </c>
      <c r="F260" t="s">
        <v>4126</v>
      </c>
      <c r="G260" s="9" t="s">
        <v>1348</v>
      </c>
      <c r="H260" t="s">
        <v>2299</v>
      </c>
      <c r="I260" t="s">
        <v>47</v>
      </c>
      <c r="J260" s="2">
        <v>2722</v>
      </c>
    </row>
    <row r="261" spans="1:10" hidden="1" x14ac:dyDescent="0.25">
      <c r="A261" t="s">
        <v>2763</v>
      </c>
      <c r="C261" t="s">
        <v>4064</v>
      </c>
      <c r="D261" t="s">
        <v>4104</v>
      </c>
      <c r="E261" t="s">
        <v>4127</v>
      </c>
      <c r="F261" t="s">
        <v>4126</v>
      </c>
      <c r="G261" s="9" t="s">
        <v>1349</v>
      </c>
      <c r="H261" t="s">
        <v>2299</v>
      </c>
      <c r="I261" t="s">
        <v>64</v>
      </c>
      <c r="J261" s="2">
        <v>2722</v>
      </c>
    </row>
    <row r="262" spans="1:10" hidden="1" x14ac:dyDescent="0.25">
      <c r="A262" t="s">
        <v>2764</v>
      </c>
      <c r="C262" t="s">
        <v>4064</v>
      </c>
      <c r="D262" t="s">
        <v>4104</v>
      </c>
      <c r="E262" t="s">
        <v>4127</v>
      </c>
      <c r="F262" t="s">
        <v>4126</v>
      </c>
      <c r="G262" s="9" t="s">
        <v>1350</v>
      </c>
      <c r="H262" t="s">
        <v>2299</v>
      </c>
      <c r="I262" t="s">
        <v>73</v>
      </c>
      <c r="J262" s="2">
        <v>2722</v>
      </c>
    </row>
    <row r="263" spans="1:10" hidden="1" x14ac:dyDescent="0.25">
      <c r="A263" t="s">
        <v>2765</v>
      </c>
      <c r="C263" t="s">
        <v>4064</v>
      </c>
      <c r="D263" t="s">
        <v>4104</v>
      </c>
      <c r="E263" t="s">
        <v>4127</v>
      </c>
      <c r="F263" t="s">
        <v>4126</v>
      </c>
      <c r="G263" s="9" t="s">
        <v>1352</v>
      </c>
      <c r="H263" t="s">
        <v>2299</v>
      </c>
      <c r="I263" t="s">
        <v>1351</v>
      </c>
      <c r="J263" s="2">
        <v>2722</v>
      </c>
    </row>
    <row r="264" spans="1:10" hidden="1" x14ac:dyDescent="0.25">
      <c r="A264" t="s">
        <v>2766</v>
      </c>
      <c r="C264" t="s">
        <v>4064</v>
      </c>
      <c r="D264" t="s">
        <v>4104</v>
      </c>
      <c r="E264" t="s">
        <v>4127</v>
      </c>
      <c r="F264" t="s">
        <v>4126</v>
      </c>
      <c r="G264" s="9" t="s">
        <v>482</v>
      </c>
      <c r="H264" t="s">
        <v>2300</v>
      </c>
      <c r="I264" t="s">
        <v>13</v>
      </c>
      <c r="J264" s="2">
        <v>2694</v>
      </c>
    </row>
    <row r="265" spans="1:10" hidden="1" x14ac:dyDescent="0.25">
      <c r="A265" t="s">
        <v>2767</v>
      </c>
      <c r="C265" t="s">
        <v>4064</v>
      </c>
      <c r="D265" t="s">
        <v>4104</v>
      </c>
      <c r="E265" t="s">
        <v>4127</v>
      </c>
      <c r="F265" t="s">
        <v>4126</v>
      </c>
      <c r="G265" s="9" t="s">
        <v>483</v>
      </c>
      <c r="H265" t="s">
        <v>2300</v>
      </c>
      <c r="I265" t="s">
        <v>49</v>
      </c>
      <c r="J265" s="2">
        <v>2694</v>
      </c>
    </row>
    <row r="266" spans="1:10" hidden="1" x14ac:dyDescent="0.25">
      <c r="A266" t="s">
        <v>2768</v>
      </c>
      <c r="C266" t="s">
        <v>4064</v>
      </c>
      <c r="D266" t="s">
        <v>4104</v>
      </c>
      <c r="E266" t="s">
        <v>4127</v>
      </c>
      <c r="F266" t="s">
        <v>4126</v>
      </c>
      <c r="G266" s="9" t="s">
        <v>1356</v>
      </c>
      <c r="H266" t="s">
        <v>2301</v>
      </c>
      <c r="I266" t="s">
        <v>13</v>
      </c>
      <c r="J266" s="2">
        <v>2656</v>
      </c>
    </row>
    <row r="267" spans="1:10" hidden="1" x14ac:dyDescent="0.25">
      <c r="A267" t="s">
        <v>2769</v>
      </c>
      <c r="C267" t="s">
        <v>4064</v>
      </c>
      <c r="D267" t="s">
        <v>4104</v>
      </c>
      <c r="E267" t="s">
        <v>4127</v>
      </c>
      <c r="F267" t="s">
        <v>4126</v>
      </c>
      <c r="G267" s="9" t="s">
        <v>1357</v>
      </c>
      <c r="H267" t="s">
        <v>2301</v>
      </c>
      <c r="I267" t="s">
        <v>47</v>
      </c>
      <c r="J267" s="2">
        <v>2656</v>
      </c>
    </row>
    <row r="268" spans="1:10" hidden="1" x14ac:dyDescent="0.25">
      <c r="A268" t="s">
        <v>2770</v>
      </c>
      <c r="C268" t="s">
        <v>4064</v>
      </c>
      <c r="D268" t="s">
        <v>4104</v>
      </c>
      <c r="E268" t="s">
        <v>4127</v>
      </c>
      <c r="F268" t="s">
        <v>4126</v>
      </c>
      <c r="G268" s="9" t="s">
        <v>1361</v>
      </c>
      <c r="H268" t="s">
        <v>2302</v>
      </c>
      <c r="I268" t="s">
        <v>49</v>
      </c>
      <c r="J268" s="2">
        <v>2652</v>
      </c>
    </row>
    <row r="269" spans="1:10" hidden="1" x14ac:dyDescent="0.25">
      <c r="A269" t="s">
        <v>2771</v>
      </c>
      <c r="C269" t="s">
        <v>4064</v>
      </c>
      <c r="D269" t="s">
        <v>4104</v>
      </c>
      <c r="E269" t="s">
        <v>4127</v>
      </c>
      <c r="F269" t="s">
        <v>4126</v>
      </c>
      <c r="G269" s="9" t="s">
        <v>1362</v>
      </c>
      <c r="H269" t="s">
        <v>2303</v>
      </c>
      <c r="I269" t="s">
        <v>13</v>
      </c>
      <c r="J269" s="2">
        <v>2640</v>
      </c>
    </row>
    <row r="270" spans="1:10" hidden="1" x14ac:dyDescent="0.25">
      <c r="A270" t="s">
        <v>2772</v>
      </c>
      <c r="C270" t="s">
        <v>4064</v>
      </c>
      <c r="D270" t="s">
        <v>4104</v>
      </c>
      <c r="E270" t="s">
        <v>4127</v>
      </c>
      <c r="F270" t="s">
        <v>4126</v>
      </c>
      <c r="G270" s="9" t="s">
        <v>1364</v>
      </c>
      <c r="H270" t="s">
        <v>2303</v>
      </c>
      <c r="I270" t="s">
        <v>1363</v>
      </c>
      <c r="J270" s="2">
        <v>2640</v>
      </c>
    </row>
    <row r="271" spans="1:10" hidden="1" x14ac:dyDescent="0.25">
      <c r="A271" t="s">
        <v>2773</v>
      </c>
      <c r="C271" t="s">
        <v>4064</v>
      </c>
      <c r="D271" t="s">
        <v>4104</v>
      </c>
      <c r="E271" t="s">
        <v>4127</v>
      </c>
      <c r="F271" t="s">
        <v>4126</v>
      </c>
      <c r="G271" s="9" t="s">
        <v>1240</v>
      </c>
      <c r="H271" t="s">
        <v>2304</v>
      </c>
      <c r="I271" t="s">
        <v>13</v>
      </c>
      <c r="J271" s="2">
        <v>2575</v>
      </c>
    </row>
    <row r="272" spans="1:10" hidden="1" x14ac:dyDescent="0.25">
      <c r="A272" t="s">
        <v>2774</v>
      </c>
      <c r="C272" t="s">
        <v>4064</v>
      </c>
      <c r="D272" t="s">
        <v>4104</v>
      </c>
      <c r="E272" t="s">
        <v>4127</v>
      </c>
      <c r="F272" t="s">
        <v>4126</v>
      </c>
      <c r="G272" s="9" t="s">
        <v>1241</v>
      </c>
      <c r="H272" t="s">
        <v>2304</v>
      </c>
      <c r="I272" t="s">
        <v>47</v>
      </c>
      <c r="J272" s="2">
        <v>2575</v>
      </c>
    </row>
    <row r="273" spans="1:10" hidden="1" x14ac:dyDescent="0.25">
      <c r="A273" t="s">
        <v>2775</v>
      </c>
      <c r="C273" t="s">
        <v>4064</v>
      </c>
      <c r="D273" t="s">
        <v>4104</v>
      </c>
      <c r="E273" t="s">
        <v>4127</v>
      </c>
      <c r="F273" t="s">
        <v>4126</v>
      </c>
      <c r="G273" s="9" t="s">
        <v>1374</v>
      </c>
      <c r="H273" t="s">
        <v>2304</v>
      </c>
      <c r="I273" t="s">
        <v>49</v>
      </c>
      <c r="J273" s="2">
        <v>2575</v>
      </c>
    </row>
    <row r="274" spans="1:10" hidden="1" x14ac:dyDescent="0.25">
      <c r="A274" t="s">
        <v>2776</v>
      </c>
      <c r="C274" t="s">
        <v>4064</v>
      </c>
      <c r="D274" t="s">
        <v>4104</v>
      </c>
      <c r="E274" t="s">
        <v>4127</v>
      </c>
      <c r="F274" t="s">
        <v>4126</v>
      </c>
      <c r="G274" s="9" t="s">
        <v>1244</v>
      </c>
      <c r="H274" t="s">
        <v>2304</v>
      </c>
      <c r="I274" t="s">
        <v>10</v>
      </c>
      <c r="J274" s="2">
        <v>2575</v>
      </c>
    </row>
    <row r="275" spans="1:10" hidden="1" x14ac:dyDescent="0.25">
      <c r="A275" t="s">
        <v>2777</v>
      </c>
      <c r="C275" t="s">
        <v>4064</v>
      </c>
      <c r="D275" t="s">
        <v>4104</v>
      </c>
      <c r="E275" t="s">
        <v>4127</v>
      </c>
      <c r="F275" t="s">
        <v>4126</v>
      </c>
      <c r="G275" s="9" t="s">
        <v>1375</v>
      </c>
      <c r="H275" t="s">
        <v>2305</v>
      </c>
      <c r="I275" t="s">
        <v>37</v>
      </c>
      <c r="J275" s="2">
        <v>2571</v>
      </c>
    </row>
    <row r="276" spans="1:10" hidden="1" x14ac:dyDescent="0.25">
      <c r="A276" t="s">
        <v>2778</v>
      </c>
      <c r="C276" t="s">
        <v>4064</v>
      </c>
      <c r="D276" t="s">
        <v>4104</v>
      </c>
      <c r="E276" t="s">
        <v>4127</v>
      </c>
      <c r="F276" t="s">
        <v>4126</v>
      </c>
      <c r="G276" s="9" t="s">
        <v>1376</v>
      </c>
      <c r="H276" t="s">
        <v>2305</v>
      </c>
      <c r="I276" t="s">
        <v>37</v>
      </c>
      <c r="J276" s="2">
        <v>2571</v>
      </c>
    </row>
    <row r="277" spans="1:10" hidden="1" x14ac:dyDescent="0.25">
      <c r="A277" t="s">
        <v>2779</v>
      </c>
      <c r="C277" t="s">
        <v>4064</v>
      </c>
      <c r="D277" t="s">
        <v>4104</v>
      </c>
      <c r="E277" t="s">
        <v>4127</v>
      </c>
      <c r="F277" t="s">
        <v>4126</v>
      </c>
      <c r="G277" s="9" t="s">
        <v>1394</v>
      </c>
      <c r="H277" t="s">
        <v>2306</v>
      </c>
      <c r="I277" t="s">
        <v>1393</v>
      </c>
      <c r="J277" s="2">
        <v>2553</v>
      </c>
    </row>
    <row r="278" spans="1:10" hidden="1" x14ac:dyDescent="0.25">
      <c r="A278" t="s">
        <v>2780</v>
      </c>
      <c r="C278" t="s">
        <v>4064</v>
      </c>
      <c r="D278" t="s">
        <v>4104</v>
      </c>
      <c r="E278" t="s">
        <v>4127</v>
      </c>
      <c r="F278" t="s">
        <v>4126</v>
      </c>
      <c r="G278" s="9" t="s">
        <v>1407</v>
      </c>
      <c r="H278" t="s">
        <v>2307</v>
      </c>
      <c r="I278" t="s">
        <v>47</v>
      </c>
      <c r="J278" s="2">
        <v>2500</v>
      </c>
    </row>
    <row r="279" spans="1:10" hidden="1" x14ac:dyDescent="0.25">
      <c r="A279" t="s">
        <v>2781</v>
      </c>
      <c r="C279" t="s">
        <v>4064</v>
      </c>
      <c r="D279" t="s">
        <v>4104</v>
      </c>
      <c r="E279" t="s">
        <v>4127</v>
      </c>
      <c r="F279" t="s">
        <v>4126</v>
      </c>
      <c r="G279" s="9" t="s">
        <v>1408</v>
      </c>
      <c r="H279" t="s">
        <v>2307</v>
      </c>
      <c r="I279" t="s">
        <v>62</v>
      </c>
      <c r="J279" s="2">
        <v>2500</v>
      </c>
    </row>
    <row r="280" spans="1:10" hidden="1" x14ac:dyDescent="0.25">
      <c r="A280" t="s">
        <v>2782</v>
      </c>
      <c r="C280" t="s">
        <v>4064</v>
      </c>
      <c r="D280" t="s">
        <v>4104</v>
      </c>
      <c r="E280" t="s">
        <v>4127</v>
      </c>
      <c r="F280" t="s">
        <v>4126</v>
      </c>
      <c r="G280" s="9" t="s">
        <v>1409</v>
      </c>
      <c r="H280" t="s">
        <v>2307</v>
      </c>
      <c r="I280" t="s">
        <v>62</v>
      </c>
      <c r="J280" s="2">
        <v>2500</v>
      </c>
    </row>
    <row r="281" spans="1:10" hidden="1" x14ac:dyDescent="0.25">
      <c r="A281" t="s">
        <v>2783</v>
      </c>
      <c r="C281" t="s">
        <v>4064</v>
      </c>
      <c r="D281" t="s">
        <v>4104</v>
      </c>
      <c r="E281" t="s">
        <v>4127</v>
      </c>
      <c r="F281" t="s">
        <v>4126</v>
      </c>
      <c r="G281" s="9" t="s">
        <v>1414</v>
      </c>
      <c r="H281" t="s">
        <v>2308</v>
      </c>
      <c r="I281" t="s">
        <v>47</v>
      </c>
      <c r="J281" s="2">
        <v>2481</v>
      </c>
    </row>
    <row r="282" spans="1:10" hidden="1" x14ac:dyDescent="0.25">
      <c r="A282" t="s">
        <v>2784</v>
      </c>
      <c r="C282" t="s">
        <v>4064</v>
      </c>
      <c r="D282" t="s">
        <v>4104</v>
      </c>
      <c r="E282" t="s">
        <v>4127</v>
      </c>
      <c r="F282" t="s">
        <v>4126</v>
      </c>
      <c r="G282" s="9" t="s">
        <v>1418</v>
      </c>
      <c r="H282" t="s">
        <v>2309</v>
      </c>
      <c r="I282" t="s">
        <v>579</v>
      </c>
      <c r="J282" s="2">
        <v>2468</v>
      </c>
    </row>
    <row r="283" spans="1:10" hidden="1" x14ac:dyDescent="0.25">
      <c r="A283" t="s">
        <v>2785</v>
      </c>
      <c r="C283" t="s">
        <v>4064</v>
      </c>
      <c r="D283" t="s">
        <v>4104</v>
      </c>
      <c r="E283" t="s">
        <v>4127</v>
      </c>
      <c r="F283" t="s">
        <v>4126</v>
      </c>
      <c r="G283" s="9" t="s">
        <v>1418</v>
      </c>
      <c r="H283" t="s">
        <v>2309</v>
      </c>
      <c r="I283" t="s">
        <v>581</v>
      </c>
      <c r="J283" s="2">
        <v>2468</v>
      </c>
    </row>
    <row r="284" spans="1:10" hidden="1" x14ac:dyDescent="0.25">
      <c r="A284" t="s">
        <v>2786</v>
      </c>
      <c r="C284" t="s">
        <v>4064</v>
      </c>
      <c r="D284" t="s">
        <v>4104</v>
      </c>
      <c r="E284" t="s">
        <v>4127</v>
      </c>
      <c r="F284" t="s">
        <v>4126</v>
      </c>
      <c r="G284" s="9" t="s">
        <v>1419</v>
      </c>
      <c r="H284" t="s">
        <v>2309</v>
      </c>
      <c r="I284" t="s">
        <v>581</v>
      </c>
      <c r="J284" s="2">
        <v>2468</v>
      </c>
    </row>
    <row r="285" spans="1:10" hidden="1" x14ac:dyDescent="0.25">
      <c r="A285" t="s">
        <v>2787</v>
      </c>
      <c r="C285" t="s">
        <v>4064</v>
      </c>
      <c r="D285" t="s">
        <v>4104</v>
      </c>
      <c r="E285" t="s">
        <v>4127</v>
      </c>
      <c r="F285" t="s">
        <v>4126</v>
      </c>
      <c r="G285" s="9" t="s">
        <v>1437</v>
      </c>
      <c r="H285" t="s">
        <v>2310</v>
      </c>
      <c r="I285" t="s">
        <v>13</v>
      </c>
      <c r="J285" s="2">
        <v>2415</v>
      </c>
    </row>
    <row r="286" spans="1:10" hidden="1" x14ac:dyDescent="0.25">
      <c r="A286" t="s">
        <v>2788</v>
      </c>
      <c r="C286" t="s">
        <v>4064</v>
      </c>
      <c r="D286" t="s">
        <v>4104</v>
      </c>
      <c r="E286" t="s">
        <v>4127</v>
      </c>
      <c r="F286" t="s">
        <v>4126</v>
      </c>
      <c r="G286" s="9" t="s">
        <v>1438</v>
      </c>
      <c r="H286" t="s">
        <v>2310</v>
      </c>
      <c r="I286" t="s">
        <v>10</v>
      </c>
      <c r="J286" s="2">
        <v>2415</v>
      </c>
    </row>
    <row r="287" spans="1:10" hidden="1" x14ac:dyDescent="0.25">
      <c r="A287" t="s">
        <v>2789</v>
      </c>
      <c r="C287" t="s">
        <v>4064</v>
      </c>
      <c r="D287" t="s">
        <v>4104</v>
      </c>
      <c r="E287" t="s">
        <v>4127</v>
      </c>
      <c r="F287" t="s">
        <v>4126</v>
      </c>
      <c r="G287" s="9" t="s">
        <v>1439</v>
      </c>
      <c r="H287" t="s">
        <v>2310</v>
      </c>
      <c r="I287" t="s">
        <v>10</v>
      </c>
      <c r="J287" s="2">
        <v>2415</v>
      </c>
    </row>
    <row r="288" spans="1:10" hidden="1" x14ac:dyDescent="0.25">
      <c r="A288" t="s">
        <v>2790</v>
      </c>
      <c r="C288" t="s">
        <v>4064</v>
      </c>
      <c r="D288" t="s">
        <v>4104</v>
      </c>
      <c r="E288" t="s">
        <v>4127</v>
      </c>
      <c r="F288" t="s">
        <v>4126</v>
      </c>
      <c r="G288" s="9" t="s">
        <v>1440</v>
      </c>
      <c r="H288" t="s">
        <v>2311</v>
      </c>
      <c r="I288" t="s">
        <v>13</v>
      </c>
      <c r="J288" s="2">
        <v>2412</v>
      </c>
    </row>
    <row r="289" spans="1:10" hidden="1" x14ac:dyDescent="0.25">
      <c r="A289" t="s">
        <v>2791</v>
      </c>
      <c r="C289" t="s">
        <v>4064</v>
      </c>
      <c r="D289" t="s">
        <v>4104</v>
      </c>
      <c r="E289" t="s">
        <v>4127</v>
      </c>
      <c r="F289" t="s">
        <v>4126</v>
      </c>
      <c r="G289" s="9" t="s">
        <v>1441</v>
      </c>
      <c r="H289" t="s">
        <v>2311</v>
      </c>
      <c r="I289" t="s">
        <v>49</v>
      </c>
      <c r="J289" s="2">
        <v>2412</v>
      </c>
    </row>
    <row r="290" spans="1:10" hidden="1" x14ac:dyDescent="0.25">
      <c r="A290" t="s">
        <v>2792</v>
      </c>
      <c r="C290" t="s">
        <v>4064</v>
      </c>
      <c r="D290" t="s">
        <v>4104</v>
      </c>
      <c r="E290" t="s">
        <v>4127</v>
      </c>
      <c r="F290" t="s">
        <v>4126</v>
      </c>
      <c r="G290" s="9" t="s">
        <v>330</v>
      </c>
      <c r="H290" t="s">
        <v>2312</v>
      </c>
      <c r="I290" t="s">
        <v>13</v>
      </c>
      <c r="J290" s="2">
        <v>2405</v>
      </c>
    </row>
    <row r="291" spans="1:10" hidden="1" x14ac:dyDescent="0.25">
      <c r="A291" t="s">
        <v>2793</v>
      </c>
      <c r="C291" t="s">
        <v>4064</v>
      </c>
      <c r="D291" t="s">
        <v>4104</v>
      </c>
      <c r="E291" t="s">
        <v>4127</v>
      </c>
      <c r="F291" t="s">
        <v>4126</v>
      </c>
      <c r="G291" s="9" t="s">
        <v>1442</v>
      </c>
      <c r="H291" t="s">
        <v>2312</v>
      </c>
      <c r="I291" t="s">
        <v>8</v>
      </c>
      <c r="J291" s="2">
        <v>2405</v>
      </c>
    </row>
    <row r="292" spans="1:10" hidden="1" x14ac:dyDescent="0.25">
      <c r="A292" t="s">
        <v>2794</v>
      </c>
      <c r="C292" t="s">
        <v>4064</v>
      </c>
      <c r="D292" t="s">
        <v>4104</v>
      </c>
      <c r="E292" t="s">
        <v>4127</v>
      </c>
      <c r="F292" t="s">
        <v>4126</v>
      </c>
      <c r="G292" s="9" t="s">
        <v>1443</v>
      </c>
      <c r="H292" t="s">
        <v>2312</v>
      </c>
      <c r="I292" t="s">
        <v>10</v>
      </c>
      <c r="J292" s="2">
        <v>2405</v>
      </c>
    </row>
    <row r="293" spans="1:10" hidden="1" x14ac:dyDescent="0.25">
      <c r="A293" t="s">
        <v>2795</v>
      </c>
      <c r="C293" t="s">
        <v>4064</v>
      </c>
      <c r="D293" t="s">
        <v>4104</v>
      </c>
      <c r="E293" t="s">
        <v>4127</v>
      </c>
      <c r="F293" t="s">
        <v>4126</v>
      </c>
      <c r="G293" s="9" t="s">
        <v>1449</v>
      </c>
      <c r="H293" t="s">
        <v>2313</v>
      </c>
      <c r="I293" t="s">
        <v>13</v>
      </c>
      <c r="J293" s="2">
        <v>2391</v>
      </c>
    </row>
    <row r="294" spans="1:10" hidden="1" x14ac:dyDescent="0.25">
      <c r="A294" t="s">
        <v>2796</v>
      </c>
      <c r="C294" t="s">
        <v>4064</v>
      </c>
      <c r="D294" t="s">
        <v>4104</v>
      </c>
      <c r="E294" t="s">
        <v>4127</v>
      </c>
      <c r="F294" t="s">
        <v>4126</v>
      </c>
      <c r="G294" s="9" t="s">
        <v>1450</v>
      </c>
      <c r="H294" t="s">
        <v>2313</v>
      </c>
      <c r="I294" t="s">
        <v>47</v>
      </c>
      <c r="J294" s="2">
        <v>2391</v>
      </c>
    </row>
    <row r="295" spans="1:10" hidden="1" x14ac:dyDescent="0.25">
      <c r="A295" t="s">
        <v>2797</v>
      </c>
      <c r="C295" t="s">
        <v>4064</v>
      </c>
      <c r="D295" t="s">
        <v>4104</v>
      </c>
      <c r="E295" t="s">
        <v>4127</v>
      </c>
      <c r="F295" t="s">
        <v>4126</v>
      </c>
      <c r="G295" s="9" t="s">
        <v>1462</v>
      </c>
      <c r="H295" t="s">
        <v>2314</v>
      </c>
      <c r="I295" t="s">
        <v>249</v>
      </c>
      <c r="J295" s="2">
        <v>2355</v>
      </c>
    </row>
    <row r="296" spans="1:10" hidden="1" x14ac:dyDescent="0.25">
      <c r="A296" t="s">
        <v>2798</v>
      </c>
      <c r="C296" t="s">
        <v>4064</v>
      </c>
      <c r="D296" t="s">
        <v>4104</v>
      </c>
      <c r="E296" t="s">
        <v>4127</v>
      </c>
      <c r="F296" t="s">
        <v>4126</v>
      </c>
      <c r="G296" s="9" t="s">
        <v>1463</v>
      </c>
      <c r="H296" t="s">
        <v>2314</v>
      </c>
      <c r="I296" t="s">
        <v>249</v>
      </c>
      <c r="J296" s="2">
        <v>2355</v>
      </c>
    </row>
    <row r="297" spans="1:10" hidden="1" x14ac:dyDescent="0.25">
      <c r="A297" t="s">
        <v>2799</v>
      </c>
      <c r="C297" t="s">
        <v>4064</v>
      </c>
      <c r="D297" t="s">
        <v>4104</v>
      </c>
      <c r="E297" t="s">
        <v>4127</v>
      </c>
      <c r="F297" t="s">
        <v>4126</v>
      </c>
      <c r="G297" s="9" t="s">
        <v>1475</v>
      </c>
      <c r="H297" t="s">
        <v>2315</v>
      </c>
      <c r="I297" t="s">
        <v>47</v>
      </c>
      <c r="J297" s="2">
        <v>2342</v>
      </c>
    </row>
    <row r="298" spans="1:10" hidden="1" x14ac:dyDescent="0.25">
      <c r="A298" t="s">
        <v>2800</v>
      </c>
      <c r="C298" t="s">
        <v>4064</v>
      </c>
      <c r="D298" t="s">
        <v>4104</v>
      </c>
      <c r="E298" t="s">
        <v>4127</v>
      </c>
      <c r="F298" t="s">
        <v>4126</v>
      </c>
      <c r="G298" s="9" t="s">
        <v>1476</v>
      </c>
      <c r="H298" t="s">
        <v>2315</v>
      </c>
      <c r="I298" t="s">
        <v>47</v>
      </c>
      <c r="J298" s="2">
        <v>2342</v>
      </c>
    </row>
    <row r="299" spans="1:10" hidden="1" x14ac:dyDescent="0.25">
      <c r="A299" t="s">
        <v>2801</v>
      </c>
      <c r="C299" t="s">
        <v>4064</v>
      </c>
      <c r="D299" t="s">
        <v>4104</v>
      </c>
      <c r="E299" t="s">
        <v>4127</v>
      </c>
      <c r="F299" t="s">
        <v>4126</v>
      </c>
      <c r="G299" s="9" t="s">
        <v>1477</v>
      </c>
      <c r="H299" t="s">
        <v>2315</v>
      </c>
      <c r="I299" t="s">
        <v>37</v>
      </c>
      <c r="J299" s="2">
        <v>2342</v>
      </c>
    </row>
    <row r="300" spans="1:10" hidden="1" x14ac:dyDescent="0.25">
      <c r="A300" t="s">
        <v>2802</v>
      </c>
      <c r="C300" t="s">
        <v>4064</v>
      </c>
      <c r="D300" t="s">
        <v>4104</v>
      </c>
      <c r="E300" t="s">
        <v>4127</v>
      </c>
      <c r="F300" t="s">
        <v>4126</v>
      </c>
      <c r="G300" s="9" t="s">
        <v>1479</v>
      </c>
      <c r="H300" t="s">
        <v>2315</v>
      </c>
      <c r="I300" t="s">
        <v>1478</v>
      </c>
      <c r="J300" s="2">
        <v>2342</v>
      </c>
    </row>
    <row r="301" spans="1:10" hidden="1" x14ac:dyDescent="0.25">
      <c r="A301" t="s">
        <v>2803</v>
      </c>
      <c r="C301" t="s">
        <v>4064</v>
      </c>
      <c r="D301" t="s">
        <v>4104</v>
      </c>
      <c r="E301" t="s">
        <v>4127</v>
      </c>
      <c r="F301" t="s">
        <v>4126</v>
      </c>
      <c r="G301" s="9" t="s">
        <v>1482</v>
      </c>
      <c r="H301" t="s">
        <v>2316</v>
      </c>
      <c r="I301" t="s">
        <v>45</v>
      </c>
      <c r="J301" s="2">
        <v>2338</v>
      </c>
    </row>
    <row r="302" spans="1:10" hidden="1" x14ac:dyDescent="0.25">
      <c r="A302" t="s">
        <v>2804</v>
      </c>
      <c r="C302" t="s">
        <v>4064</v>
      </c>
      <c r="D302" t="s">
        <v>4104</v>
      </c>
      <c r="E302" t="s">
        <v>4127</v>
      </c>
      <c r="F302" t="s">
        <v>4126</v>
      </c>
      <c r="G302" s="9" t="s">
        <v>1486</v>
      </c>
      <c r="H302" t="s">
        <v>2317</v>
      </c>
      <c r="I302" t="s">
        <v>290</v>
      </c>
      <c r="J302" s="2">
        <v>2324</v>
      </c>
    </row>
    <row r="303" spans="1:10" hidden="1" x14ac:dyDescent="0.25">
      <c r="A303" t="s">
        <v>2805</v>
      </c>
      <c r="C303" t="s">
        <v>4064</v>
      </c>
      <c r="D303" t="s">
        <v>4104</v>
      </c>
      <c r="E303" t="s">
        <v>4127</v>
      </c>
      <c r="F303" t="s">
        <v>4126</v>
      </c>
      <c r="G303" s="9" t="s">
        <v>1507</v>
      </c>
      <c r="H303" t="s">
        <v>2318</v>
      </c>
      <c r="I303" t="s">
        <v>64</v>
      </c>
      <c r="J303" s="2">
        <v>2248</v>
      </c>
    </row>
    <row r="304" spans="1:10" hidden="1" x14ac:dyDescent="0.25">
      <c r="A304" t="s">
        <v>2806</v>
      </c>
      <c r="C304" t="s">
        <v>4064</v>
      </c>
      <c r="D304" t="s">
        <v>4104</v>
      </c>
      <c r="E304" t="s">
        <v>4127</v>
      </c>
      <c r="F304" t="s">
        <v>4126</v>
      </c>
      <c r="G304" s="9" t="s">
        <v>1508</v>
      </c>
      <c r="H304" t="s">
        <v>2318</v>
      </c>
      <c r="I304" t="s">
        <v>73</v>
      </c>
      <c r="J304" s="2">
        <v>2248</v>
      </c>
    </row>
    <row r="305" spans="1:10" hidden="1" x14ac:dyDescent="0.25">
      <c r="A305" t="s">
        <v>2807</v>
      </c>
      <c r="C305" t="s">
        <v>4064</v>
      </c>
      <c r="D305" t="s">
        <v>4104</v>
      </c>
      <c r="E305" t="s">
        <v>4127</v>
      </c>
      <c r="F305" t="s">
        <v>4126</v>
      </c>
      <c r="G305" s="9" t="s">
        <v>1509</v>
      </c>
      <c r="H305" t="s">
        <v>2318</v>
      </c>
      <c r="I305" t="s">
        <v>73</v>
      </c>
      <c r="J305" s="2">
        <v>2248</v>
      </c>
    </row>
    <row r="306" spans="1:10" hidden="1" x14ac:dyDescent="0.25">
      <c r="A306" t="s">
        <v>2808</v>
      </c>
      <c r="C306" t="s">
        <v>4064</v>
      </c>
      <c r="D306" t="s">
        <v>4104</v>
      </c>
      <c r="E306" t="s">
        <v>4127</v>
      </c>
      <c r="F306" t="s">
        <v>4126</v>
      </c>
      <c r="G306" s="9" t="s">
        <v>1525</v>
      </c>
      <c r="H306" t="s">
        <v>2319</v>
      </c>
      <c r="I306" t="s">
        <v>47</v>
      </c>
      <c r="J306" s="2">
        <v>2203</v>
      </c>
    </row>
    <row r="307" spans="1:10" hidden="1" x14ac:dyDescent="0.25">
      <c r="A307" t="s">
        <v>2809</v>
      </c>
      <c r="C307" t="s">
        <v>4064</v>
      </c>
      <c r="D307" t="s">
        <v>4104</v>
      </c>
      <c r="E307" t="s">
        <v>4127</v>
      </c>
      <c r="F307" t="s">
        <v>4126</v>
      </c>
      <c r="G307" s="9" t="s">
        <v>1526</v>
      </c>
      <c r="H307" t="s">
        <v>2319</v>
      </c>
      <c r="I307" t="s">
        <v>47</v>
      </c>
      <c r="J307" s="2">
        <v>2203</v>
      </c>
    </row>
    <row r="308" spans="1:10" hidden="1" x14ac:dyDescent="0.25">
      <c r="A308" t="s">
        <v>2810</v>
      </c>
      <c r="C308" t="s">
        <v>4064</v>
      </c>
      <c r="D308" t="s">
        <v>4104</v>
      </c>
      <c r="E308" t="s">
        <v>4127</v>
      </c>
      <c r="F308" t="s">
        <v>4126</v>
      </c>
      <c r="G308" s="9" t="s">
        <v>1562</v>
      </c>
      <c r="H308" t="s">
        <v>2320</v>
      </c>
      <c r="I308" t="s">
        <v>47</v>
      </c>
      <c r="J308" s="2">
        <v>2147</v>
      </c>
    </row>
    <row r="309" spans="1:10" hidden="1" x14ac:dyDescent="0.25">
      <c r="A309" t="s">
        <v>2811</v>
      </c>
      <c r="C309" t="s">
        <v>4064</v>
      </c>
      <c r="D309" t="s">
        <v>4104</v>
      </c>
      <c r="E309" t="s">
        <v>4127</v>
      </c>
      <c r="F309" t="s">
        <v>4126</v>
      </c>
      <c r="G309" s="9" t="s">
        <v>1563</v>
      </c>
      <c r="H309" t="s">
        <v>2320</v>
      </c>
      <c r="I309" t="s">
        <v>10</v>
      </c>
      <c r="J309" s="2">
        <v>2147</v>
      </c>
    </row>
    <row r="310" spans="1:10" hidden="1" x14ac:dyDescent="0.25">
      <c r="A310" t="s">
        <v>2812</v>
      </c>
      <c r="C310" t="s">
        <v>4064</v>
      </c>
      <c r="D310" t="s">
        <v>4104</v>
      </c>
      <c r="E310" t="s">
        <v>4127</v>
      </c>
      <c r="F310" t="s">
        <v>4126</v>
      </c>
      <c r="G310" s="9" t="s">
        <v>1564</v>
      </c>
      <c r="H310" t="s">
        <v>2320</v>
      </c>
      <c r="I310" t="s">
        <v>340</v>
      </c>
      <c r="J310" s="2">
        <v>2147</v>
      </c>
    </row>
    <row r="311" spans="1:10" hidden="1" x14ac:dyDescent="0.25">
      <c r="A311" t="s">
        <v>2813</v>
      </c>
      <c r="C311" t="s">
        <v>4064</v>
      </c>
      <c r="D311" t="s">
        <v>4104</v>
      </c>
      <c r="E311" t="s">
        <v>4127</v>
      </c>
      <c r="F311" t="s">
        <v>4126</v>
      </c>
      <c r="G311" s="9" t="s">
        <v>1576</v>
      </c>
      <c r="H311" t="s">
        <v>2321</v>
      </c>
      <c r="I311" t="s">
        <v>64</v>
      </c>
      <c r="J311" s="2">
        <v>2140</v>
      </c>
    </row>
    <row r="312" spans="1:10" hidden="1" x14ac:dyDescent="0.25">
      <c r="A312" t="s">
        <v>2814</v>
      </c>
      <c r="C312" t="s">
        <v>4064</v>
      </c>
      <c r="D312" t="s">
        <v>4104</v>
      </c>
      <c r="E312" t="s">
        <v>4127</v>
      </c>
      <c r="F312" t="s">
        <v>4126</v>
      </c>
      <c r="G312" s="9" t="s">
        <v>1594</v>
      </c>
      <c r="H312" t="s">
        <v>2322</v>
      </c>
      <c r="I312" t="s">
        <v>1593</v>
      </c>
      <c r="J312" s="2">
        <v>2087</v>
      </c>
    </row>
    <row r="313" spans="1:10" hidden="1" x14ac:dyDescent="0.25">
      <c r="A313" t="s">
        <v>2815</v>
      </c>
      <c r="C313" t="s">
        <v>4064</v>
      </c>
      <c r="D313" t="s">
        <v>4104</v>
      </c>
      <c r="E313" t="s">
        <v>4127</v>
      </c>
      <c r="F313" t="s">
        <v>4126</v>
      </c>
      <c r="G313" s="9" t="s">
        <v>1597</v>
      </c>
      <c r="H313" t="s">
        <v>2323</v>
      </c>
      <c r="I313" t="s">
        <v>45</v>
      </c>
      <c r="J313" s="2">
        <v>2076</v>
      </c>
    </row>
    <row r="314" spans="1:10" hidden="1" x14ac:dyDescent="0.25">
      <c r="A314" t="s">
        <v>2816</v>
      </c>
      <c r="C314" t="s">
        <v>4064</v>
      </c>
      <c r="D314" t="s">
        <v>4104</v>
      </c>
      <c r="E314" t="s">
        <v>4127</v>
      </c>
      <c r="F314" t="s">
        <v>4126</v>
      </c>
      <c r="G314" s="9" t="s">
        <v>1598</v>
      </c>
      <c r="H314" t="s">
        <v>2323</v>
      </c>
      <c r="I314" t="s">
        <v>45</v>
      </c>
      <c r="J314" s="2">
        <v>2076</v>
      </c>
    </row>
    <row r="315" spans="1:10" hidden="1" x14ac:dyDescent="0.25">
      <c r="A315" t="s">
        <v>2817</v>
      </c>
      <c r="C315" t="s">
        <v>4064</v>
      </c>
      <c r="D315" t="s">
        <v>4104</v>
      </c>
      <c r="E315" t="s">
        <v>4127</v>
      </c>
      <c r="F315" t="s">
        <v>4126</v>
      </c>
      <c r="G315" s="9" t="s">
        <v>1608</v>
      </c>
      <c r="H315" t="s">
        <v>2324</v>
      </c>
      <c r="I315" t="s">
        <v>37</v>
      </c>
      <c r="J315" s="2">
        <v>2050</v>
      </c>
    </row>
    <row r="316" spans="1:10" hidden="1" x14ac:dyDescent="0.25">
      <c r="A316" t="s">
        <v>2818</v>
      </c>
      <c r="C316" t="s">
        <v>4064</v>
      </c>
      <c r="D316" t="s">
        <v>4104</v>
      </c>
      <c r="E316" t="s">
        <v>4127</v>
      </c>
      <c r="F316" t="s">
        <v>4126</v>
      </c>
      <c r="G316" s="9" t="s">
        <v>1609</v>
      </c>
      <c r="H316" t="s">
        <v>2324</v>
      </c>
      <c r="I316" t="s">
        <v>64</v>
      </c>
      <c r="J316" s="2">
        <v>2050</v>
      </c>
    </row>
    <row r="317" spans="1:10" hidden="1" x14ac:dyDescent="0.25">
      <c r="A317" t="s">
        <v>2819</v>
      </c>
      <c r="C317" t="s">
        <v>4064</v>
      </c>
      <c r="D317" t="s">
        <v>4104</v>
      </c>
      <c r="E317" t="s">
        <v>4127</v>
      </c>
      <c r="F317" t="s">
        <v>4126</v>
      </c>
      <c r="G317" s="9" t="s">
        <v>1613</v>
      </c>
      <c r="H317" t="s">
        <v>2325</v>
      </c>
      <c r="I317" t="s">
        <v>64</v>
      </c>
      <c r="J317" s="2">
        <v>2036</v>
      </c>
    </row>
    <row r="318" spans="1:10" hidden="1" x14ac:dyDescent="0.25">
      <c r="A318" t="s">
        <v>2820</v>
      </c>
      <c r="C318" t="s">
        <v>4064</v>
      </c>
      <c r="D318" t="s">
        <v>4104</v>
      </c>
      <c r="E318" t="s">
        <v>4127</v>
      </c>
      <c r="F318" t="s">
        <v>4126</v>
      </c>
      <c r="G318" s="9" t="s">
        <v>1620</v>
      </c>
      <c r="H318" t="s">
        <v>2326</v>
      </c>
      <c r="I318" t="s">
        <v>47</v>
      </c>
      <c r="J318" s="2">
        <v>2017</v>
      </c>
    </row>
    <row r="319" spans="1:10" hidden="1" x14ac:dyDescent="0.25">
      <c r="A319" t="s">
        <v>2821</v>
      </c>
      <c r="C319" t="s">
        <v>4064</v>
      </c>
      <c r="D319" t="s">
        <v>4104</v>
      </c>
      <c r="E319" t="s">
        <v>4127</v>
      </c>
      <c r="F319" t="s">
        <v>4126</v>
      </c>
      <c r="G319" s="9" t="s">
        <v>1621</v>
      </c>
      <c r="H319" t="s">
        <v>2326</v>
      </c>
      <c r="I319" t="s">
        <v>47</v>
      </c>
      <c r="J319" s="2">
        <v>2017</v>
      </c>
    </row>
    <row r="320" spans="1:10" hidden="1" x14ac:dyDescent="0.25">
      <c r="A320" t="s">
        <v>2822</v>
      </c>
      <c r="C320" t="s">
        <v>4064</v>
      </c>
      <c r="D320" t="s">
        <v>4104</v>
      </c>
      <c r="E320" t="s">
        <v>4127</v>
      </c>
      <c r="F320" t="s">
        <v>4126</v>
      </c>
      <c r="G320" s="9" t="s">
        <v>1622</v>
      </c>
      <c r="H320" t="s">
        <v>2326</v>
      </c>
      <c r="I320" t="s">
        <v>47</v>
      </c>
      <c r="J320" s="2">
        <v>2017</v>
      </c>
    </row>
    <row r="321" spans="1:10" hidden="1" x14ac:dyDescent="0.25">
      <c r="A321" t="s">
        <v>2823</v>
      </c>
      <c r="C321" t="s">
        <v>4064</v>
      </c>
      <c r="D321" t="s">
        <v>4104</v>
      </c>
      <c r="E321" t="s">
        <v>4127</v>
      </c>
      <c r="F321" t="s">
        <v>4126</v>
      </c>
      <c r="G321" s="9" t="s">
        <v>1623</v>
      </c>
      <c r="H321" t="s">
        <v>2326</v>
      </c>
      <c r="I321" t="s">
        <v>64</v>
      </c>
      <c r="J321" s="2">
        <v>2017</v>
      </c>
    </row>
    <row r="322" spans="1:10" hidden="1" x14ac:dyDescent="0.25">
      <c r="A322" t="s">
        <v>2824</v>
      </c>
      <c r="C322" t="s">
        <v>4064</v>
      </c>
      <c r="D322" t="s">
        <v>4104</v>
      </c>
      <c r="E322" t="s">
        <v>4127</v>
      </c>
      <c r="F322" t="s">
        <v>4126</v>
      </c>
      <c r="G322" s="9" t="s">
        <v>1624</v>
      </c>
      <c r="H322" t="s">
        <v>2327</v>
      </c>
      <c r="I322" t="s">
        <v>13</v>
      </c>
      <c r="J322" s="2">
        <v>2000</v>
      </c>
    </row>
    <row r="323" spans="1:10" hidden="1" x14ac:dyDescent="0.25">
      <c r="A323" t="s">
        <v>2825</v>
      </c>
      <c r="C323" t="s">
        <v>4064</v>
      </c>
      <c r="D323" t="s">
        <v>4104</v>
      </c>
      <c r="E323" t="s">
        <v>4127</v>
      </c>
      <c r="F323" t="s">
        <v>4126</v>
      </c>
      <c r="G323" s="9" t="s">
        <v>95</v>
      </c>
      <c r="H323" t="s">
        <v>2328</v>
      </c>
      <c r="I323" t="s">
        <v>13</v>
      </c>
      <c r="J323" s="2">
        <v>1978</v>
      </c>
    </row>
    <row r="324" spans="1:10" hidden="1" x14ac:dyDescent="0.25">
      <c r="A324" t="s">
        <v>2826</v>
      </c>
      <c r="C324" t="s">
        <v>4064</v>
      </c>
      <c r="D324" t="s">
        <v>4104</v>
      </c>
      <c r="E324" t="s">
        <v>4127</v>
      </c>
      <c r="F324" t="s">
        <v>4126</v>
      </c>
      <c r="G324" s="9" t="s">
        <v>1637</v>
      </c>
      <c r="H324" t="s">
        <v>2329</v>
      </c>
      <c r="I324" t="s">
        <v>13</v>
      </c>
      <c r="J324" s="2">
        <v>1975</v>
      </c>
    </row>
    <row r="325" spans="1:10" hidden="1" x14ac:dyDescent="0.25">
      <c r="A325" t="s">
        <v>2827</v>
      </c>
      <c r="C325" t="s">
        <v>4064</v>
      </c>
      <c r="D325" t="s">
        <v>4104</v>
      </c>
      <c r="E325" t="s">
        <v>4127</v>
      </c>
      <c r="F325" t="s">
        <v>4126</v>
      </c>
      <c r="G325" s="9" t="s">
        <v>1638</v>
      </c>
      <c r="H325" t="s">
        <v>2329</v>
      </c>
      <c r="I325" t="s">
        <v>47</v>
      </c>
      <c r="J325" s="2">
        <v>1975</v>
      </c>
    </row>
    <row r="326" spans="1:10" hidden="1" x14ac:dyDescent="0.25">
      <c r="A326" t="s">
        <v>2828</v>
      </c>
      <c r="C326" t="s">
        <v>4064</v>
      </c>
      <c r="D326" t="s">
        <v>4104</v>
      </c>
      <c r="E326" t="s">
        <v>4127</v>
      </c>
      <c r="F326" t="s">
        <v>4126</v>
      </c>
      <c r="G326" s="9" t="s">
        <v>1639</v>
      </c>
      <c r="H326" t="s">
        <v>2329</v>
      </c>
      <c r="I326" t="s">
        <v>47</v>
      </c>
      <c r="J326" s="2">
        <v>1975</v>
      </c>
    </row>
    <row r="327" spans="1:10" hidden="1" x14ac:dyDescent="0.25">
      <c r="A327" t="s">
        <v>2829</v>
      </c>
      <c r="C327" t="s">
        <v>4064</v>
      </c>
      <c r="D327" t="s">
        <v>4104</v>
      </c>
      <c r="E327" t="s">
        <v>4127</v>
      </c>
      <c r="F327" t="s">
        <v>4126</v>
      </c>
      <c r="G327" s="9" t="s">
        <v>1640</v>
      </c>
      <c r="H327" t="s">
        <v>2329</v>
      </c>
      <c r="I327" t="s">
        <v>73</v>
      </c>
      <c r="J327" s="2">
        <v>1975</v>
      </c>
    </row>
    <row r="328" spans="1:10" hidden="1" x14ac:dyDescent="0.25">
      <c r="A328" t="s">
        <v>2830</v>
      </c>
      <c r="C328" t="s">
        <v>4064</v>
      </c>
      <c r="D328" t="s">
        <v>4104</v>
      </c>
      <c r="E328" t="s">
        <v>4127</v>
      </c>
      <c r="F328" t="s">
        <v>4126</v>
      </c>
      <c r="G328" s="9" t="s">
        <v>1641</v>
      </c>
      <c r="H328" t="s">
        <v>2329</v>
      </c>
      <c r="I328" t="s">
        <v>62</v>
      </c>
      <c r="J328" s="2">
        <v>1975</v>
      </c>
    </row>
    <row r="329" spans="1:10" hidden="1" x14ac:dyDescent="0.25">
      <c r="A329" t="s">
        <v>2831</v>
      </c>
      <c r="C329" t="s">
        <v>4064</v>
      </c>
      <c r="D329" t="s">
        <v>4104</v>
      </c>
      <c r="E329" t="s">
        <v>4127</v>
      </c>
      <c r="F329" t="s">
        <v>4126</v>
      </c>
      <c r="G329" s="9" t="s">
        <v>1642</v>
      </c>
      <c r="H329" t="s">
        <v>2330</v>
      </c>
      <c r="I329" t="s">
        <v>47</v>
      </c>
      <c r="J329" s="2">
        <v>1971</v>
      </c>
    </row>
    <row r="330" spans="1:10" hidden="1" x14ac:dyDescent="0.25">
      <c r="A330" t="s">
        <v>2832</v>
      </c>
      <c r="C330" t="s">
        <v>4064</v>
      </c>
      <c r="D330" t="s">
        <v>4104</v>
      </c>
      <c r="E330" t="s">
        <v>4127</v>
      </c>
      <c r="F330" t="s">
        <v>4126</v>
      </c>
      <c r="G330" s="9" t="s">
        <v>1643</v>
      </c>
      <c r="H330" t="s">
        <v>2330</v>
      </c>
      <c r="I330" t="s">
        <v>47</v>
      </c>
      <c r="J330" s="2">
        <v>1971</v>
      </c>
    </row>
    <row r="331" spans="1:10" hidden="1" x14ac:dyDescent="0.25">
      <c r="A331" t="s">
        <v>2833</v>
      </c>
      <c r="C331" t="s">
        <v>4064</v>
      </c>
      <c r="D331" t="s">
        <v>4104</v>
      </c>
      <c r="E331" t="s">
        <v>4127</v>
      </c>
      <c r="F331" t="s">
        <v>4126</v>
      </c>
      <c r="G331" s="9" t="s">
        <v>269</v>
      </c>
      <c r="H331" t="s">
        <v>2331</v>
      </c>
      <c r="I331" t="s">
        <v>13</v>
      </c>
      <c r="J331" s="2">
        <v>1970</v>
      </c>
    </row>
    <row r="332" spans="1:10" hidden="1" x14ac:dyDescent="0.25">
      <c r="A332" t="s">
        <v>2834</v>
      </c>
      <c r="C332" t="s">
        <v>4064</v>
      </c>
      <c r="D332" t="s">
        <v>4104</v>
      </c>
      <c r="E332" t="s">
        <v>4127</v>
      </c>
      <c r="F332" t="s">
        <v>4126</v>
      </c>
      <c r="G332" s="9" t="s">
        <v>1646</v>
      </c>
      <c r="H332" t="s">
        <v>2331</v>
      </c>
      <c r="I332" t="s">
        <v>47</v>
      </c>
      <c r="J332" s="2">
        <v>1970</v>
      </c>
    </row>
    <row r="333" spans="1:10" hidden="1" x14ac:dyDescent="0.25">
      <c r="A333" t="s">
        <v>2835</v>
      </c>
      <c r="C333" t="s">
        <v>4064</v>
      </c>
      <c r="D333" t="s">
        <v>4104</v>
      </c>
      <c r="E333" t="s">
        <v>4127</v>
      </c>
      <c r="F333" t="s">
        <v>4126</v>
      </c>
      <c r="G333" s="9" t="s">
        <v>99</v>
      </c>
      <c r="H333" t="s">
        <v>2331</v>
      </c>
      <c r="I333" t="s">
        <v>49</v>
      </c>
      <c r="J333" s="2">
        <v>1970</v>
      </c>
    </row>
    <row r="334" spans="1:10" hidden="1" x14ac:dyDescent="0.25">
      <c r="A334" t="s">
        <v>2836</v>
      </c>
      <c r="C334" t="s">
        <v>4064</v>
      </c>
      <c r="D334" t="s">
        <v>4104</v>
      </c>
      <c r="E334" t="s">
        <v>4127</v>
      </c>
      <c r="F334" t="s">
        <v>4126</v>
      </c>
      <c r="G334" s="9" t="s">
        <v>1647</v>
      </c>
      <c r="H334" t="s">
        <v>2332</v>
      </c>
      <c r="I334" t="s">
        <v>8</v>
      </c>
      <c r="J334" s="2">
        <v>1968</v>
      </c>
    </row>
    <row r="335" spans="1:10" hidden="1" x14ac:dyDescent="0.25">
      <c r="A335" t="s">
        <v>2837</v>
      </c>
      <c r="C335" t="s">
        <v>4064</v>
      </c>
      <c r="D335" t="s">
        <v>4104</v>
      </c>
      <c r="E335" t="s">
        <v>4127</v>
      </c>
      <c r="F335" t="s">
        <v>4126</v>
      </c>
      <c r="G335" s="9" t="s">
        <v>1655</v>
      </c>
      <c r="H335" t="s">
        <v>2333</v>
      </c>
      <c r="I335" t="s">
        <v>47</v>
      </c>
      <c r="J335" s="2">
        <v>1958</v>
      </c>
    </row>
    <row r="336" spans="1:10" hidden="1" x14ac:dyDescent="0.25">
      <c r="A336" t="s">
        <v>2838</v>
      </c>
      <c r="C336" t="s">
        <v>4064</v>
      </c>
      <c r="D336" t="s">
        <v>4104</v>
      </c>
      <c r="E336" t="s">
        <v>4127</v>
      </c>
      <c r="F336" t="s">
        <v>4126</v>
      </c>
      <c r="G336" s="9" t="s">
        <v>1656</v>
      </c>
      <c r="H336" t="s">
        <v>2333</v>
      </c>
      <c r="I336" t="s">
        <v>64</v>
      </c>
      <c r="J336" s="2">
        <v>1958</v>
      </c>
    </row>
    <row r="337" spans="1:10" hidden="1" x14ac:dyDescent="0.25">
      <c r="A337" t="s">
        <v>2839</v>
      </c>
      <c r="C337" t="s">
        <v>4064</v>
      </c>
      <c r="D337" t="s">
        <v>4104</v>
      </c>
      <c r="E337" t="s">
        <v>4127</v>
      </c>
      <c r="F337" t="s">
        <v>4126</v>
      </c>
      <c r="G337" s="9" t="s">
        <v>1657</v>
      </c>
      <c r="H337" t="s">
        <v>2333</v>
      </c>
      <c r="I337" t="s">
        <v>73</v>
      </c>
      <c r="J337" s="2">
        <v>1958</v>
      </c>
    </row>
    <row r="338" spans="1:10" hidden="1" x14ac:dyDescent="0.25">
      <c r="A338" t="s">
        <v>2840</v>
      </c>
      <c r="C338" t="s">
        <v>4064</v>
      </c>
      <c r="D338" t="s">
        <v>4104</v>
      </c>
      <c r="E338" t="s">
        <v>4127</v>
      </c>
      <c r="F338" t="s">
        <v>4126</v>
      </c>
      <c r="G338" s="9" t="s">
        <v>1658</v>
      </c>
      <c r="H338" t="s">
        <v>2333</v>
      </c>
      <c r="I338" t="s">
        <v>1351</v>
      </c>
      <c r="J338" s="2">
        <v>1958</v>
      </c>
    </row>
    <row r="339" spans="1:10" hidden="1" x14ac:dyDescent="0.25">
      <c r="A339" t="s">
        <v>2841</v>
      </c>
      <c r="C339" t="s">
        <v>4064</v>
      </c>
      <c r="D339" t="s">
        <v>4104</v>
      </c>
      <c r="E339" t="s">
        <v>4127</v>
      </c>
      <c r="F339" t="s">
        <v>4126</v>
      </c>
      <c r="G339" s="9" t="s">
        <v>1664</v>
      </c>
      <c r="H339" t="s">
        <v>2334</v>
      </c>
      <c r="I339" t="s">
        <v>37</v>
      </c>
      <c r="J339" s="2">
        <v>1950</v>
      </c>
    </row>
    <row r="340" spans="1:10" hidden="1" x14ac:dyDescent="0.25">
      <c r="A340" t="s">
        <v>2842</v>
      </c>
      <c r="C340" t="s">
        <v>4064</v>
      </c>
      <c r="D340" t="s">
        <v>4104</v>
      </c>
      <c r="E340" t="s">
        <v>4127</v>
      </c>
      <c r="F340" t="s">
        <v>4126</v>
      </c>
      <c r="G340" s="9" t="s">
        <v>1665</v>
      </c>
      <c r="H340" t="s">
        <v>2334</v>
      </c>
      <c r="I340" t="s">
        <v>62</v>
      </c>
      <c r="J340" s="2">
        <v>1950</v>
      </c>
    </row>
    <row r="341" spans="1:10" hidden="1" x14ac:dyDescent="0.25">
      <c r="A341" t="s">
        <v>2843</v>
      </c>
      <c r="C341" t="s">
        <v>4064</v>
      </c>
      <c r="D341" t="s">
        <v>4104</v>
      </c>
      <c r="E341" t="s">
        <v>4127</v>
      </c>
      <c r="F341" t="s">
        <v>4126</v>
      </c>
      <c r="G341" s="9" t="s">
        <v>1685</v>
      </c>
      <c r="H341" t="s">
        <v>2335</v>
      </c>
      <c r="I341" t="s">
        <v>176</v>
      </c>
      <c r="J341" s="2">
        <v>1923</v>
      </c>
    </row>
    <row r="342" spans="1:10" hidden="1" x14ac:dyDescent="0.25">
      <c r="A342" t="s">
        <v>2844</v>
      </c>
      <c r="C342" t="s">
        <v>4064</v>
      </c>
      <c r="D342" t="s">
        <v>4104</v>
      </c>
      <c r="E342" t="s">
        <v>4127</v>
      </c>
      <c r="F342" t="s">
        <v>4126</v>
      </c>
      <c r="G342" s="9" t="s">
        <v>1686</v>
      </c>
      <c r="H342" t="s">
        <v>2335</v>
      </c>
      <c r="I342" t="s">
        <v>176</v>
      </c>
      <c r="J342" s="2">
        <v>1923</v>
      </c>
    </row>
    <row r="343" spans="1:10" hidden="1" x14ac:dyDescent="0.25">
      <c r="A343" t="s">
        <v>2845</v>
      </c>
      <c r="C343" t="s">
        <v>4064</v>
      </c>
      <c r="D343" t="s">
        <v>4104</v>
      </c>
      <c r="E343" t="s">
        <v>4127</v>
      </c>
      <c r="F343" t="s">
        <v>4126</v>
      </c>
      <c r="G343" s="9" t="s">
        <v>1687</v>
      </c>
      <c r="H343" t="s">
        <v>2335</v>
      </c>
      <c r="I343" t="s">
        <v>176</v>
      </c>
      <c r="J343" s="2">
        <v>1923</v>
      </c>
    </row>
    <row r="344" spans="1:10" hidden="1" x14ac:dyDescent="0.25">
      <c r="A344" t="s">
        <v>2846</v>
      </c>
      <c r="C344" t="s">
        <v>4064</v>
      </c>
      <c r="D344" t="s">
        <v>4104</v>
      </c>
      <c r="E344" t="s">
        <v>4127</v>
      </c>
      <c r="F344" t="s">
        <v>4126</v>
      </c>
      <c r="G344" s="9" t="s">
        <v>1688</v>
      </c>
      <c r="H344" t="s">
        <v>2335</v>
      </c>
      <c r="I344" t="s">
        <v>249</v>
      </c>
      <c r="J344" s="2">
        <v>1923</v>
      </c>
    </row>
    <row r="345" spans="1:10" hidden="1" x14ac:dyDescent="0.25">
      <c r="A345" t="s">
        <v>2847</v>
      </c>
      <c r="C345" t="s">
        <v>4064</v>
      </c>
      <c r="D345" t="s">
        <v>4104</v>
      </c>
      <c r="E345" t="s">
        <v>4127</v>
      </c>
      <c r="F345" t="s">
        <v>4126</v>
      </c>
      <c r="G345" s="9" t="s">
        <v>1689</v>
      </c>
      <c r="H345" t="s">
        <v>2335</v>
      </c>
      <c r="I345" t="s">
        <v>1205</v>
      </c>
      <c r="J345" s="2">
        <v>1923</v>
      </c>
    </row>
    <row r="346" spans="1:10" hidden="1" x14ac:dyDescent="0.25">
      <c r="A346" t="s">
        <v>2848</v>
      </c>
      <c r="C346" t="s">
        <v>4064</v>
      </c>
      <c r="D346" t="s">
        <v>4104</v>
      </c>
      <c r="E346" t="s">
        <v>4127</v>
      </c>
      <c r="F346" t="s">
        <v>4126</v>
      </c>
      <c r="G346" s="9" t="s">
        <v>1690</v>
      </c>
      <c r="H346" t="s">
        <v>2335</v>
      </c>
      <c r="I346" t="s">
        <v>1205</v>
      </c>
      <c r="J346" s="2">
        <v>1923</v>
      </c>
    </row>
    <row r="347" spans="1:10" hidden="1" x14ac:dyDescent="0.25">
      <c r="A347" t="s">
        <v>2849</v>
      </c>
      <c r="C347" t="s">
        <v>4064</v>
      </c>
      <c r="D347" t="s">
        <v>4104</v>
      </c>
      <c r="E347" t="s">
        <v>4127</v>
      </c>
      <c r="F347" t="s">
        <v>4126</v>
      </c>
      <c r="G347" s="9" t="s">
        <v>1691</v>
      </c>
      <c r="H347" t="s">
        <v>2335</v>
      </c>
      <c r="I347" t="s">
        <v>1593</v>
      </c>
      <c r="J347" s="2">
        <v>1923</v>
      </c>
    </row>
    <row r="348" spans="1:10" hidden="1" x14ac:dyDescent="0.25">
      <c r="A348" t="s">
        <v>2850</v>
      </c>
      <c r="C348" t="s">
        <v>4064</v>
      </c>
      <c r="D348" t="s">
        <v>4104</v>
      </c>
      <c r="E348" t="s">
        <v>4127</v>
      </c>
      <c r="F348" t="s">
        <v>4126</v>
      </c>
      <c r="G348" s="9" t="s">
        <v>1689</v>
      </c>
      <c r="H348" t="s">
        <v>2335</v>
      </c>
      <c r="I348" t="s">
        <v>1208</v>
      </c>
      <c r="J348" s="2">
        <v>1923</v>
      </c>
    </row>
    <row r="349" spans="1:10" hidden="1" x14ac:dyDescent="0.25">
      <c r="A349" t="s">
        <v>2851</v>
      </c>
      <c r="C349" t="s">
        <v>4064</v>
      </c>
      <c r="D349" t="s">
        <v>4104</v>
      </c>
      <c r="E349" t="s">
        <v>4127</v>
      </c>
      <c r="F349" t="s">
        <v>4126</v>
      </c>
      <c r="G349" s="9" t="s">
        <v>1692</v>
      </c>
      <c r="H349" t="s">
        <v>2335</v>
      </c>
      <c r="I349" t="s">
        <v>1208</v>
      </c>
      <c r="J349" s="2">
        <v>1923</v>
      </c>
    </row>
    <row r="350" spans="1:10" hidden="1" x14ac:dyDescent="0.25">
      <c r="A350" t="s">
        <v>2852</v>
      </c>
      <c r="C350" t="s">
        <v>4064</v>
      </c>
      <c r="D350" t="s">
        <v>4104</v>
      </c>
      <c r="E350" t="s">
        <v>4127</v>
      </c>
      <c r="F350" t="s">
        <v>4126</v>
      </c>
      <c r="G350" s="9" t="s">
        <v>1699</v>
      </c>
      <c r="H350" t="s">
        <v>2336</v>
      </c>
      <c r="I350" t="s">
        <v>13</v>
      </c>
      <c r="J350" s="2">
        <v>1912</v>
      </c>
    </row>
    <row r="351" spans="1:10" hidden="1" x14ac:dyDescent="0.25">
      <c r="A351" t="s">
        <v>2853</v>
      </c>
      <c r="C351" t="s">
        <v>4064</v>
      </c>
      <c r="D351" t="s">
        <v>4104</v>
      </c>
      <c r="E351" t="s">
        <v>4127</v>
      </c>
      <c r="F351" t="s">
        <v>4126</v>
      </c>
      <c r="G351" s="9" t="s">
        <v>1719</v>
      </c>
      <c r="H351" t="s">
        <v>2337</v>
      </c>
      <c r="I351" t="s">
        <v>13</v>
      </c>
      <c r="J351" s="2">
        <v>1876</v>
      </c>
    </row>
    <row r="352" spans="1:10" hidden="1" x14ac:dyDescent="0.25">
      <c r="A352" t="s">
        <v>2854</v>
      </c>
      <c r="C352" t="s">
        <v>4064</v>
      </c>
      <c r="D352" t="s">
        <v>4104</v>
      </c>
      <c r="E352" t="s">
        <v>4127</v>
      </c>
      <c r="F352" t="s">
        <v>4126</v>
      </c>
      <c r="G352" s="9" t="s">
        <v>1720</v>
      </c>
      <c r="H352" t="s">
        <v>2337</v>
      </c>
      <c r="I352" t="s">
        <v>47</v>
      </c>
      <c r="J352" s="2">
        <v>1876</v>
      </c>
    </row>
    <row r="353" spans="1:10" hidden="1" x14ac:dyDescent="0.25">
      <c r="A353" t="s">
        <v>2855</v>
      </c>
      <c r="C353" t="s">
        <v>4064</v>
      </c>
      <c r="D353" t="s">
        <v>4104</v>
      </c>
      <c r="E353" t="s">
        <v>4127</v>
      </c>
      <c r="F353" t="s">
        <v>4126</v>
      </c>
      <c r="G353" s="9" t="s">
        <v>1736</v>
      </c>
      <c r="H353" t="s">
        <v>2338</v>
      </c>
      <c r="I353" t="s">
        <v>45</v>
      </c>
      <c r="J353" s="2">
        <v>1833</v>
      </c>
    </row>
    <row r="354" spans="1:10" hidden="1" x14ac:dyDescent="0.25">
      <c r="A354" t="s">
        <v>2856</v>
      </c>
      <c r="C354" t="s">
        <v>4064</v>
      </c>
      <c r="D354" t="s">
        <v>4104</v>
      </c>
      <c r="E354" t="s">
        <v>4127</v>
      </c>
      <c r="F354" t="s">
        <v>4126</v>
      </c>
      <c r="G354" s="9" t="s">
        <v>1737</v>
      </c>
      <c r="H354" t="s">
        <v>2338</v>
      </c>
      <c r="I354" t="s">
        <v>45</v>
      </c>
      <c r="J354" s="2">
        <v>1833</v>
      </c>
    </row>
    <row r="355" spans="1:10" hidden="1" x14ac:dyDescent="0.25">
      <c r="A355" t="s">
        <v>2857</v>
      </c>
      <c r="C355" t="s">
        <v>4064</v>
      </c>
      <c r="D355" t="s">
        <v>4104</v>
      </c>
      <c r="E355" t="s">
        <v>4127</v>
      </c>
      <c r="F355" t="s">
        <v>4126</v>
      </c>
      <c r="G355" s="9" t="s">
        <v>1740</v>
      </c>
      <c r="H355" t="s">
        <v>2339</v>
      </c>
      <c r="I355" t="s">
        <v>49</v>
      </c>
      <c r="J355" s="2">
        <v>1826</v>
      </c>
    </row>
    <row r="356" spans="1:10" hidden="1" x14ac:dyDescent="0.25">
      <c r="A356" t="s">
        <v>2858</v>
      </c>
      <c r="C356" t="s">
        <v>4064</v>
      </c>
      <c r="D356" t="s">
        <v>4104</v>
      </c>
      <c r="E356" t="s">
        <v>4127</v>
      </c>
      <c r="F356" t="s">
        <v>4126</v>
      </c>
      <c r="G356" s="9" t="s">
        <v>1741</v>
      </c>
      <c r="H356" t="s">
        <v>2340</v>
      </c>
      <c r="I356" t="s">
        <v>47</v>
      </c>
      <c r="J356" s="2">
        <v>1820</v>
      </c>
    </row>
    <row r="357" spans="1:10" hidden="1" x14ac:dyDescent="0.25">
      <c r="A357" t="s">
        <v>2859</v>
      </c>
      <c r="C357" t="s">
        <v>4064</v>
      </c>
      <c r="D357" t="s">
        <v>4104</v>
      </c>
      <c r="E357" t="s">
        <v>4127</v>
      </c>
      <c r="F357" t="s">
        <v>4126</v>
      </c>
      <c r="G357" s="9" t="s">
        <v>1747</v>
      </c>
      <c r="H357" t="s">
        <v>2341</v>
      </c>
      <c r="I357" t="s">
        <v>64</v>
      </c>
      <c r="J357" s="2">
        <v>1805</v>
      </c>
    </row>
    <row r="358" spans="1:10" hidden="1" x14ac:dyDescent="0.25">
      <c r="A358" t="s">
        <v>2860</v>
      </c>
      <c r="C358" t="s">
        <v>4064</v>
      </c>
      <c r="D358" t="s">
        <v>4104</v>
      </c>
      <c r="E358" t="s">
        <v>4127</v>
      </c>
      <c r="F358" t="s">
        <v>4126</v>
      </c>
      <c r="G358" s="9" t="s">
        <v>1748</v>
      </c>
      <c r="H358" t="s">
        <v>2341</v>
      </c>
      <c r="I358" t="s">
        <v>64</v>
      </c>
      <c r="J358" s="2">
        <v>1805</v>
      </c>
    </row>
    <row r="359" spans="1:10" hidden="1" x14ac:dyDescent="0.25">
      <c r="A359" t="s">
        <v>2861</v>
      </c>
      <c r="C359" t="s">
        <v>4064</v>
      </c>
      <c r="D359" t="s">
        <v>4104</v>
      </c>
      <c r="E359" t="s">
        <v>4127</v>
      </c>
      <c r="F359" t="s">
        <v>4126</v>
      </c>
      <c r="G359" s="9" t="s">
        <v>1760</v>
      </c>
      <c r="H359" t="s">
        <v>2342</v>
      </c>
      <c r="I359" t="s">
        <v>45</v>
      </c>
      <c r="J359" s="2">
        <v>1784</v>
      </c>
    </row>
    <row r="360" spans="1:10" hidden="1" x14ac:dyDescent="0.25">
      <c r="A360" t="s">
        <v>2862</v>
      </c>
      <c r="C360" t="s">
        <v>4064</v>
      </c>
      <c r="D360" t="s">
        <v>4104</v>
      </c>
      <c r="E360" t="s">
        <v>4127</v>
      </c>
      <c r="F360" t="s">
        <v>4126</v>
      </c>
      <c r="G360" s="9" t="s">
        <v>1768</v>
      </c>
      <c r="H360" t="s">
        <v>2343</v>
      </c>
      <c r="I360" t="s">
        <v>45</v>
      </c>
      <c r="J360" s="2">
        <v>1766</v>
      </c>
    </row>
    <row r="361" spans="1:10" hidden="1" x14ac:dyDescent="0.25">
      <c r="A361" t="s">
        <v>2863</v>
      </c>
      <c r="C361" t="s">
        <v>4064</v>
      </c>
      <c r="D361" t="s">
        <v>4104</v>
      </c>
      <c r="E361" t="s">
        <v>4127</v>
      </c>
      <c r="F361" t="s">
        <v>4126</v>
      </c>
      <c r="G361" s="9" t="s">
        <v>1780</v>
      </c>
      <c r="H361" t="s">
        <v>2344</v>
      </c>
      <c r="I361" t="s">
        <v>45</v>
      </c>
      <c r="J361" s="2">
        <v>1729</v>
      </c>
    </row>
    <row r="362" spans="1:10" hidden="1" x14ac:dyDescent="0.25">
      <c r="A362" t="s">
        <v>2864</v>
      </c>
      <c r="C362" t="s">
        <v>4064</v>
      </c>
      <c r="D362" t="s">
        <v>4104</v>
      </c>
      <c r="E362" t="s">
        <v>4127</v>
      </c>
      <c r="F362" t="s">
        <v>4126</v>
      </c>
      <c r="G362" s="9" t="s">
        <v>1781</v>
      </c>
      <c r="H362" t="s">
        <v>2344</v>
      </c>
      <c r="I362" t="s">
        <v>47</v>
      </c>
      <c r="J362" s="2">
        <v>1729</v>
      </c>
    </row>
    <row r="363" spans="1:10" hidden="1" x14ac:dyDescent="0.25">
      <c r="A363" t="s">
        <v>2865</v>
      </c>
      <c r="C363" t="s">
        <v>4064</v>
      </c>
      <c r="D363" t="s">
        <v>4104</v>
      </c>
      <c r="E363" t="s">
        <v>4127</v>
      </c>
      <c r="F363" t="s">
        <v>4126</v>
      </c>
      <c r="G363" s="9" t="s">
        <v>1782</v>
      </c>
      <c r="H363" t="s">
        <v>2344</v>
      </c>
      <c r="I363" t="s">
        <v>37</v>
      </c>
      <c r="J363" s="2">
        <v>1729</v>
      </c>
    </row>
    <row r="364" spans="1:10" hidden="1" x14ac:dyDescent="0.25">
      <c r="A364" t="s">
        <v>2866</v>
      </c>
      <c r="C364" t="s">
        <v>4064</v>
      </c>
      <c r="D364" t="s">
        <v>4104</v>
      </c>
      <c r="E364" t="s">
        <v>4127</v>
      </c>
      <c r="F364" t="s">
        <v>4126</v>
      </c>
      <c r="G364" s="9" t="s">
        <v>1785</v>
      </c>
      <c r="H364" t="s">
        <v>2345</v>
      </c>
      <c r="I364" t="s">
        <v>13</v>
      </c>
      <c r="J364" s="2">
        <v>1722</v>
      </c>
    </row>
    <row r="365" spans="1:10" hidden="1" x14ac:dyDescent="0.25">
      <c r="A365" t="s">
        <v>2867</v>
      </c>
      <c r="C365" t="s">
        <v>4064</v>
      </c>
      <c r="D365" t="s">
        <v>4104</v>
      </c>
      <c r="E365" t="s">
        <v>4127</v>
      </c>
      <c r="F365" t="s">
        <v>4126</v>
      </c>
      <c r="G365" s="9" t="s">
        <v>1801</v>
      </c>
      <c r="H365" t="s">
        <v>2346</v>
      </c>
      <c r="I365" t="s">
        <v>13</v>
      </c>
      <c r="J365" s="2">
        <v>1680</v>
      </c>
    </row>
    <row r="366" spans="1:10" hidden="1" x14ac:dyDescent="0.25">
      <c r="A366" t="s">
        <v>2868</v>
      </c>
      <c r="C366" t="s">
        <v>4064</v>
      </c>
      <c r="D366" t="s">
        <v>4104</v>
      </c>
      <c r="E366" t="s">
        <v>4127</v>
      </c>
      <c r="F366" t="s">
        <v>4126</v>
      </c>
      <c r="G366" s="9" t="s">
        <v>1805</v>
      </c>
      <c r="H366" t="s">
        <v>2347</v>
      </c>
      <c r="I366" t="s">
        <v>45</v>
      </c>
      <c r="J366" s="2">
        <v>1668</v>
      </c>
    </row>
    <row r="367" spans="1:10" hidden="1" x14ac:dyDescent="0.25">
      <c r="A367" t="s">
        <v>2869</v>
      </c>
      <c r="C367" t="s">
        <v>4064</v>
      </c>
      <c r="D367" t="s">
        <v>4104</v>
      </c>
      <c r="E367" t="s">
        <v>4127</v>
      </c>
      <c r="F367" t="s">
        <v>4126</v>
      </c>
      <c r="G367" s="9" t="s">
        <v>1806</v>
      </c>
      <c r="H367" t="s">
        <v>2347</v>
      </c>
      <c r="I367" t="s">
        <v>37</v>
      </c>
      <c r="J367" s="2">
        <v>1668</v>
      </c>
    </row>
    <row r="368" spans="1:10" hidden="1" x14ac:dyDescent="0.25">
      <c r="A368" t="s">
        <v>2870</v>
      </c>
      <c r="C368" t="s">
        <v>4064</v>
      </c>
      <c r="D368" t="s">
        <v>4104</v>
      </c>
      <c r="E368" t="s">
        <v>4127</v>
      </c>
      <c r="F368" t="s">
        <v>4126</v>
      </c>
      <c r="G368" s="9" t="s">
        <v>1809</v>
      </c>
      <c r="H368" t="s">
        <v>2348</v>
      </c>
      <c r="I368" t="s">
        <v>184</v>
      </c>
      <c r="J368" s="2">
        <v>1651</v>
      </c>
    </row>
    <row r="369" spans="1:10" hidden="1" x14ac:dyDescent="0.25">
      <c r="A369" t="s">
        <v>2871</v>
      </c>
      <c r="C369" t="s">
        <v>4064</v>
      </c>
      <c r="D369" t="s">
        <v>4104</v>
      </c>
      <c r="E369" t="s">
        <v>4127</v>
      </c>
      <c r="F369" t="s">
        <v>4126</v>
      </c>
      <c r="G369" s="9" t="s">
        <v>1824</v>
      </c>
      <c r="H369" t="s">
        <v>2349</v>
      </c>
      <c r="I369" t="s">
        <v>13</v>
      </c>
      <c r="J369" s="2">
        <v>1634</v>
      </c>
    </row>
    <row r="370" spans="1:10" hidden="1" x14ac:dyDescent="0.25">
      <c r="A370" t="s">
        <v>2872</v>
      </c>
      <c r="C370" t="s">
        <v>4064</v>
      </c>
      <c r="D370" t="s">
        <v>4104</v>
      </c>
      <c r="E370" t="s">
        <v>4127</v>
      </c>
      <c r="F370" t="s">
        <v>4126</v>
      </c>
      <c r="G370" s="9" t="s">
        <v>1825</v>
      </c>
      <c r="H370" t="s">
        <v>2349</v>
      </c>
      <c r="I370" t="s">
        <v>47</v>
      </c>
      <c r="J370" s="2">
        <v>1634</v>
      </c>
    </row>
    <row r="371" spans="1:10" hidden="1" x14ac:dyDescent="0.25">
      <c r="A371" t="s">
        <v>2873</v>
      </c>
      <c r="C371" t="s">
        <v>4064</v>
      </c>
      <c r="D371" t="s">
        <v>4104</v>
      </c>
      <c r="E371" t="s">
        <v>4127</v>
      </c>
      <c r="F371" t="s">
        <v>4126</v>
      </c>
      <c r="G371" s="9" t="s">
        <v>700</v>
      </c>
      <c r="H371" t="s">
        <v>2349</v>
      </c>
      <c r="I371" t="s">
        <v>49</v>
      </c>
      <c r="J371" s="2">
        <v>1634</v>
      </c>
    </row>
    <row r="372" spans="1:10" hidden="1" x14ac:dyDescent="0.25">
      <c r="A372" t="s">
        <v>2874</v>
      </c>
      <c r="C372" t="s">
        <v>4064</v>
      </c>
      <c r="D372" t="s">
        <v>4104</v>
      </c>
      <c r="E372" t="s">
        <v>4127</v>
      </c>
      <c r="F372" t="s">
        <v>4126</v>
      </c>
      <c r="G372" s="9" t="s">
        <v>1826</v>
      </c>
      <c r="H372" t="s">
        <v>2349</v>
      </c>
      <c r="I372" t="s">
        <v>8</v>
      </c>
      <c r="J372" s="2">
        <v>1634</v>
      </c>
    </row>
    <row r="373" spans="1:10" hidden="1" x14ac:dyDescent="0.25">
      <c r="A373" t="s">
        <v>2875</v>
      </c>
      <c r="C373" t="s">
        <v>4064</v>
      </c>
      <c r="D373" t="s">
        <v>4104</v>
      </c>
      <c r="E373" t="s">
        <v>4127</v>
      </c>
      <c r="F373" t="s">
        <v>4126</v>
      </c>
      <c r="G373" s="9" t="s">
        <v>1827</v>
      </c>
      <c r="H373" t="s">
        <v>2350</v>
      </c>
      <c r="I373" t="s">
        <v>249</v>
      </c>
      <c r="J373" s="2">
        <v>1632</v>
      </c>
    </row>
    <row r="374" spans="1:10" hidden="1" x14ac:dyDescent="0.25">
      <c r="A374" t="s">
        <v>2876</v>
      </c>
      <c r="C374" t="s">
        <v>4064</v>
      </c>
      <c r="D374" t="s">
        <v>4104</v>
      </c>
      <c r="E374" t="s">
        <v>4127</v>
      </c>
      <c r="F374" t="s">
        <v>4126</v>
      </c>
      <c r="G374" s="9" t="s">
        <v>1828</v>
      </c>
      <c r="H374" t="s">
        <v>2350</v>
      </c>
      <c r="I374" t="s">
        <v>249</v>
      </c>
      <c r="J374" s="2">
        <v>1632</v>
      </c>
    </row>
    <row r="375" spans="1:10" hidden="1" x14ac:dyDescent="0.25">
      <c r="A375" t="s">
        <v>2877</v>
      </c>
      <c r="C375" t="s">
        <v>4064</v>
      </c>
      <c r="D375" t="s">
        <v>4104</v>
      </c>
      <c r="E375" t="s">
        <v>4127</v>
      </c>
      <c r="F375" t="s">
        <v>4126</v>
      </c>
      <c r="G375" s="9" t="s">
        <v>1829</v>
      </c>
      <c r="H375" t="s">
        <v>2350</v>
      </c>
      <c r="I375" t="s">
        <v>1205</v>
      </c>
      <c r="J375" s="2">
        <v>1632</v>
      </c>
    </row>
    <row r="376" spans="1:10" hidden="1" x14ac:dyDescent="0.25">
      <c r="A376" t="s">
        <v>2878</v>
      </c>
      <c r="C376" t="s">
        <v>4064</v>
      </c>
      <c r="D376" t="s">
        <v>4104</v>
      </c>
      <c r="E376" t="s">
        <v>4127</v>
      </c>
      <c r="F376" t="s">
        <v>4126</v>
      </c>
      <c r="G376" s="9" t="s">
        <v>1830</v>
      </c>
      <c r="H376" t="s">
        <v>2350</v>
      </c>
      <c r="I376" t="s">
        <v>204</v>
      </c>
      <c r="J376" s="2">
        <v>1632</v>
      </c>
    </row>
    <row r="377" spans="1:10" hidden="1" x14ac:dyDescent="0.25">
      <c r="A377" t="s">
        <v>2879</v>
      </c>
      <c r="C377" t="s">
        <v>4064</v>
      </c>
      <c r="D377" t="s">
        <v>4104</v>
      </c>
      <c r="E377" t="s">
        <v>4127</v>
      </c>
      <c r="F377" t="s">
        <v>4126</v>
      </c>
      <c r="G377" s="9" t="s">
        <v>1831</v>
      </c>
      <c r="H377" t="s">
        <v>2350</v>
      </c>
      <c r="I377" t="s">
        <v>1593</v>
      </c>
      <c r="J377" s="2">
        <v>1632</v>
      </c>
    </row>
    <row r="378" spans="1:10" hidden="1" x14ac:dyDescent="0.25">
      <c r="A378" t="s">
        <v>2880</v>
      </c>
      <c r="C378" t="s">
        <v>4064</v>
      </c>
      <c r="D378" t="s">
        <v>4104</v>
      </c>
      <c r="E378" t="s">
        <v>4127</v>
      </c>
      <c r="F378" t="s">
        <v>4126</v>
      </c>
      <c r="G378" s="9" t="s">
        <v>1829</v>
      </c>
      <c r="H378" t="s">
        <v>2350</v>
      </c>
      <c r="I378" t="s">
        <v>1208</v>
      </c>
      <c r="J378" s="2">
        <v>1632</v>
      </c>
    </row>
    <row r="379" spans="1:10" hidden="1" x14ac:dyDescent="0.25">
      <c r="A379" t="s">
        <v>2881</v>
      </c>
      <c r="C379" t="s">
        <v>4064</v>
      </c>
      <c r="D379" t="s">
        <v>4104</v>
      </c>
      <c r="E379" t="s">
        <v>4127</v>
      </c>
      <c r="F379" t="s">
        <v>4126</v>
      </c>
      <c r="G379" s="9" t="s">
        <v>1832</v>
      </c>
      <c r="H379" t="s">
        <v>2351</v>
      </c>
      <c r="I379" t="s">
        <v>13</v>
      </c>
      <c r="J379" s="2">
        <v>1624</v>
      </c>
    </row>
    <row r="380" spans="1:10" hidden="1" x14ac:dyDescent="0.25">
      <c r="A380" t="s">
        <v>2882</v>
      </c>
      <c r="C380" t="s">
        <v>4064</v>
      </c>
      <c r="D380" t="s">
        <v>4104</v>
      </c>
      <c r="E380" t="s">
        <v>4127</v>
      </c>
      <c r="F380" t="s">
        <v>4126</v>
      </c>
      <c r="G380" s="9" t="s">
        <v>1875</v>
      </c>
      <c r="H380" t="s">
        <v>2352</v>
      </c>
      <c r="I380" t="s">
        <v>13</v>
      </c>
      <c r="J380" s="2">
        <v>1512</v>
      </c>
    </row>
    <row r="381" spans="1:10" hidden="1" x14ac:dyDescent="0.25">
      <c r="A381" t="s">
        <v>2883</v>
      </c>
      <c r="C381" t="s">
        <v>4064</v>
      </c>
      <c r="D381" t="s">
        <v>4104</v>
      </c>
      <c r="E381" t="s">
        <v>4127</v>
      </c>
      <c r="F381" t="s">
        <v>4126</v>
      </c>
      <c r="G381" s="9" t="s">
        <v>1876</v>
      </c>
      <c r="H381" t="s">
        <v>2352</v>
      </c>
      <c r="I381" t="s">
        <v>8</v>
      </c>
      <c r="J381" s="2">
        <v>1512</v>
      </c>
    </row>
    <row r="382" spans="1:10" hidden="1" x14ac:dyDescent="0.25">
      <c r="A382" t="s">
        <v>2884</v>
      </c>
      <c r="C382" t="s">
        <v>4064</v>
      </c>
      <c r="D382" t="s">
        <v>4104</v>
      </c>
      <c r="E382" t="s">
        <v>4127</v>
      </c>
      <c r="F382" t="s">
        <v>4126</v>
      </c>
      <c r="G382" s="9" t="s">
        <v>1877</v>
      </c>
      <c r="H382" t="s">
        <v>2352</v>
      </c>
      <c r="I382" t="s">
        <v>62</v>
      </c>
      <c r="J382" s="2">
        <v>1512</v>
      </c>
    </row>
    <row r="383" spans="1:10" hidden="1" x14ac:dyDescent="0.25">
      <c r="A383" t="s">
        <v>2885</v>
      </c>
      <c r="C383" t="s">
        <v>4064</v>
      </c>
      <c r="D383" t="s">
        <v>4104</v>
      </c>
      <c r="E383" t="s">
        <v>4127</v>
      </c>
      <c r="F383" t="s">
        <v>4126</v>
      </c>
      <c r="G383" s="9" t="s">
        <v>1878</v>
      </c>
      <c r="H383" t="s">
        <v>2352</v>
      </c>
      <c r="I383" t="s">
        <v>10</v>
      </c>
      <c r="J383" s="2">
        <v>1512</v>
      </c>
    </row>
    <row r="384" spans="1:10" hidden="1" x14ac:dyDescent="0.25">
      <c r="A384" t="s">
        <v>2886</v>
      </c>
      <c r="C384" t="s">
        <v>4064</v>
      </c>
      <c r="D384" t="s">
        <v>4104</v>
      </c>
      <c r="E384" t="s">
        <v>4127</v>
      </c>
      <c r="F384" t="s">
        <v>4126</v>
      </c>
      <c r="G384" s="9" t="s">
        <v>1881</v>
      </c>
      <c r="H384" t="s">
        <v>2353</v>
      </c>
      <c r="I384" t="s">
        <v>45</v>
      </c>
      <c r="J384" s="2">
        <v>1495</v>
      </c>
    </row>
    <row r="385" spans="1:10" hidden="1" x14ac:dyDescent="0.25">
      <c r="A385" t="s">
        <v>2887</v>
      </c>
      <c r="C385" t="s">
        <v>4064</v>
      </c>
      <c r="D385" t="s">
        <v>4104</v>
      </c>
      <c r="E385" t="s">
        <v>4127</v>
      </c>
      <c r="F385" t="s">
        <v>4126</v>
      </c>
      <c r="G385" s="9" t="s">
        <v>1882</v>
      </c>
      <c r="H385" t="s">
        <v>2353</v>
      </c>
      <c r="I385" t="s">
        <v>45</v>
      </c>
      <c r="J385" s="2">
        <v>1495</v>
      </c>
    </row>
    <row r="386" spans="1:10" hidden="1" x14ac:dyDescent="0.25">
      <c r="A386" t="s">
        <v>2888</v>
      </c>
      <c r="C386" t="s">
        <v>4064</v>
      </c>
      <c r="D386" t="s">
        <v>4104</v>
      </c>
      <c r="E386" t="s">
        <v>4127</v>
      </c>
      <c r="F386" t="s">
        <v>4126</v>
      </c>
      <c r="G386" s="9" t="s">
        <v>1883</v>
      </c>
      <c r="H386" t="s">
        <v>2353</v>
      </c>
      <c r="I386" t="s">
        <v>290</v>
      </c>
      <c r="J386" s="2">
        <v>1495</v>
      </c>
    </row>
    <row r="387" spans="1:10" hidden="1" x14ac:dyDescent="0.25">
      <c r="A387" t="s">
        <v>2889</v>
      </c>
      <c r="C387" t="s">
        <v>4064</v>
      </c>
      <c r="D387" t="s">
        <v>4104</v>
      </c>
      <c r="E387" t="s">
        <v>4127</v>
      </c>
      <c r="F387" t="s">
        <v>4126</v>
      </c>
      <c r="G387" s="9" t="s">
        <v>1884</v>
      </c>
      <c r="H387" t="s">
        <v>2353</v>
      </c>
      <c r="I387" t="s">
        <v>290</v>
      </c>
      <c r="J387" s="2">
        <v>1495</v>
      </c>
    </row>
    <row r="388" spans="1:10" hidden="1" x14ac:dyDescent="0.25">
      <c r="A388" t="s">
        <v>2890</v>
      </c>
      <c r="C388" t="s">
        <v>4064</v>
      </c>
      <c r="D388" t="s">
        <v>4104</v>
      </c>
      <c r="E388" t="s">
        <v>4127</v>
      </c>
      <c r="F388" t="s">
        <v>4126</v>
      </c>
      <c r="G388" s="9" t="s">
        <v>1889</v>
      </c>
      <c r="H388" t="s">
        <v>2354</v>
      </c>
      <c r="I388" t="s">
        <v>249</v>
      </c>
      <c r="J388" s="2">
        <v>1452</v>
      </c>
    </row>
    <row r="389" spans="1:10" hidden="1" x14ac:dyDescent="0.25">
      <c r="A389" t="s">
        <v>2891</v>
      </c>
      <c r="C389" t="s">
        <v>4064</v>
      </c>
      <c r="D389" t="s">
        <v>4104</v>
      </c>
      <c r="E389" t="s">
        <v>4127</v>
      </c>
      <c r="F389" t="s">
        <v>4126</v>
      </c>
      <c r="G389" s="9" t="s">
        <v>1890</v>
      </c>
      <c r="H389" t="s">
        <v>2354</v>
      </c>
      <c r="I389" t="s">
        <v>1205</v>
      </c>
      <c r="J389" s="2">
        <v>1452</v>
      </c>
    </row>
    <row r="390" spans="1:10" hidden="1" x14ac:dyDescent="0.25">
      <c r="A390" t="s">
        <v>2892</v>
      </c>
      <c r="C390" t="s">
        <v>4064</v>
      </c>
      <c r="D390" t="s">
        <v>4104</v>
      </c>
      <c r="E390" t="s">
        <v>4127</v>
      </c>
      <c r="F390" t="s">
        <v>4126</v>
      </c>
      <c r="G390" s="9" t="s">
        <v>1891</v>
      </c>
      <c r="H390" t="s">
        <v>2354</v>
      </c>
      <c r="I390" t="s">
        <v>1593</v>
      </c>
      <c r="J390" s="2">
        <v>1452</v>
      </c>
    </row>
    <row r="391" spans="1:10" hidden="1" x14ac:dyDescent="0.25">
      <c r="A391" t="s">
        <v>2893</v>
      </c>
      <c r="C391" t="s">
        <v>4064</v>
      </c>
      <c r="D391" t="s">
        <v>4104</v>
      </c>
      <c r="E391" t="s">
        <v>4127</v>
      </c>
      <c r="F391" t="s">
        <v>4126</v>
      </c>
      <c r="G391" s="9" t="s">
        <v>1892</v>
      </c>
      <c r="H391" t="s">
        <v>2355</v>
      </c>
      <c r="I391" t="s">
        <v>123</v>
      </c>
      <c r="J391" s="2">
        <v>1446</v>
      </c>
    </row>
    <row r="392" spans="1:10" hidden="1" x14ac:dyDescent="0.25">
      <c r="A392" t="s">
        <v>2894</v>
      </c>
      <c r="C392" t="s">
        <v>4064</v>
      </c>
      <c r="D392" t="s">
        <v>4104</v>
      </c>
      <c r="E392" t="s">
        <v>4127</v>
      </c>
      <c r="F392" t="s">
        <v>4126</v>
      </c>
      <c r="G392" s="9" t="s">
        <v>1895</v>
      </c>
      <c r="H392" t="s">
        <v>2356</v>
      </c>
      <c r="I392" t="s">
        <v>13</v>
      </c>
      <c r="J392" s="2">
        <v>1419</v>
      </c>
    </row>
    <row r="393" spans="1:10" hidden="1" x14ac:dyDescent="0.25">
      <c r="A393" t="s">
        <v>2895</v>
      </c>
      <c r="C393" t="s">
        <v>4064</v>
      </c>
      <c r="D393" t="s">
        <v>4104</v>
      </c>
      <c r="E393" t="s">
        <v>4127</v>
      </c>
      <c r="F393" t="s">
        <v>4126</v>
      </c>
      <c r="G393" s="9" t="s">
        <v>1930</v>
      </c>
      <c r="H393" t="s">
        <v>2357</v>
      </c>
      <c r="I393" t="s">
        <v>1208</v>
      </c>
      <c r="J393" s="2">
        <v>1367</v>
      </c>
    </row>
    <row r="394" spans="1:10" hidden="1" x14ac:dyDescent="0.25">
      <c r="A394" t="s">
        <v>2896</v>
      </c>
      <c r="C394" t="s">
        <v>4064</v>
      </c>
      <c r="D394" t="s">
        <v>4104</v>
      </c>
      <c r="E394" t="s">
        <v>4127</v>
      </c>
      <c r="F394" t="s">
        <v>4126</v>
      </c>
      <c r="G394" s="9" t="s">
        <v>1940</v>
      </c>
      <c r="H394" t="s">
        <v>2358</v>
      </c>
      <c r="I394" t="s">
        <v>1593</v>
      </c>
      <c r="J394" s="2">
        <v>1331</v>
      </c>
    </row>
    <row r="395" spans="1:10" hidden="1" x14ac:dyDescent="0.25">
      <c r="A395" t="s">
        <v>2897</v>
      </c>
      <c r="C395" t="s">
        <v>4064</v>
      </c>
      <c r="D395" t="s">
        <v>4104</v>
      </c>
      <c r="E395" t="s">
        <v>4127</v>
      </c>
      <c r="F395" t="s">
        <v>4126</v>
      </c>
      <c r="G395" s="9" t="s">
        <v>1941</v>
      </c>
      <c r="H395" t="s">
        <v>2358</v>
      </c>
      <c r="I395" t="s">
        <v>1393</v>
      </c>
      <c r="J395" s="2">
        <v>1331</v>
      </c>
    </row>
    <row r="396" spans="1:10" hidden="1" x14ac:dyDescent="0.25">
      <c r="A396" t="s">
        <v>2898</v>
      </c>
      <c r="C396" t="s">
        <v>4064</v>
      </c>
      <c r="D396" t="s">
        <v>4104</v>
      </c>
      <c r="E396" t="s">
        <v>4127</v>
      </c>
      <c r="F396" t="s">
        <v>4126</v>
      </c>
      <c r="G396" s="9" t="s">
        <v>1944</v>
      </c>
      <c r="H396" t="s">
        <v>2359</v>
      </c>
      <c r="I396" t="s">
        <v>13</v>
      </c>
      <c r="J396" s="2">
        <v>1330</v>
      </c>
    </row>
    <row r="397" spans="1:10" hidden="1" x14ac:dyDescent="0.25">
      <c r="A397" t="s">
        <v>2899</v>
      </c>
      <c r="C397" t="s">
        <v>4064</v>
      </c>
      <c r="D397" t="s">
        <v>4104</v>
      </c>
      <c r="E397" t="s">
        <v>4127</v>
      </c>
      <c r="F397" t="s">
        <v>4126</v>
      </c>
      <c r="G397" s="9" t="s">
        <v>1945</v>
      </c>
      <c r="H397" t="s">
        <v>2359</v>
      </c>
      <c r="I397" t="s">
        <v>73</v>
      </c>
      <c r="J397" s="2">
        <v>1330</v>
      </c>
    </row>
    <row r="398" spans="1:10" hidden="1" x14ac:dyDescent="0.25">
      <c r="A398" t="s">
        <v>2900</v>
      </c>
      <c r="C398" t="s">
        <v>4064</v>
      </c>
      <c r="D398" t="s">
        <v>4104</v>
      </c>
      <c r="E398" t="s">
        <v>4127</v>
      </c>
      <c r="F398" t="s">
        <v>4126</v>
      </c>
      <c r="G398" s="9" t="s">
        <v>1946</v>
      </c>
      <c r="H398" t="s">
        <v>2359</v>
      </c>
      <c r="I398" t="s">
        <v>62</v>
      </c>
      <c r="J398" s="2">
        <v>1330</v>
      </c>
    </row>
    <row r="399" spans="1:10" hidden="1" x14ac:dyDescent="0.25">
      <c r="A399" t="s">
        <v>2901</v>
      </c>
      <c r="C399" t="s">
        <v>4064</v>
      </c>
      <c r="D399" t="s">
        <v>4104</v>
      </c>
      <c r="E399" t="s">
        <v>4127</v>
      </c>
      <c r="F399" t="s">
        <v>4126</v>
      </c>
      <c r="G399" s="9" t="s">
        <v>1949</v>
      </c>
      <c r="H399" t="s">
        <v>2360</v>
      </c>
      <c r="I399" t="s">
        <v>45</v>
      </c>
      <c r="J399" s="2">
        <v>1321</v>
      </c>
    </row>
    <row r="400" spans="1:10" hidden="1" x14ac:dyDescent="0.25">
      <c r="A400" t="s">
        <v>2902</v>
      </c>
      <c r="C400" t="s">
        <v>4064</v>
      </c>
      <c r="D400" t="s">
        <v>4104</v>
      </c>
      <c r="E400" t="s">
        <v>4127</v>
      </c>
      <c r="F400" t="s">
        <v>4126</v>
      </c>
      <c r="G400" s="9" t="s">
        <v>1950</v>
      </c>
      <c r="H400" t="s">
        <v>2360</v>
      </c>
      <c r="I400" t="s">
        <v>47</v>
      </c>
      <c r="J400" s="2">
        <v>1321</v>
      </c>
    </row>
    <row r="401" spans="1:10" hidden="1" x14ac:dyDescent="0.25">
      <c r="A401" t="s">
        <v>2903</v>
      </c>
      <c r="C401" t="s">
        <v>4064</v>
      </c>
      <c r="D401" t="s">
        <v>4104</v>
      </c>
      <c r="E401" t="s">
        <v>4127</v>
      </c>
      <c r="F401" t="s">
        <v>4126</v>
      </c>
      <c r="G401" s="9" t="s">
        <v>1951</v>
      </c>
      <c r="H401" t="s">
        <v>2360</v>
      </c>
      <c r="I401" t="s">
        <v>37</v>
      </c>
      <c r="J401" s="2">
        <v>1321</v>
      </c>
    </row>
    <row r="402" spans="1:10" hidden="1" x14ac:dyDescent="0.25">
      <c r="A402" t="s">
        <v>2904</v>
      </c>
      <c r="C402" t="s">
        <v>4064</v>
      </c>
      <c r="D402" t="s">
        <v>4104</v>
      </c>
      <c r="E402" t="s">
        <v>4127</v>
      </c>
      <c r="F402" t="s">
        <v>4126</v>
      </c>
      <c r="G402" s="9" t="s">
        <v>1952</v>
      </c>
      <c r="H402" t="s">
        <v>2360</v>
      </c>
      <c r="I402" t="s">
        <v>49</v>
      </c>
      <c r="J402" s="2">
        <v>1321</v>
      </c>
    </row>
    <row r="403" spans="1:10" hidden="1" x14ac:dyDescent="0.25">
      <c r="A403" t="s">
        <v>2905</v>
      </c>
      <c r="C403" t="s">
        <v>4064</v>
      </c>
      <c r="D403" t="s">
        <v>4104</v>
      </c>
      <c r="E403" t="s">
        <v>4127</v>
      </c>
      <c r="F403" t="s">
        <v>4126</v>
      </c>
      <c r="G403" s="9" t="s">
        <v>1953</v>
      </c>
      <c r="H403" t="s">
        <v>2360</v>
      </c>
      <c r="I403" t="s">
        <v>49</v>
      </c>
      <c r="J403" s="2">
        <v>1321</v>
      </c>
    </row>
    <row r="404" spans="1:10" hidden="1" x14ac:dyDescent="0.25">
      <c r="A404" t="s">
        <v>2906</v>
      </c>
      <c r="C404" t="s">
        <v>4064</v>
      </c>
      <c r="D404" t="s">
        <v>4104</v>
      </c>
      <c r="E404" t="s">
        <v>4127</v>
      </c>
      <c r="F404" t="s">
        <v>4126</v>
      </c>
      <c r="G404" s="9" t="s">
        <v>1958</v>
      </c>
      <c r="H404" t="s">
        <v>2361</v>
      </c>
      <c r="I404" t="s">
        <v>47</v>
      </c>
      <c r="J404" s="2">
        <v>1315</v>
      </c>
    </row>
    <row r="405" spans="1:10" hidden="1" x14ac:dyDescent="0.25">
      <c r="A405" t="s">
        <v>2907</v>
      </c>
      <c r="C405" t="s">
        <v>4064</v>
      </c>
      <c r="D405" t="s">
        <v>4104</v>
      </c>
      <c r="E405" t="s">
        <v>4127</v>
      </c>
      <c r="F405" t="s">
        <v>4126</v>
      </c>
      <c r="G405" s="9" t="s">
        <v>1959</v>
      </c>
      <c r="H405" t="s">
        <v>2361</v>
      </c>
      <c r="I405" t="s">
        <v>8</v>
      </c>
      <c r="J405" s="2">
        <v>1315</v>
      </c>
    </row>
    <row r="406" spans="1:10" hidden="1" x14ac:dyDescent="0.25">
      <c r="A406" t="s">
        <v>2908</v>
      </c>
      <c r="C406" t="s">
        <v>4064</v>
      </c>
      <c r="D406" t="s">
        <v>4104</v>
      </c>
      <c r="E406" t="s">
        <v>4127</v>
      </c>
      <c r="F406" t="s">
        <v>4126</v>
      </c>
      <c r="G406" s="9" t="s">
        <v>1960</v>
      </c>
      <c r="H406" t="s">
        <v>2362</v>
      </c>
      <c r="I406" t="s">
        <v>1205</v>
      </c>
      <c r="J406" s="2">
        <v>1315</v>
      </c>
    </row>
    <row r="407" spans="1:10" hidden="1" x14ac:dyDescent="0.25">
      <c r="A407" t="s">
        <v>2909</v>
      </c>
      <c r="C407" t="s">
        <v>4064</v>
      </c>
      <c r="D407" t="s">
        <v>4104</v>
      </c>
      <c r="E407" t="s">
        <v>4127</v>
      </c>
      <c r="F407" t="s">
        <v>4126</v>
      </c>
      <c r="G407" s="9" t="s">
        <v>1961</v>
      </c>
      <c r="H407" t="s">
        <v>2362</v>
      </c>
      <c r="I407" t="s">
        <v>1593</v>
      </c>
      <c r="J407" s="2">
        <v>1315</v>
      </c>
    </row>
    <row r="408" spans="1:10" hidden="1" x14ac:dyDescent="0.25">
      <c r="A408" t="s">
        <v>2910</v>
      </c>
      <c r="C408" t="s">
        <v>4064</v>
      </c>
      <c r="D408" t="s">
        <v>4104</v>
      </c>
      <c r="E408" t="s">
        <v>4127</v>
      </c>
      <c r="F408" t="s">
        <v>4126</v>
      </c>
      <c r="G408" s="9" t="s">
        <v>1962</v>
      </c>
      <c r="H408" t="s">
        <v>2362</v>
      </c>
      <c r="I408" t="s">
        <v>1393</v>
      </c>
      <c r="J408" s="2">
        <v>1315</v>
      </c>
    </row>
    <row r="409" spans="1:10" hidden="1" x14ac:dyDescent="0.25">
      <c r="A409" t="s">
        <v>2911</v>
      </c>
      <c r="C409" t="s">
        <v>4064</v>
      </c>
      <c r="D409" t="s">
        <v>4104</v>
      </c>
      <c r="E409" t="s">
        <v>4127</v>
      </c>
      <c r="F409" t="s">
        <v>4126</v>
      </c>
      <c r="G409" s="9" t="s">
        <v>1963</v>
      </c>
      <c r="H409" t="s">
        <v>2363</v>
      </c>
      <c r="I409" t="s">
        <v>45</v>
      </c>
      <c r="J409" s="2">
        <v>1311</v>
      </c>
    </row>
    <row r="410" spans="1:10" hidden="1" x14ac:dyDescent="0.25">
      <c r="A410" t="s">
        <v>2912</v>
      </c>
      <c r="C410" t="s">
        <v>4064</v>
      </c>
      <c r="D410" t="s">
        <v>4104</v>
      </c>
      <c r="E410" t="s">
        <v>4127</v>
      </c>
      <c r="F410" t="s">
        <v>4126</v>
      </c>
      <c r="G410" s="9" t="s">
        <v>1964</v>
      </c>
      <c r="H410" t="s">
        <v>2363</v>
      </c>
      <c r="I410" t="s">
        <v>47</v>
      </c>
      <c r="J410" s="2">
        <v>1311</v>
      </c>
    </row>
    <row r="411" spans="1:10" hidden="1" x14ac:dyDescent="0.25">
      <c r="A411" t="s">
        <v>2913</v>
      </c>
      <c r="C411" t="s">
        <v>4064</v>
      </c>
      <c r="D411" t="s">
        <v>4104</v>
      </c>
      <c r="E411" t="s">
        <v>4127</v>
      </c>
      <c r="F411" t="s">
        <v>4126</v>
      </c>
      <c r="G411" s="9" t="s">
        <v>1965</v>
      </c>
      <c r="H411" t="s">
        <v>2363</v>
      </c>
      <c r="I411" t="s">
        <v>64</v>
      </c>
      <c r="J411" s="2">
        <v>1311</v>
      </c>
    </row>
    <row r="412" spans="1:10" hidden="1" x14ac:dyDescent="0.25">
      <c r="A412" t="s">
        <v>2914</v>
      </c>
      <c r="C412" t="s">
        <v>4064</v>
      </c>
      <c r="D412" t="s">
        <v>4104</v>
      </c>
      <c r="E412" t="s">
        <v>4127</v>
      </c>
      <c r="F412" t="s">
        <v>4126</v>
      </c>
      <c r="G412" s="9" t="s">
        <v>1966</v>
      </c>
      <c r="H412" t="s">
        <v>2363</v>
      </c>
      <c r="I412" t="s">
        <v>73</v>
      </c>
      <c r="J412" s="2">
        <v>1311</v>
      </c>
    </row>
    <row r="413" spans="1:10" hidden="1" x14ac:dyDescent="0.25">
      <c r="A413" t="s">
        <v>2915</v>
      </c>
      <c r="C413" t="s">
        <v>4064</v>
      </c>
      <c r="D413" t="s">
        <v>4104</v>
      </c>
      <c r="E413" t="s">
        <v>4127</v>
      </c>
      <c r="F413" t="s">
        <v>4126</v>
      </c>
      <c r="G413" s="9" t="s">
        <v>1967</v>
      </c>
      <c r="H413" t="s">
        <v>2363</v>
      </c>
      <c r="I413" t="s">
        <v>73</v>
      </c>
      <c r="J413" s="2">
        <v>1311</v>
      </c>
    </row>
    <row r="414" spans="1:10" hidden="1" x14ac:dyDescent="0.25">
      <c r="A414" t="s">
        <v>2916</v>
      </c>
      <c r="C414" t="s">
        <v>4064</v>
      </c>
      <c r="D414" t="s">
        <v>4104</v>
      </c>
      <c r="E414" t="s">
        <v>4127</v>
      </c>
      <c r="F414" t="s">
        <v>4126</v>
      </c>
      <c r="G414" s="9" t="s">
        <v>1968</v>
      </c>
      <c r="H414" t="s">
        <v>2363</v>
      </c>
      <c r="I414" t="s">
        <v>1351</v>
      </c>
      <c r="J414" s="2">
        <v>1311</v>
      </c>
    </row>
    <row r="415" spans="1:10" hidden="1" x14ac:dyDescent="0.25">
      <c r="A415" t="s">
        <v>2917</v>
      </c>
      <c r="C415" t="s">
        <v>4064</v>
      </c>
      <c r="D415" t="s">
        <v>4104</v>
      </c>
      <c r="E415" t="s">
        <v>4127</v>
      </c>
      <c r="F415" t="s">
        <v>4126</v>
      </c>
      <c r="G415" s="9" t="s">
        <v>1972</v>
      </c>
      <c r="H415" t="s">
        <v>2364</v>
      </c>
      <c r="I415" t="s">
        <v>47</v>
      </c>
      <c r="J415" s="2">
        <v>1309</v>
      </c>
    </row>
    <row r="416" spans="1:10" hidden="1" x14ac:dyDescent="0.25">
      <c r="A416" t="s">
        <v>2918</v>
      </c>
      <c r="C416" t="s">
        <v>4064</v>
      </c>
      <c r="D416" t="s">
        <v>4104</v>
      </c>
      <c r="E416" t="s">
        <v>4127</v>
      </c>
      <c r="F416" t="s">
        <v>4126</v>
      </c>
      <c r="G416" s="9" t="s">
        <v>1973</v>
      </c>
      <c r="H416" t="s">
        <v>2364</v>
      </c>
      <c r="I416" t="s">
        <v>49</v>
      </c>
      <c r="J416" s="2">
        <v>1309</v>
      </c>
    </row>
    <row r="417" spans="1:10" hidden="1" x14ac:dyDescent="0.25">
      <c r="A417" t="s">
        <v>2919</v>
      </c>
      <c r="C417" t="s">
        <v>4064</v>
      </c>
      <c r="D417" t="s">
        <v>4104</v>
      </c>
      <c r="E417" t="s">
        <v>4127</v>
      </c>
      <c r="F417" t="s">
        <v>4126</v>
      </c>
      <c r="G417" s="9" t="s">
        <v>1974</v>
      </c>
      <c r="H417" t="s">
        <v>2364</v>
      </c>
      <c r="I417" t="s">
        <v>49</v>
      </c>
      <c r="J417" s="2">
        <v>1309</v>
      </c>
    </row>
    <row r="418" spans="1:10" hidden="1" x14ac:dyDescent="0.25">
      <c r="A418" t="s">
        <v>2920</v>
      </c>
      <c r="C418" t="s">
        <v>4064</v>
      </c>
      <c r="D418" t="s">
        <v>4104</v>
      </c>
      <c r="E418" t="s">
        <v>4127</v>
      </c>
      <c r="F418" t="s">
        <v>4126</v>
      </c>
      <c r="G418" s="9" t="s">
        <v>1985</v>
      </c>
      <c r="H418" t="s">
        <v>2365</v>
      </c>
      <c r="I418" t="s">
        <v>47</v>
      </c>
      <c r="J418" s="2">
        <v>1290</v>
      </c>
    </row>
    <row r="419" spans="1:10" hidden="1" x14ac:dyDescent="0.25">
      <c r="A419" t="s">
        <v>2921</v>
      </c>
      <c r="C419" t="s">
        <v>4064</v>
      </c>
      <c r="D419" t="s">
        <v>4104</v>
      </c>
      <c r="E419" t="s">
        <v>4127</v>
      </c>
      <c r="F419" t="s">
        <v>4126</v>
      </c>
      <c r="G419" s="9" t="s">
        <v>1986</v>
      </c>
      <c r="H419" t="s">
        <v>2365</v>
      </c>
      <c r="I419" t="s">
        <v>47</v>
      </c>
      <c r="J419" s="2">
        <v>1290</v>
      </c>
    </row>
    <row r="420" spans="1:10" hidden="1" x14ac:dyDescent="0.25">
      <c r="A420" t="s">
        <v>2922</v>
      </c>
      <c r="C420" t="s">
        <v>4064</v>
      </c>
      <c r="D420" t="s">
        <v>4104</v>
      </c>
      <c r="E420" t="s">
        <v>4127</v>
      </c>
      <c r="F420" t="s">
        <v>4126</v>
      </c>
      <c r="G420" s="9" t="s">
        <v>1993</v>
      </c>
      <c r="H420" t="s">
        <v>2366</v>
      </c>
      <c r="I420" t="s">
        <v>47</v>
      </c>
      <c r="J420" s="2">
        <v>1274</v>
      </c>
    </row>
    <row r="421" spans="1:10" hidden="1" x14ac:dyDescent="0.25">
      <c r="A421" t="s">
        <v>2923</v>
      </c>
      <c r="C421" t="s">
        <v>4064</v>
      </c>
      <c r="D421" t="s">
        <v>4104</v>
      </c>
      <c r="E421" t="s">
        <v>4127</v>
      </c>
      <c r="F421" t="s">
        <v>4126</v>
      </c>
      <c r="G421" s="9" t="s">
        <v>1994</v>
      </c>
      <c r="H421" t="s">
        <v>2366</v>
      </c>
      <c r="I421" t="s">
        <v>47</v>
      </c>
      <c r="J421" s="2">
        <v>1274</v>
      </c>
    </row>
    <row r="422" spans="1:10" hidden="1" x14ac:dyDescent="0.25">
      <c r="A422" t="s">
        <v>2924</v>
      </c>
      <c r="C422" t="s">
        <v>4064</v>
      </c>
      <c r="D422" t="s">
        <v>4104</v>
      </c>
      <c r="E422" t="s">
        <v>4127</v>
      </c>
      <c r="F422" t="s">
        <v>4126</v>
      </c>
      <c r="G422" s="9" t="s">
        <v>1995</v>
      </c>
      <c r="H422" t="s">
        <v>2366</v>
      </c>
      <c r="I422" t="s">
        <v>37</v>
      </c>
      <c r="J422" s="2">
        <v>1274</v>
      </c>
    </row>
    <row r="423" spans="1:10" hidden="1" x14ac:dyDescent="0.25">
      <c r="A423" t="s">
        <v>2925</v>
      </c>
      <c r="C423" t="s">
        <v>4064</v>
      </c>
      <c r="D423" t="s">
        <v>4104</v>
      </c>
      <c r="E423" t="s">
        <v>4127</v>
      </c>
      <c r="F423" t="s">
        <v>4126</v>
      </c>
      <c r="G423" s="9" t="s">
        <v>1996</v>
      </c>
      <c r="H423" t="s">
        <v>2366</v>
      </c>
      <c r="I423" t="s">
        <v>62</v>
      </c>
      <c r="J423" s="2">
        <v>1274</v>
      </c>
    </row>
    <row r="424" spans="1:10" hidden="1" x14ac:dyDescent="0.25">
      <c r="A424" t="s">
        <v>2926</v>
      </c>
      <c r="C424" t="s">
        <v>4064</v>
      </c>
      <c r="D424" t="s">
        <v>4104</v>
      </c>
      <c r="E424" t="s">
        <v>4127</v>
      </c>
      <c r="F424" t="s">
        <v>4126</v>
      </c>
      <c r="G424" s="9" t="s">
        <v>2002</v>
      </c>
      <c r="H424" t="s">
        <v>2367</v>
      </c>
      <c r="I424" t="s">
        <v>45</v>
      </c>
      <c r="J424" s="2">
        <v>1250</v>
      </c>
    </row>
    <row r="425" spans="1:10" hidden="1" x14ac:dyDescent="0.25">
      <c r="A425" t="s">
        <v>2927</v>
      </c>
      <c r="C425" t="s">
        <v>4064</v>
      </c>
      <c r="D425" t="s">
        <v>4104</v>
      </c>
      <c r="E425" t="s">
        <v>4127</v>
      </c>
      <c r="F425" t="s">
        <v>4126</v>
      </c>
      <c r="G425" s="9" t="s">
        <v>2003</v>
      </c>
      <c r="H425" t="s">
        <v>2368</v>
      </c>
      <c r="I425" t="s">
        <v>8</v>
      </c>
      <c r="J425" s="2">
        <v>1233</v>
      </c>
    </row>
    <row r="426" spans="1:10" hidden="1" x14ac:dyDescent="0.25">
      <c r="A426" t="s">
        <v>2928</v>
      </c>
      <c r="C426" t="s">
        <v>4064</v>
      </c>
      <c r="D426" t="s">
        <v>4104</v>
      </c>
      <c r="E426" t="s">
        <v>4127</v>
      </c>
      <c r="F426" t="s">
        <v>4126</v>
      </c>
      <c r="G426" s="9" t="s">
        <v>2004</v>
      </c>
      <c r="H426" t="s">
        <v>2369</v>
      </c>
      <c r="I426" t="s">
        <v>176</v>
      </c>
      <c r="J426" s="2">
        <v>1221</v>
      </c>
    </row>
    <row r="427" spans="1:10" hidden="1" x14ac:dyDescent="0.25">
      <c r="A427" t="s">
        <v>2929</v>
      </c>
      <c r="C427" t="s">
        <v>4064</v>
      </c>
      <c r="D427" t="s">
        <v>4104</v>
      </c>
      <c r="E427" t="s">
        <v>4127</v>
      </c>
      <c r="F427" t="s">
        <v>4126</v>
      </c>
      <c r="G427" s="9" t="s">
        <v>2005</v>
      </c>
      <c r="H427" t="s">
        <v>2369</v>
      </c>
      <c r="I427" t="s">
        <v>45</v>
      </c>
      <c r="J427" s="2">
        <v>1221</v>
      </c>
    </row>
    <row r="428" spans="1:10" hidden="1" x14ac:dyDescent="0.25">
      <c r="A428" t="s">
        <v>2930</v>
      </c>
      <c r="C428" t="s">
        <v>4064</v>
      </c>
      <c r="D428" t="s">
        <v>4104</v>
      </c>
      <c r="E428" t="s">
        <v>4127</v>
      </c>
      <c r="F428" t="s">
        <v>4126</v>
      </c>
      <c r="G428" s="9" t="s">
        <v>2006</v>
      </c>
      <c r="H428" t="s">
        <v>2369</v>
      </c>
      <c r="I428" t="s">
        <v>45</v>
      </c>
      <c r="J428" s="2">
        <v>1221</v>
      </c>
    </row>
    <row r="429" spans="1:10" hidden="1" x14ac:dyDescent="0.25">
      <c r="A429" t="s">
        <v>2931</v>
      </c>
      <c r="C429" t="s">
        <v>4064</v>
      </c>
      <c r="D429" t="s">
        <v>4104</v>
      </c>
      <c r="E429" t="s">
        <v>4127</v>
      </c>
      <c r="F429" t="s">
        <v>4126</v>
      </c>
      <c r="G429" s="9" t="s">
        <v>2007</v>
      </c>
      <c r="H429" t="s">
        <v>2369</v>
      </c>
      <c r="I429" t="s">
        <v>290</v>
      </c>
      <c r="J429" s="2">
        <v>1221</v>
      </c>
    </row>
    <row r="430" spans="1:10" hidden="1" x14ac:dyDescent="0.25">
      <c r="A430" t="s">
        <v>2932</v>
      </c>
      <c r="C430" t="s">
        <v>4064</v>
      </c>
      <c r="D430" t="s">
        <v>4104</v>
      </c>
      <c r="E430" t="s">
        <v>4127</v>
      </c>
      <c r="F430" t="s">
        <v>4126</v>
      </c>
      <c r="G430" s="9" t="s">
        <v>2008</v>
      </c>
      <c r="H430" t="s">
        <v>2369</v>
      </c>
      <c r="I430" t="s">
        <v>123</v>
      </c>
      <c r="J430" s="2">
        <v>1221</v>
      </c>
    </row>
    <row r="431" spans="1:10" hidden="1" x14ac:dyDescent="0.25">
      <c r="A431" t="s">
        <v>2933</v>
      </c>
      <c r="C431" t="s">
        <v>4064</v>
      </c>
      <c r="D431" t="s">
        <v>4104</v>
      </c>
      <c r="E431" t="s">
        <v>4127</v>
      </c>
      <c r="F431" t="s">
        <v>4126</v>
      </c>
      <c r="G431" s="9" t="s">
        <v>2009</v>
      </c>
      <c r="H431" t="s">
        <v>2369</v>
      </c>
      <c r="I431" t="s">
        <v>123</v>
      </c>
      <c r="J431" s="2">
        <v>1221</v>
      </c>
    </row>
    <row r="432" spans="1:10" hidden="1" x14ac:dyDescent="0.25">
      <c r="A432" t="s">
        <v>2934</v>
      </c>
      <c r="C432" t="s">
        <v>4064</v>
      </c>
      <c r="D432" t="s">
        <v>4104</v>
      </c>
      <c r="E432" t="s">
        <v>4127</v>
      </c>
      <c r="F432" t="s">
        <v>4126</v>
      </c>
      <c r="G432" s="9" t="s">
        <v>2020</v>
      </c>
      <c r="H432" t="s">
        <v>2370</v>
      </c>
      <c r="I432" t="s">
        <v>64</v>
      </c>
      <c r="J432" s="2">
        <v>1195</v>
      </c>
    </row>
    <row r="433" spans="1:10" hidden="1" x14ac:dyDescent="0.25">
      <c r="A433" t="s">
        <v>2935</v>
      </c>
      <c r="C433" t="s">
        <v>4064</v>
      </c>
      <c r="D433" t="s">
        <v>4104</v>
      </c>
      <c r="E433" t="s">
        <v>4127</v>
      </c>
      <c r="F433" t="s">
        <v>4126</v>
      </c>
      <c r="G433" s="9" t="s">
        <v>2021</v>
      </c>
      <c r="H433" t="s">
        <v>2370</v>
      </c>
      <c r="I433" t="s">
        <v>49</v>
      </c>
      <c r="J433" s="2">
        <v>1195</v>
      </c>
    </row>
    <row r="434" spans="1:10" hidden="1" x14ac:dyDescent="0.25">
      <c r="A434" t="s">
        <v>2936</v>
      </c>
      <c r="C434" t="s">
        <v>4064</v>
      </c>
      <c r="D434" t="s">
        <v>4104</v>
      </c>
      <c r="E434" t="s">
        <v>4127</v>
      </c>
      <c r="F434" t="s">
        <v>4126</v>
      </c>
      <c r="G434" s="9" t="s">
        <v>2022</v>
      </c>
      <c r="H434" t="s">
        <v>2371</v>
      </c>
      <c r="I434" t="s">
        <v>45</v>
      </c>
      <c r="J434" s="2">
        <v>1190</v>
      </c>
    </row>
    <row r="435" spans="1:10" hidden="1" x14ac:dyDescent="0.25">
      <c r="A435" t="s">
        <v>2937</v>
      </c>
      <c r="C435" t="s">
        <v>4064</v>
      </c>
      <c r="D435" t="s">
        <v>4104</v>
      </c>
      <c r="E435" t="s">
        <v>4127</v>
      </c>
      <c r="F435" t="s">
        <v>4126</v>
      </c>
      <c r="G435" s="9" t="s">
        <v>2023</v>
      </c>
      <c r="H435" t="s">
        <v>2371</v>
      </c>
      <c r="I435" t="s">
        <v>45</v>
      </c>
      <c r="J435" s="2">
        <v>1190</v>
      </c>
    </row>
    <row r="436" spans="1:10" hidden="1" x14ac:dyDescent="0.25">
      <c r="A436" t="s">
        <v>2938</v>
      </c>
      <c r="C436" t="s">
        <v>4064</v>
      </c>
      <c r="D436" t="s">
        <v>4104</v>
      </c>
      <c r="E436" t="s">
        <v>4127</v>
      </c>
      <c r="F436" t="s">
        <v>4126</v>
      </c>
      <c r="G436" s="9" t="s">
        <v>2024</v>
      </c>
      <c r="H436" t="s">
        <v>2371</v>
      </c>
      <c r="I436" t="s">
        <v>45</v>
      </c>
      <c r="J436" s="2">
        <v>1190</v>
      </c>
    </row>
    <row r="437" spans="1:10" hidden="1" x14ac:dyDescent="0.25">
      <c r="A437" t="s">
        <v>2939</v>
      </c>
      <c r="C437" t="s">
        <v>4064</v>
      </c>
      <c r="D437" t="s">
        <v>4104</v>
      </c>
      <c r="E437" t="s">
        <v>4127</v>
      </c>
      <c r="F437" t="s">
        <v>4126</v>
      </c>
      <c r="G437" s="9" t="s">
        <v>2025</v>
      </c>
      <c r="H437" t="s">
        <v>2372</v>
      </c>
      <c r="I437" t="s">
        <v>49</v>
      </c>
      <c r="J437" s="2">
        <v>1189</v>
      </c>
    </row>
    <row r="438" spans="1:10" hidden="1" x14ac:dyDescent="0.25">
      <c r="A438" t="s">
        <v>2940</v>
      </c>
      <c r="C438" t="s">
        <v>4064</v>
      </c>
      <c r="D438" t="s">
        <v>4104</v>
      </c>
      <c r="E438" t="s">
        <v>4127</v>
      </c>
      <c r="F438" t="s">
        <v>4126</v>
      </c>
      <c r="G438" s="9" t="s">
        <v>2040</v>
      </c>
      <c r="H438" t="s">
        <v>2373</v>
      </c>
      <c r="I438" t="s">
        <v>1351</v>
      </c>
      <c r="J438" s="2">
        <v>1155</v>
      </c>
    </row>
    <row r="439" spans="1:10" hidden="1" x14ac:dyDescent="0.25">
      <c r="A439" t="s">
        <v>2941</v>
      </c>
      <c r="C439" t="s">
        <v>4064</v>
      </c>
      <c r="D439" t="s">
        <v>4104</v>
      </c>
      <c r="E439" t="s">
        <v>4127</v>
      </c>
      <c r="F439" t="s">
        <v>4126</v>
      </c>
      <c r="G439" s="9" t="s">
        <v>2047</v>
      </c>
      <c r="H439" t="s">
        <v>2374</v>
      </c>
      <c r="I439" t="s">
        <v>8</v>
      </c>
      <c r="J439" s="2">
        <v>1123</v>
      </c>
    </row>
    <row r="440" spans="1:10" hidden="1" x14ac:dyDescent="0.25">
      <c r="A440" t="s">
        <v>2942</v>
      </c>
      <c r="C440" t="s">
        <v>4064</v>
      </c>
      <c r="D440" t="s">
        <v>4104</v>
      </c>
      <c r="E440" t="s">
        <v>4127</v>
      </c>
      <c r="F440" t="s">
        <v>4126</v>
      </c>
      <c r="G440" s="9" t="s">
        <v>2048</v>
      </c>
      <c r="H440" t="s">
        <v>2374</v>
      </c>
      <c r="I440" t="s">
        <v>8</v>
      </c>
      <c r="J440" s="2">
        <v>1123</v>
      </c>
    </row>
    <row r="441" spans="1:10" hidden="1" x14ac:dyDescent="0.25">
      <c r="A441" t="s">
        <v>2943</v>
      </c>
      <c r="C441" t="s">
        <v>4064</v>
      </c>
      <c r="D441" t="s">
        <v>4104</v>
      </c>
      <c r="E441" t="s">
        <v>4127</v>
      </c>
      <c r="F441" t="s">
        <v>4126</v>
      </c>
      <c r="G441" s="9" t="s">
        <v>2064</v>
      </c>
      <c r="H441" t="s">
        <v>2375</v>
      </c>
      <c r="I441" t="s">
        <v>45</v>
      </c>
      <c r="J441" s="2">
        <v>1103</v>
      </c>
    </row>
    <row r="442" spans="1:10" hidden="1" x14ac:dyDescent="0.25">
      <c r="A442" t="s">
        <v>2944</v>
      </c>
      <c r="C442" t="s">
        <v>4064</v>
      </c>
      <c r="D442" t="s">
        <v>4104</v>
      </c>
      <c r="E442" t="s">
        <v>4127</v>
      </c>
      <c r="F442" t="s">
        <v>4126</v>
      </c>
      <c r="G442" s="9" t="s">
        <v>2080</v>
      </c>
      <c r="H442" t="s">
        <v>2376</v>
      </c>
      <c r="I442" t="s">
        <v>37</v>
      </c>
      <c r="J442" s="2">
        <v>1071</v>
      </c>
    </row>
    <row r="443" spans="1:10" hidden="1" x14ac:dyDescent="0.25">
      <c r="A443" t="s">
        <v>2945</v>
      </c>
      <c r="C443" t="s">
        <v>4064</v>
      </c>
      <c r="D443" t="s">
        <v>4104</v>
      </c>
      <c r="E443" t="s">
        <v>4127</v>
      </c>
      <c r="F443" t="s">
        <v>4126</v>
      </c>
      <c r="G443" s="9" t="s">
        <v>2089</v>
      </c>
      <c r="H443" t="s">
        <v>2377</v>
      </c>
      <c r="I443" t="s">
        <v>176</v>
      </c>
      <c r="J443" s="2">
        <v>1055</v>
      </c>
    </row>
    <row r="444" spans="1:10" hidden="1" x14ac:dyDescent="0.25">
      <c r="A444" t="s">
        <v>2946</v>
      </c>
      <c r="C444" t="s">
        <v>4064</v>
      </c>
      <c r="D444" t="s">
        <v>4104</v>
      </c>
      <c r="E444" t="s">
        <v>4127</v>
      </c>
      <c r="F444" t="s">
        <v>4126</v>
      </c>
      <c r="G444" s="9" t="s">
        <v>2093</v>
      </c>
      <c r="H444" t="s">
        <v>2378</v>
      </c>
      <c r="I444" t="s">
        <v>49</v>
      </c>
      <c r="J444" s="2">
        <v>1046</v>
      </c>
    </row>
    <row r="445" spans="1:10" hidden="1" x14ac:dyDescent="0.25">
      <c r="A445" t="s">
        <v>2947</v>
      </c>
      <c r="C445" t="s">
        <v>4064</v>
      </c>
      <c r="D445" t="s">
        <v>4104</v>
      </c>
      <c r="E445" t="s">
        <v>4127</v>
      </c>
      <c r="F445" t="s">
        <v>4126</v>
      </c>
      <c r="G445" s="9" t="s">
        <v>2094</v>
      </c>
      <c r="H445" t="s">
        <v>2378</v>
      </c>
      <c r="I445" t="s">
        <v>62</v>
      </c>
      <c r="J445" s="2">
        <v>1046</v>
      </c>
    </row>
    <row r="446" spans="1:10" hidden="1" x14ac:dyDescent="0.25">
      <c r="A446" t="s">
        <v>2948</v>
      </c>
      <c r="C446" t="s">
        <v>4064</v>
      </c>
      <c r="D446" t="s">
        <v>4104</v>
      </c>
      <c r="E446" t="s">
        <v>4127</v>
      </c>
      <c r="F446" t="s">
        <v>4126</v>
      </c>
      <c r="G446" s="9" t="s">
        <v>2098</v>
      </c>
      <c r="H446" t="s">
        <v>2097</v>
      </c>
      <c r="I446" t="s">
        <v>8</v>
      </c>
      <c r="J446" s="2">
        <v>1031</v>
      </c>
    </row>
    <row r="447" spans="1:10" hidden="1" x14ac:dyDescent="0.25">
      <c r="A447" t="s">
        <v>2949</v>
      </c>
      <c r="C447" t="s">
        <v>4064</v>
      </c>
      <c r="D447" t="s">
        <v>4104</v>
      </c>
      <c r="E447" t="s">
        <v>4127</v>
      </c>
      <c r="F447" t="s">
        <v>4126</v>
      </c>
      <c r="G447" s="9" t="s">
        <v>2099</v>
      </c>
      <c r="H447" t="s">
        <v>2379</v>
      </c>
      <c r="I447" t="s">
        <v>13</v>
      </c>
      <c r="J447" s="2">
        <v>1030</v>
      </c>
    </row>
    <row r="448" spans="1:10" hidden="1" x14ac:dyDescent="0.25">
      <c r="A448" t="s">
        <v>2950</v>
      </c>
      <c r="C448" t="s">
        <v>4064</v>
      </c>
      <c r="D448" t="s">
        <v>4104</v>
      </c>
      <c r="E448" t="s">
        <v>4127</v>
      </c>
      <c r="F448" t="s">
        <v>4126</v>
      </c>
      <c r="G448" s="9" t="s">
        <v>2100</v>
      </c>
      <c r="H448" t="s">
        <v>2379</v>
      </c>
      <c r="I448" t="s">
        <v>47</v>
      </c>
      <c r="J448" s="2">
        <v>1030</v>
      </c>
    </row>
    <row r="449" spans="1:10" hidden="1" x14ac:dyDescent="0.25">
      <c r="A449" t="s">
        <v>2951</v>
      </c>
      <c r="C449" t="s">
        <v>4064</v>
      </c>
      <c r="D449" t="s">
        <v>4104</v>
      </c>
      <c r="E449" t="s">
        <v>4127</v>
      </c>
      <c r="F449" t="s">
        <v>4126</v>
      </c>
      <c r="G449" s="9" t="s">
        <v>2101</v>
      </c>
      <c r="H449" t="s">
        <v>2379</v>
      </c>
      <c r="I449" t="s">
        <v>49</v>
      </c>
      <c r="J449" s="2">
        <v>1030</v>
      </c>
    </row>
    <row r="450" spans="1:10" hidden="1" x14ac:dyDescent="0.25">
      <c r="A450" t="s">
        <v>2952</v>
      </c>
      <c r="C450" t="s">
        <v>4064</v>
      </c>
      <c r="D450" t="s">
        <v>4104</v>
      </c>
      <c r="E450" t="s">
        <v>4127</v>
      </c>
      <c r="F450" t="s">
        <v>4126</v>
      </c>
      <c r="G450" s="9" t="s">
        <v>2102</v>
      </c>
      <c r="H450" t="s">
        <v>2380</v>
      </c>
      <c r="I450" t="s">
        <v>64</v>
      </c>
      <c r="J450" s="2">
        <v>1026</v>
      </c>
    </row>
    <row r="451" spans="1:10" hidden="1" x14ac:dyDescent="0.25">
      <c r="A451" t="s">
        <v>2953</v>
      </c>
      <c r="C451" t="s">
        <v>4064</v>
      </c>
      <c r="D451" t="s">
        <v>4104</v>
      </c>
      <c r="E451" t="s">
        <v>4127</v>
      </c>
      <c r="F451" t="s">
        <v>4126</v>
      </c>
      <c r="G451" s="9" t="s">
        <v>2110</v>
      </c>
      <c r="H451" t="s">
        <v>2381</v>
      </c>
      <c r="I451" t="s">
        <v>62</v>
      </c>
      <c r="J451" s="2">
        <v>1000</v>
      </c>
    </row>
    <row r="452" spans="1:10" hidden="1" x14ac:dyDescent="0.25">
      <c r="A452" t="s">
        <v>2954</v>
      </c>
      <c r="C452" t="s">
        <v>4064</v>
      </c>
      <c r="D452" t="s">
        <v>4104</v>
      </c>
      <c r="E452" t="s">
        <v>4127</v>
      </c>
      <c r="F452" t="s">
        <v>4126</v>
      </c>
      <c r="G452" s="9" t="s">
        <v>2111</v>
      </c>
      <c r="H452" t="s">
        <v>2381</v>
      </c>
      <c r="I452" t="s">
        <v>62</v>
      </c>
      <c r="J452" s="2">
        <v>1000</v>
      </c>
    </row>
    <row r="453" spans="1:10" hidden="1" x14ac:dyDescent="0.25">
      <c r="A453" t="s">
        <v>2955</v>
      </c>
      <c r="C453" t="s">
        <v>4071</v>
      </c>
      <c r="D453" t="s">
        <v>2126</v>
      </c>
      <c r="F453" t="s">
        <v>4126</v>
      </c>
      <c r="G453" s="9" t="s">
        <v>577</v>
      </c>
      <c r="H453" t="s">
        <v>577</v>
      </c>
      <c r="I453" t="s">
        <v>57</v>
      </c>
      <c r="J453" s="2">
        <v>6419</v>
      </c>
    </row>
    <row r="454" spans="1:10" hidden="1" x14ac:dyDescent="0.25">
      <c r="A454" t="s">
        <v>2956</v>
      </c>
      <c r="C454" t="s">
        <v>4071</v>
      </c>
      <c r="D454" t="s">
        <v>2126</v>
      </c>
      <c r="F454" t="s">
        <v>4126</v>
      </c>
      <c r="G454" s="9" t="s">
        <v>578</v>
      </c>
      <c r="H454" t="s">
        <v>577</v>
      </c>
      <c r="I454" t="s">
        <v>57</v>
      </c>
      <c r="J454" s="2">
        <v>6419</v>
      </c>
    </row>
    <row r="455" spans="1:10" hidden="1" x14ac:dyDescent="0.25">
      <c r="A455" t="s">
        <v>2957</v>
      </c>
      <c r="C455" t="s">
        <v>4072</v>
      </c>
      <c r="D455" t="s">
        <v>4102</v>
      </c>
      <c r="F455" t="s">
        <v>4126</v>
      </c>
      <c r="G455" s="9" t="s">
        <v>1910</v>
      </c>
      <c r="H455" t="s">
        <v>1910</v>
      </c>
      <c r="I455" t="s">
        <v>1911</v>
      </c>
      <c r="J455" s="2">
        <v>1406</v>
      </c>
    </row>
    <row r="456" spans="1:10" hidden="1" x14ac:dyDescent="0.25">
      <c r="A456" t="s">
        <v>2958</v>
      </c>
      <c r="C456" t="s">
        <v>4072</v>
      </c>
      <c r="D456" t="s">
        <v>4102</v>
      </c>
      <c r="F456" t="s">
        <v>4126</v>
      </c>
      <c r="G456" s="9" t="s">
        <v>1912</v>
      </c>
      <c r="H456" t="s">
        <v>1910</v>
      </c>
      <c r="I456" t="s">
        <v>1911</v>
      </c>
      <c r="J456" s="2">
        <v>1406</v>
      </c>
    </row>
    <row r="457" spans="1:10" hidden="1" x14ac:dyDescent="0.25">
      <c r="A457" t="s">
        <v>2959</v>
      </c>
      <c r="C457" t="s">
        <v>4072</v>
      </c>
      <c r="D457" t="s">
        <v>4102</v>
      </c>
      <c r="F457" t="s">
        <v>4126</v>
      </c>
      <c r="G457" s="9" t="s">
        <v>1913</v>
      </c>
      <c r="H457" t="s">
        <v>1910</v>
      </c>
      <c r="I457" t="s">
        <v>1911</v>
      </c>
      <c r="J457" s="2">
        <v>1406</v>
      </c>
    </row>
    <row r="458" spans="1:10" hidden="1" x14ac:dyDescent="0.25">
      <c r="A458" t="s">
        <v>2960</v>
      </c>
      <c r="C458" t="s">
        <v>4084</v>
      </c>
      <c r="D458" t="s">
        <v>4105</v>
      </c>
      <c r="F458" t="s">
        <v>4126</v>
      </c>
      <c r="G458" s="9" t="s">
        <v>63</v>
      </c>
      <c r="H458" t="s">
        <v>2396</v>
      </c>
      <c r="I458" t="s">
        <v>62</v>
      </c>
      <c r="J458" s="2">
        <v>60773</v>
      </c>
    </row>
    <row r="459" spans="1:10" hidden="1" x14ac:dyDescent="0.25">
      <c r="A459" t="s">
        <v>2961</v>
      </c>
      <c r="C459" t="s">
        <v>4084</v>
      </c>
      <c r="D459" t="s">
        <v>4105</v>
      </c>
      <c r="F459" t="s">
        <v>4126</v>
      </c>
      <c r="G459" s="9" t="s">
        <v>270</v>
      </c>
      <c r="H459" t="s">
        <v>2397</v>
      </c>
      <c r="I459" t="s">
        <v>62</v>
      </c>
      <c r="J459" s="2">
        <v>15246</v>
      </c>
    </row>
    <row r="460" spans="1:10" hidden="1" x14ac:dyDescent="0.25">
      <c r="A460" t="s">
        <v>2962</v>
      </c>
      <c r="C460" t="s">
        <v>4084</v>
      </c>
      <c r="D460" t="s">
        <v>4105</v>
      </c>
      <c r="F460" t="s">
        <v>4126</v>
      </c>
      <c r="G460" s="9" t="s">
        <v>307</v>
      </c>
      <c r="H460" t="s">
        <v>2398</v>
      </c>
      <c r="I460" t="s">
        <v>184</v>
      </c>
      <c r="J460" s="2">
        <v>12079</v>
      </c>
    </row>
    <row r="461" spans="1:10" hidden="1" x14ac:dyDescent="0.25">
      <c r="A461" t="s">
        <v>2963</v>
      </c>
      <c r="C461" t="s">
        <v>4084</v>
      </c>
      <c r="D461" t="s">
        <v>4105</v>
      </c>
      <c r="F461" t="s">
        <v>4126</v>
      </c>
      <c r="G461" s="9" t="s">
        <v>357</v>
      </c>
      <c r="H461" t="s">
        <v>2399</v>
      </c>
      <c r="I461" t="s">
        <v>356</v>
      </c>
      <c r="J461" s="2">
        <v>10396</v>
      </c>
    </row>
    <row r="462" spans="1:10" hidden="1" x14ac:dyDescent="0.25">
      <c r="A462" t="s">
        <v>2964</v>
      </c>
      <c r="C462" t="s">
        <v>4084</v>
      </c>
      <c r="D462" t="s">
        <v>4105</v>
      </c>
      <c r="F462" t="s">
        <v>4126</v>
      </c>
      <c r="G462" s="9" t="s">
        <v>630</v>
      </c>
      <c r="H462" t="s">
        <v>2400</v>
      </c>
      <c r="I462" t="s">
        <v>184</v>
      </c>
      <c r="J462" s="2">
        <v>5534</v>
      </c>
    </row>
    <row r="463" spans="1:10" hidden="1" x14ac:dyDescent="0.25">
      <c r="A463" t="s">
        <v>2965</v>
      </c>
      <c r="C463" t="s">
        <v>4084</v>
      </c>
      <c r="D463" t="s">
        <v>4105</v>
      </c>
      <c r="F463" t="s">
        <v>4126</v>
      </c>
      <c r="G463" s="9" t="s">
        <v>1002</v>
      </c>
      <c r="H463" t="s">
        <v>2401</v>
      </c>
      <c r="I463" t="s">
        <v>64</v>
      </c>
      <c r="J463" s="2">
        <v>3837</v>
      </c>
    </row>
    <row r="464" spans="1:10" hidden="1" x14ac:dyDescent="0.25">
      <c r="A464" t="s">
        <v>2966</v>
      </c>
      <c r="C464" t="s">
        <v>4084</v>
      </c>
      <c r="D464" t="s">
        <v>4105</v>
      </c>
      <c r="F464" t="s">
        <v>4126</v>
      </c>
      <c r="G464" s="9" t="s">
        <v>1060</v>
      </c>
      <c r="H464" t="s">
        <v>2402</v>
      </c>
      <c r="I464" t="s">
        <v>45</v>
      </c>
      <c r="J464" s="2">
        <v>3676</v>
      </c>
    </row>
    <row r="465" spans="1:10" hidden="1" x14ac:dyDescent="0.25">
      <c r="A465" t="s">
        <v>2967</v>
      </c>
      <c r="C465" t="s">
        <v>4084</v>
      </c>
      <c r="D465" t="s">
        <v>4105</v>
      </c>
      <c r="F465" t="s">
        <v>4126</v>
      </c>
      <c r="G465" s="9" t="s">
        <v>1113</v>
      </c>
      <c r="H465" t="s">
        <v>2403</v>
      </c>
      <c r="I465" t="s">
        <v>184</v>
      </c>
      <c r="J465" s="2">
        <v>3501</v>
      </c>
    </row>
    <row r="466" spans="1:10" hidden="1" x14ac:dyDescent="0.25">
      <c r="A466" t="s">
        <v>2968</v>
      </c>
      <c r="C466" t="s">
        <v>4084</v>
      </c>
      <c r="D466" t="s">
        <v>4105</v>
      </c>
      <c r="F466" t="s">
        <v>4126</v>
      </c>
      <c r="G466" s="9" t="s">
        <v>1628</v>
      </c>
      <c r="H466" t="s">
        <v>2404</v>
      </c>
      <c r="I466" t="s">
        <v>551</v>
      </c>
      <c r="J466" s="2">
        <v>1987</v>
      </c>
    </row>
    <row r="467" spans="1:10" hidden="1" x14ac:dyDescent="0.25">
      <c r="A467" t="s">
        <v>2969</v>
      </c>
      <c r="C467" t="s">
        <v>4084</v>
      </c>
      <c r="D467" t="s">
        <v>4105</v>
      </c>
      <c r="F467" t="s">
        <v>4126</v>
      </c>
      <c r="G467" s="9" t="s">
        <v>1629</v>
      </c>
      <c r="H467" t="s">
        <v>2404</v>
      </c>
      <c r="I467" t="s">
        <v>551</v>
      </c>
      <c r="J467" s="2">
        <v>1987</v>
      </c>
    </row>
    <row r="468" spans="1:10" hidden="1" x14ac:dyDescent="0.25">
      <c r="A468" t="s">
        <v>2970</v>
      </c>
      <c r="C468" t="s">
        <v>4084</v>
      </c>
      <c r="D468" t="s">
        <v>4105</v>
      </c>
      <c r="F468" t="s">
        <v>4126</v>
      </c>
      <c r="G468" s="9" t="s">
        <v>46</v>
      </c>
      <c r="H468" t="s">
        <v>2395</v>
      </c>
      <c r="I468" t="s">
        <v>45</v>
      </c>
      <c r="J468" s="2">
        <v>63893</v>
      </c>
    </row>
    <row r="469" spans="1:10" hidden="1" x14ac:dyDescent="0.25">
      <c r="A469" t="s">
        <v>2971</v>
      </c>
      <c r="C469" t="s">
        <v>4073</v>
      </c>
      <c r="D469" t="s">
        <v>2157</v>
      </c>
      <c r="F469" t="s">
        <v>4126</v>
      </c>
      <c r="G469" s="9" t="s">
        <v>967</v>
      </c>
      <c r="H469" t="s">
        <v>965</v>
      </c>
      <c r="I469" t="s">
        <v>966</v>
      </c>
      <c r="J469" s="2">
        <v>3982</v>
      </c>
    </row>
    <row r="470" spans="1:10" hidden="1" x14ac:dyDescent="0.25">
      <c r="A470" t="s">
        <v>2972</v>
      </c>
      <c r="C470" t="s">
        <v>4066</v>
      </c>
      <c r="D470" t="s">
        <v>4103</v>
      </c>
      <c r="F470" t="s">
        <v>4126</v>
      </c>
      <c r="G470" s="9" t="s">
        <v>679</v>
      </c>
      <c r="H470" t="s">
        <v>677</v>
      </c>
      <c r="I470" t="s">
        <v>678</v>
      </c>
      <c r="J470" s="2">
        <v>5169</v>
      </c>
    </row>
    <row r="471" spans="1:10" hidden="1" x14ac:dyDescent="0.25">
      <c r="A471" t="s">
        <v>2973</v>
      </c>
      <c r="C471" t="s">
        <v>4066</v>
      </c>
      <c r="D471" t="s">
        <v>4103</v>
      </c>
      <c r="F471" t="s">
        <v>4126</v>
      </c>
      <c r="G471" s="9" t="s">
        <v>680</v>
      </c>
      <c r="H471" t="s">
        <v>677</v>
      </c>
      <c r="I471" t="s">
        <v>678</v>
      </c>
      <c r="J471" s="2">
        <v>5169</v>
      </c>
    </row>
    <row r="472" spans="1:10" hidden="1" x14ac:dyDescent="0.25">
      <c r="A472" t="s">
        <v>2974</v>
      </c>
      <c r="C472" t="s">
        <v>4066</v>
      </c>
      <c r="D472" t="s">
        <v>4103</v>
      </c>
      <c r="F472" t="s">
        <v>4126</v>
      </c>
      <c r="G472" s="9" t="s">
        <v>681</v>
      </c>
      <c r="H472" t="s">
        <v>677</v>
      </c>
      <c r="I472" t="s">
        <v>678</v>
      </c>
      <c r="J472" s="2">
        <v>5169</v>
      </c>
    </row>
    <row r="473" spans="1:10" hidden="1" x14ac:dyDescent="0.25">
      <c r="A473" t="s">
        <v>2975</v>
      </c>
      <c r="C473" t="s">
        <v>4066</v>
      </c>
      <c r="D473" t="s">
        <v>4103</v>
      </c>
      <c r="F473" t="s">
        <v>4126</v>
      </c>
      <c r="G473" s="9" t="s">
        <v>1086</v>
      </c>
      <c r="H473" t="s">
        <v>1085</v>
      </c>
      <c r="I473" t="s">
        <v>678</v>
      </c>
      <c r="J473" s="2">
        <v>3544</v>
      </c>
    </row>
    <row r="474" spans="1:10" hidden="1" x14ac:dyDescent="0.25">
      <c r="A474" t="s">
        <v>2976</v>
      </c>
      <c r="C474" t="s">
        <v>4066</v>
      </c>
      <c r="D474" t="s">
        <v>4103</v>
      </c>
      <c r="F474" t="s">
        <v>4126</v>
      </c>
      <c r="G474" s="9" t="s">
        <v>1087</v>
      </c>
      <c r="H474" t="s">
        <v>1085</v>
      </c>
      <c r="I474" t="s">
        <v>678</v>
      </c>
      <c r="J474" s="2">
        <v>3544</v>
      </c>
    </row>
    <row r="475" spans="1:10" hidden="1" x14ac:dyDescent="0.25">
      <c r="A475" t="s">
        <v>2977</v>
      </c>
      <c r="C475" t="s">
        <v>4066</v>
      </c>
      <c r="D475" t="s">
        <v>4103</v>
      </c>
      <c r="F475" t="s">
        <v>4126</v>
      </c>
      <c r="G475" s="9" t="s">
        <v>1234</v>
      </c>
      <c r="H475" t="s">
        <v>1232</v>
      </c>
      <c r="I475" t="s">
        <v>1233</v>
      </c>
      <c r="J475" s="2">
        <v>3127</v>
      </c>
    </row>
    <row r="476" spans="1:10" hidden="1" x14ac:dyDescent="0.25">
      <c r="A476" t="s">
        <v>2978</v>
      </c>
      <c r="C476" t="s">
        <v>4066</v>
      </c>
      <c r="D476" t="s">
        <v>4103</v>
      </c>
      <c r="F476" t="s">
        <v>4126</v>
      </c>
      <c r="G476" s="9" t="s">
        <v>1355</v>
      </c>
      <c r="H476" t="s">
        <v>1354</v>
      </c>
      <c r="I476" t="s">
        <v>160</v>
      </c>
      <c r="J476" s="2">
        <v>2678</v>
      </c>
    </row>
    <row r="477" spans="1:10" hidden="1" x14ac:dyDescent="0.25">
      <c r="A477" t="s">
        <v>2979</v>
      </c>
      <c r="C477" t="s">
        <v>4066</v>
      </c>
      <c r="D477" t="s">
        <v>4103</v>
      </c>
      <c r="F477" t="s">
        <v>4126</v>
      </c>
      <c r="G477" s="9" t="s">
        <v>1819</v>
      </c>
      <c r="H477" t="s">
        <v>1818</v>
      </c>
      <c r="I477" t="s">
        <v>678</v>
      </c>
      <c r="J477" s="2">
        <v>1636</v>
      </c>
    </row>
    <row r="478" spans="1:10" hidden="1" x14ac:dyDescent="0.25">
      <c r="A478" t="s">
        <v>2980</v>
      </c>
      <c r="C478" t="s">
        <v>4066</v>
      </c>
      <c r="D478" t="s">
        <v>4103</v>
      </c>
      <c r="F478" t="s">
        <v>4126</v>
      </c>
      <c r="G478" s="9" t="s">
        <v>1820</v>
      </c>
      <c r="H478" t="s">
        <v>1818</v>
      </c>
      <c r="I478" t="s">
        <v>678</v>
      </c>
      <c r="J478" s="2">
        <v>1636</v>
      </c>
    </row>
    <row r="479" spans="1:10" hidden="1" x14ac:dyDescent="0.25">
      <c r="A479" t="s">
        <v>2981</v>
      </c>
      <c r="C479" t="s">
        <v>4066</v>
      </c>
      <c r="D479" t="s">
        <v>4103</v>
      </c>
      <c r="F479" t="s">
        <v>4126</v>
      </c>
      <c r="G479" s="9" t="s">
        <v>1821</v>
      </c>
      <c r="H479" t="s">
        <v>1818</v>
      </c>
      <c r="I479" t="s">
        <v>678</v>
      </c>
      <c r="J479" s="2">
        <v>1636</v>
      </c>
    </row>
    <row r="480" spans="1:10" hidden="1" x14ac:dyDescent="0.25">
      <c r="A480" t="s">
        <v>2982</v>
      </c>
      <c r="C480" t="s">
        <v>4066</v>
      </c>
      <c r="D480" t="s">
        <v>4103</v>
      </c>
      <c r="F480" t="s">
        <v>4126</v>
      </c>
      <c r="G480" s="9" t="s">
        <v>1861</v>
      </c>
      <c r="H480" t="s">
        <v>1859</v>
      </c>
      <c r="I480" t="s">
        <v>1860</v>
      </c>
      <c r="J480" s="2">
        <v>1546</v>
      </c>
    </row>
    <row r="481" spans="1:10" hidden="1" x14ac:dyDescent="0.25">
      <c r="A481" t="s">
        <v>2983</v>
      </c>
      <c r="C481" t="s">
        <v>4066</v>
      </c>
      <c r="D481" t="s">
        <v>4103</v>
      </c>
      <c r="F481" t="s">
        <v>4126</v>
      </c>
      <c r="G481" s="9" t="s">
        <v>1862</v>
      </c>
      <c r="H481" t="s">
        <v>1859</v>
      </c>
      <c r="I481" t="s">
        <v>202</v>
      </c>
      <c r="J481" s="2">
        <v>1546</v>
      </c>
    </row>
    <row r="482" spans="1:10" hidden="1" x14ac:dyDescent="0.25">
      <c r="A482" t="s">
        <v>2984</v>
      </c>
      <c r="C482" t="s">
        <v>4066</v>
      </c>
      <c r="D482" t="s">
        <v>4103</v>
      </c>
      <c r="F482" t="s">
        <v>4126</v>
      </c>
      <c r="G482" s="9" t="s">
        <v>1903</v>
      </c>
      <c r="H482" t="s">
        <v>1902</v>
      </c>
      <c r="I482" t="s">
        <v>160</v>
      </c>
      <c r="J482" s="2">
        <v>1413</v>
      </c>
    </row>
    <row r="483" spans="1:10" hidden="1" x14ac:dyDescent="0.25">
      <c r="A483" t="s">
        <v>2985</v>
      </c>
      <c r="C483" t="s">
        <v>4066</v>
      </c>
      <c r="D483" t="s">
        <v>4103</v>
      </c>
      <c r="F483" t="s">
        <v>4126</v>
      </c>
      <c r="G483" s="9" t="s">
        <v>514</v>
      </c>
      <c r="H483" t="s">
        <v>513</v>
      </c>
      <c r="I483" t="s">
        <v>202</v>
      </c>
      <c r="J483" s="2">
        <v>7587</v>
      </c>
    </row>
    <row r="484" spans="1:10" hidden="1" x14ac:dyDescent="0.25">
      <c r="A484" t="s">
        <v>2986</v>
      </c>
      <c r="C484" t="s">
        <v>4066</v>
      </c>
      <c r="D484" t="s">
        <v>4103</v>
      </c>
      <c r="F484" t="s">
        <v>4126</v>
      </c>
      <c r="G484" s="9" t="s">
        <v>796</v>
      </c>
      <c r="H484" t="s">
        <v>795</v>
      </c>
      <c r="I484" t="s">
        <v>202</v>
      </c>
      <c r="J484" s="2">
        <v>4743</v>
      </c>
    </row>
    <row r="485" spans="1:10" hidden="1" x14ac:dyDescent="0.25">
      <c r="A485" t="s">
        <v>2987</v>
      </c>
      <c r="C485" t="s">
        <v>4066</v>
      </c>
      <c r="D485" t="s">
        <v>4103</v>
      </c>
      <c r="F485" t="s">
        <v>4126</v>
      </c>
      <c r="G485" s="9" t="s">
        <v>1325</v>
      </c>
      <c r="H485" t="s">
        <v>1324</v>
      </c>
      <c r="I485" t="s">
        <v>202</v>
      </c>
      <c r="J485" s="2">
        <v>2795</v>
      </c>
    </row>
    <row r="486" spans="1:10" hidden="1" x14ac:dyDescent="0.25">
      <c r="A486" t="s">
        <v>2988</v>
      </c>
      <c r="C486" t="s">
        <v>4066</v>
      </c>
      <c r="D486" t="s">
        <v>4103</v>
      </c>
      <c r="F486" t="s">
        <v>4126</v>
      </c>
      <c r="G486" s="9" t="s">
        <v>2000</v>
      </c>
      <c r="H486" t="s">
        <v>1999</v>
      </c>
      <c r="I486" t="s">
        <v>202</v>
      </c>
      <c r="J486" s="2">
        <v>1266</v>
      </c>
    </row>
    <row r="487" spans="1:10" hidden="1" x14ac:dyDescent="0.25">
      <c r="A487" t="s">
        <v>2989</v>
      </c>
      <c r="C487" t="s">
        <v>4094</v>
      </c>
      <c r="D487" t="s">
        <v>4106</v>
      </c>
      <c r="F487" t="s">
        <v>4126</v>
      </c>
      <c r="G487" s="9" t="s">
        <v>683</v>
      </c>
      <c r="H487" t="s">
        <v>682</v>
      </c>
      <c r="I487" t="s">
        <v>379</v>
      </c>
      <c r="J487" s="2">
        <v>5169</v>
      </c>
    </row>
    <row r="488" spans="1:10" hidden="1" x14ac:dyDescent="0.25">
      <c r="A488" t="s">
        <v>2990</v>
      </c>
      <c r="C488" t="s">
        <v>4087</v>
      </c>
      <c r="D488" t="s">
        <v>4107</v>
      </c>
      <c r="F488" t="s">
        <v>4126</v>
      </c>
      <c r="G488" s="9" t="s">
        <v>1189</v>
      </c>
      <c r="H488" t="s">
        <v>1187</v>
      </c>
      <c r="I488" t="s">
        <v>1188</v>
      </c>
      <c r="J488" s="2">
        <v>3280</v>
      </c>
    </row>
    <row r="489" spans="1:10" hidden="1" x14ac:dyDescent="0.25">
      <c r="A489" t="s">
        <v>2991</v>
      </c>
      <c r="C489" t="s">
        <v>4088</v>
      </c>
      <c r="D489" t="s">
        <v>4108</v>
      </c>
      <c r="F489" t="s">
        <v>4126</v>
      </c>
      <c r="G489" s="9" t="s">
        <v>1654</v>
      </c>
      <c r="H489" t="s">
        <v>1652</v>
      </c>
      <c r="I489" t="s">
        <v>1653</v>
      </c>
      <c r="J489" s="2">
        <v>1960</v>
      </c>
    </row>
    <row r="490" spans="1:10" hidden="1" x14ac:dyDescent="0.25">
      <c r="A490" t="s">
        <v>2992</v>
      </c>
      <c r="C490" t="s">
        <v>4065</v>
      </c>
      <c r="D490" t="s">
        <v>4059</v>
      </c>
      <c r="F490" t="s">
        <v>4126</v>
      </c>
      <c r="G490" s="9" t="s">
        <v>1152</v>
      </c>
      <c r="H490" t="s">
        <v>1150</v>
      </c>
      <c r="I490" t="s">
        <v>1151</v>
      </c>
      <c r="J490" s="2">
        <v>3346</v>
      </c>
    </row>
    <row r="491" spans="1:10" hidden="1" x14ac:dyDescent="0.25">
      <c r="A491" t="s">
        <v>2993</v>
      </c>
      <c r="C491" t="s">
        <v>4065</v>
      </c>
      <c r="D491" t="s">
        <v>4059</v>
      </c>
      <c r="F491" t="s">
        <v>4126</v>
      </c>
      <c r="G491" s="9" t="s">
        <v>1153</v>
      </c>
      <c r="H491" t="s">
        <v>1150</v>
      </c>
      <c r="I491" t="s">
        <v>1151</v>
      </c>
      <c r="J491" s="2">
        <v>3346</v>
      </c>
    </row>
    <row r="492" spans="1:10" hidden="1" x14ac:dyDescent="0.25">
      <c r="A492" t="s">
        <v>2994</v>
      </c>
      <c r="C492" t="s">
        <v>4065</v>
      </c>
      <c r="D492" t="s">
        <v>4059</v>
      </c>
      <c r="F492" t="s">
        <v>4126</v>
      </c>
      <c r="G492" s="9" t="s">
        <v>1155</v>
      </c>
      <c r="H492" t="s">
        <v>1150</v>
      </c>
      <c r="I492" t="s">
        <v>1154</v>
      </c>
      <c r="J492" s="2">
        <v>3346</v>
      </c>
    </row>
    <row r="493" spans="1:10" hidden="1" x14ac:dyDescent="0.25">
      <c r="A493" t="s">
        <v>2995</v>
      </c>
      <c r="C493" t="s">
        <v>4065</v>
      </c>
      <c r="D493" t="s">
        <v>4059</v>
      </c>
      <c r="F493" t="s">
        <v>4126</v>
      </c>
      <c r="G493" s="9" t="s">
        <v>1157</v>
      </c>
      <c r="H493" t="s">
        <v>1150</v>
      </c>
      <c r="I493" t="s">
        <v>1156</v>
      </c>
      <c r="J493" s="2">
        <v>3346</v>
      </c>
    </row>
    <row r="494" spans="1:10" hidden="1" x14ac:dyDescent="0.25">
      <c r="A494" t="s">
        <v>2996</v>
      </c>
      <c r="C494" t="s">
        <v>4065</v>
      </c>
      <c r="D494" t="s">
        <v>4059</v>
      </c>
      <c r="F494" t="s">
        <v>4126</v>
      </c>
      <c r="G494" s="9" t="s">
        <v>1159</v>
      </c>
      <c r="H494" t="s">
        <v>1150</v>
      </c>
      <c r="I494" t="s">
        <v>1158</v>
      </c>
      <c r="J494" s="2">
        <v>3346</v>
      </c>
    </row>
    <row r="495" spans="1:10" hidden="1" x14ac:dyDescent="0.25">
      <c r="A495" t="s">
        <v>2997</v>
      </c>
      <c r="C495" t="s">
        <v>4065</v>
      </c>
      <c r="D495" t="s">
        <v>4059</v>
      </c>
      <c r="F495" t="s">
        <v>4126</v>
      </c>
      <c r="G495" s="9" t="s">
        <v>1161</v>
      </c>
      <c r="H495" t="s">
        <v>1150</v>
      </c>
      <c r="I495" t="s">
        <v>1160</v>
      </c>
      <c r="J495" s="2">
        <v>3346</v>
      </c>
    </row>
    <row r="496" spans="1:10" hidden="1" x14ac:dyDescent="0.25">
      <c r="A496" t="s">
        <v>2998</v>
      </c>
      <c r="C496" t="s">
        <v>4065</v>
      </c>
      <c r="D496" t="s">
        <v>4059</v>
      </c>
      <c r="F496" t="s">
        <v>4126</v>
      </c>
      <c r="G496" s="9" t="s">
        <v>1897</v>
      </c>
      <c r="H496" t="s">
        <v>1896</v>
      </c>
      <c r="I496" t="s">
        <v>64</v>
      </c>
      <c r="J496" s="2">
        <v>1417</v>
      </c>
    </row>
    <row r="497" spans="1:10" hidden="1" x14ac:dyDescent="0.25">
      <c r="A497" t="s">
        <v>2999</v>
      </c>
      <c r="C497" t="s">
        <v>4065</v>
      </c>
      <c r="D497" t="s">
        <v>4059</v>
      </c>
      <c r="F497" t="s">
        <v>4126</v>
      </c>
      <c r="G497" s="9" t="s">
        <v>1898</v>
      </c>
      <c r="H497" t="s">
        <v>1896</v>
      </c>
      <c r="I497" t="s">
        <v>64</v>
      </c>
      <c r="J497" s="2">
        <v>1417</v>
      </c>
    </row>
    <row r="498" spans="1:10" hidden="1" x14ac:dyDescent="0.25">
      <c r="A498" t="s">
        <v>3000</v>
      </c>
      <c r="C498" t="s">
        <v>4065</v>
      </c>
      <c r="D498" t="s">
        <v>4059</v>
      </c>
      <c r="F498" t="s">
        <v>4126</v>
      </c>
      <c r="G498" s="9" t="s">
        <v>1899</v>
      </c>
      <c r="H498" t="s">
        <v>1896</v>
      </c>
      <c r="I498" t="s">
        <v>64</v>
      </c>
      <c r="J498" s="2">
        <v>1417</v>
      </c>
    </row>
    <row r="499" spans="1:10" hidden="1" x14ac:dyDescent="0.25">
      <c r="A499" t="s">
        <v>3001</v>
      </c>
      <c r="C499" t="s">
        <v>4065</v>
      </c>
      <c r="D499" t="s">
        <v>4059</v>
      </c>
      <c r="F499" t="s">
        <v>4126</v>
      </c>
      <c r="G499" s="9" t="s">
        <v>1265</v>
      </c>
      <c r="H499" t="s">
        <v>1263</v>
      </c>
      <c r="I499" t="s">
        <v>1264</v>
      </c>
      <c r="J499" s="2">
        <v>3005</v>
      </c>
    </row>
    <row r="500" spans="1:10" hidden="1" x14ac:dyDescent="0.25">
      <c r="A500" t="s">
        <v>3002</v>
      </c>
      <c r="C500" t="s">
        <v>4094</v>
      </c>
      <c r="D500" t="s">
        <v>4106</v>
      </c>
      <c r="F500" t="s">
        <v>4126</v>
      </c>
      <c r="G500" s="9">
        <v>8500113</v>
      </c>
      <c r="H500" t="s">
        <v>1122</v>
      </c>
      <c r="I500" t="s">
        <v>160</v>
      </c>
      <c r="J500" s="2">
        <v>3429</v>
      </c>
    </row>
    <row r="501" spans="1:10" hidden="1" x14ac:dyDescent="0.25">
      <c r="A501" t="s">
        <v>3003</v>
      </c>
      <c r="C501" t="s">
        <v>4094</v>
      </c>
      <c r="D501" t="s">
        <v>4106</v>
      </c>
      <c r="F501" t="s">
        <v>4126</v>
      </c>
      <c r="G501" s="9" t="s">
        <v>1211</v>
      </c>
      <c r="H501" t="s">
        <v>1210</v>
      </c>
      <c r="I501" t="s">
        <v>160</v>
      </c>
      <c r="J501" s="2">
        <v>3221</v>
      </c>
    </row>
    <row r="502" spans="1:10" hidden="1" x14ac:dyDescent="0.25">
      <c r="A502" t="s">
        <v>3004</v>
      </c>
      <c r="C502" t="s">
        <v>4066</v>
      </c>
      <c r="D502" t="s">
        <v>4103</v>
      </c>
      <c r="F502" t="s">
        <v>4126</v>
      </c>
      <c r="G502" s="9" t="s">
        <v>266</v>
      </c>
      <c r="H502" t="s">
        <v>265</v>
      </c>
      <c r="I502" t="s">
        <v>160</v>
      </c>
      <c r="J502" s="2">
        <v>16087</v>
      </c>
    </row>
    <row r="503" spans="1:10" hidden="1" x14ac:dyDescent="0.25">
      <c r="A503" t="s">
        <v>3005</v>
      </c>
      <c r="C503" t="s">
        <v>4066</v>
      </c>
      <c r="D503" t="s">
        <v>4103</v>
      </c>
      <c r="F503" t="s">
        <v>4126</v>
      </c>
      <c r="G503" s="9" t="s">
        <v>655</v>
      </c>
      <c r="H503" t="s">
        <v>654</v>
      </c>
      <c r="I503" t="s">
        <v>202</v>
      </c>
      <c r="J503" s="2">
        <v>5330</v>
      </c>
    </row>
    <row r="504" spans="1:10" hidden="1" x14ac:dyDescent="0.25">
      <c r="A504" t="s">
        <v>3006</v>
      </c>
      <c r="C504" t="s">
        <v>4066</v>
      </c>
      <c r="D504" t="s">
        <v>4103</v>
      </c>
      <c r="F504" t="s">
        <v>4126</v>
      </c>
      <c r="G504" s="9" t="s">
        <v>1191</v>
      </c>
      <c r="H504" t="s">
        <v>1190</v>
      </c>
      <c r="I504" t="s">
        <v>160</v>
      </c>
      <c r="J504" s="2">
        <v>3278</v>
      </c>
    </row>
    <row r="505" spans="1:10" hidden="1" x14ac:dyDescent="0.25">
      <c r="A505" t="s">
        <v>3007</v>
      </c>
      <c r="C505" t="s">
        <v>4075</v>
      </c>
      <c r="D505" t="s">
        <v>4109</v>
      </c>
      <c r="F505" t="s">
        <v>4126</v>
      </c>
      <c r="G505" s="9" t="s">
        <v>1660</v>
      </c>
      <c r="H505" t="s">
        <v>1659</v>
      </c>
      <c r="I505" t="s">
        <v>37</v>
      </c>
      <c r="J505" s="2">
        <v>1957</v>
      </c>
    </row>
    <row r="506" spans="1:10" hidden="1" x14ac:dyDescent="0.25">
      <c r="A506" t="s">
        <v>3008</v>
      </c>
      <c r="C506" t="s">
        <v>4075</v>
      </c>
      <c r="D506" t="s">
        <v>4109</v>
      </c>
      <c r="F506" t="s">
        <v>4126</v>
      </c>
      <c r="G506" s="9" t="s">
        <v>1661</v>
      </c>
      <c r="H506" t="s">
        <v>1659</v>
      </c>
      <c r="I506" t="s">
        <v>2467</v>
      </c>
      <c r="J506" s="2">
        <v>1957</v>
      </c>
    </row>
    <row r="507" spans="1:10" hidden="1" x14ac:dyDescent="0.25">
      <c r="A507" t="s">
        <v>3009</v>
      </c>
      <c r="C507" t="s">
        <v>4075</v>
      </c>
      <c r="D507" t="s">
        <v>4109</v>
      </c>
      <c r="F507" t="s">
        <v>4126</v>
      </c>
      <c r="G507" s="9" t="s">
        <v>1662</v>
      </c>
      <c r="H507" t="s">
        <v>1659</v>
      </c>
      <c r="I507" t="s">
        <v>28</v>
      </c>
      <c r="J507" s="2">
        <v>1957</v>
      </c>
    </row>
    <row r="508" spans="1:10" hidden="1" x14ac:dyDescent="0.25">
      <c r="A508" t="s">
        <v>3010</v>
      </c>
      <c r="C508" t="s">
        <v>4075</v>
      </c>
      <c r="D508" t="s">
        <v>4109</v>
      </c>
      <c r="F508" t="s">
        <v>4126</v>
      </c>
      <c r="G508" s="9" t="s">
        <v>1663</v>
      </c>
      <c r="H508" t="s">
        <v>1659</v>
      </c>
      <c r="I508" t="s">
        <v>28</v>
      </c>
      <c r="J508" s="2">
        <v>1957</v>
      </c>
    </row>
    <row r="509" spans="1:10" hidden="1" x14ac:dyDescent="0.25">
      <c r="A509" t="s">
        <v>3011</v>
      </c>
      <c r="C509" t="s">
        <v>4075</v>
      </c>
      <c r="D509" t="s">
        <v>4109</v>
      </c>
      <c r="F509" t="s">
        <v>4126</v>
      </c>
      <c r="G509" s="9" t="s">
        <v>21</v>
      </c>
      <c r="H509" t="s">
        <v>2406</v>
      </c>
      <c r="I509" t="s">
        <v>2467</v>
      </c>
      <c r="J509" s="2">
        <v>128362</v>
      </c>
    </row>
    <row r="510" spans="1:10" hidden="1" x14ac:dyDescent="0.25">
      <c r="A510" t="s">
        <v>3012</v>
      </c>
      <c r="C510" t="s">
        <v>4075</v>
      </c>
      <c r="D510" t="s">
        <v>4109</v>
      </c>
      <c r="F510" t="s">
        <v>4126</v>
      </c>
      <c r="G510" s="9" t="s">
        <v>58</v>
      </c>
      <c r="H510" t="s">
        <v>2407</v>
      </c>
      <c r="I510" t="s">
        <v>57</v>
      </c>
      <c r="J510" s="2">
        <v>61128</v>
      </c>
    </row>
    <row r="511" spans="1:10" hidden="1" x14ac:dyDescent="0.25">
      <c r="A511" t="s">
        <v>3013</v>
      </c>
      <c r="C511" t="s">
        <v>4075</v>
      </c>
      <c r="D511" t="s">
        <v>4109</v>
      </c>
      <c r="F511" t="s">
        <v>4126</v>
      </c>
      <c r="G511" s="9" t="s">
        <v>59</v>
      </c>
      <c r="H511" t="s">
        <v>2407</v>
      </c>
      <c r="I511" t="s">
        <v>37</v>
      </c>
      <c r="J511" s="2">
        <v>61128</v>
      </c>
    </row>
    <row r="512" spans="1:10" hidden="1" x14ac:dyDescent="0.25">
      <c r="A512" t="s">
        <v>3014</v>
      </c>
      <c r="C512" t="s">
        <v>4075</v>
      </c>
      <c r="D512" t="s">
        <v>4109</v>
      </c>
      <c r="F512" t="s">
        <v>4126</v>
      </c>
      <c r="G512" s="9" t="s">
        <v>60</v>
      </c>
      <c r="H512" t="s">
        <v>2407</v>
      </c>
      <c r="I512" t="s">
        <v>37</v>
      </c>
      <c r="J512" s="2">
        <v>61128</v>
      </c>
    </row>
    <row r="513" spans="1:10" hidden="1" x14ac:dyDescent="0.25">
      <c r="A513" t="s">
        <v>3015</v>
      </c>
      <c r="C513" t="s">
        <v>4075</v>
      </c>
      <c r="D513" t="s">
        <v>4109</v>
      </c>
      <c r="F513" t="s">
        <v>4126</v>
      </c>
      <c r="G513" s="9" t="s">
        <v>58</v>
      </c>
      <c r="H513" t="s">
        <v>2407</v>
      </c>
      <c r="I513" t="s">
        <v>61</v>
      </c>
      <c r="J513" s="2">
        <v>61128</v>
      </c>
    </row>
    <row r="514" spans="1:10" hidden="1" x14ac:dyDescent="0.25">
      <c r="A514" t="s">
        <v>3016</v>
      </c>
      <c r="C514" t="s">
        <v>4075</v>
      </c>
      <c r="D514" t="s">
        <v>4109</v>
      </c>
      <c r="F514" t="s">
        <v>4126</v>
      </c>
      <c r="G514" s="9" t="s">
        <v>197</v>
      </c>
      <c r="H514" t="s">
        <v>2408</v>
      </c>
      <c r="I514" t="s">
        <v>2467</v>
      </c>
      <c r="J514" s="2">
        <v>22083</v>
      </c>
    </row>
    <row r="515" spans="1:10" hidden="1" x14ac:dyDescent="0.25">
      <c r="A515" t="s">
        <v>3017</v>
      </c>
      <c r="C515" t="s">
        <v>4075</v>
      </c>
      <c r="D515" t="s">
        <v>4109</v>
      </c>
      <c r="F515" t="s">
        <v>4126</v>
      </c>
      <c r="G515" s="9" t="s">
        <v>198</v>
      </c>
      <c r="H515" t="s">
        <v>2408</v>
      </c>
      <c r="I515" t="s">
        <v>2467</v>
      </c>
      <c r="J515" s="2">
        <v>22083</v>
      </c>
    </row>
    <row r="516" spans="1:10" hidden="1" x14ac:dyDescent="0.25">
      <c r="A516" t="s">
        <v>3018</v>
      </c>
      <c r="C516" t="s">
        <v>4075</v>
      </c>
      <c r="D516" t="s">
        <v>4109</v>
      </c>
      <c r="F516" t="s">
        <v>4126</v>
      </c>
      <c r="G516" s="9" t="s">
        <v>199</v>
      </c>
      <c r="H516" t="s">
        <v>2408</v>
      </c>
      <c r="I516" t="s">
        <v>28</v>
      </c>
      <c r="J516" s="2">
        <v>22083</v>
      </c>
    </row>
    <row r="517" spans="1:10" hidden="1" x14ac:dyDescent="0.25">
      <c r="A517" t="s">
        <v>3019</v>
      </c>
      <c r="C517" t="s">
        <v>4075</v>
      </c>
      <c r="D517" t="s">
        <v>4109</v>
      </c>
      <c r="F517" t="s">
        <v>4126</v>
      </c>
      <c r="G517" s="9" t="s">
        <v>200</v>
      </c>
      <c r="H517" t="s">
        <v>2408</v>
      </c>
      <c r="I517" t="s">
        <v>28</v>
      </c>
      <c r="J517" s="2">
        <v>22083</v>
      </c>
    </row>
    <row r="518" spans="1:10" hidden="1" x14ac:dyDescent="0.25">
      <c r="A518" t="s">
        <v>3020</v>
      </c>
      <c r="C518" t="s">
        <v>4075</v>
      </c>
      <c r="D518" t="s">
        <v>4109</v>
      </c>
      <c r="F518" t="s">
        <v>4126</v>
      </c>
      <c r="G518" s="9" t="s">
        <v>215</v>
      </c>
      <c r="H518" t="s">
        <v>2409</v>
      </c>
      <c r="I518" t="s">
        <v>26</v>
      </c>
      <c r="J518" s="2">
        <v>20777</v>
      </c>
    </row>
    <row r="519" spans="1:10" hidden="1" x14ac:dyDescent="0.25">
      <c r="A519" t="s">
        <v>3021</v>
      </c>
      <c r="C519" t="s">
        <v>4075</v>
      </c>
      <c r="D519" t="s">
        <v>4109</v>
      </c>
      <c r="F519" t="s">
        <v>4126</v>
      </c>
      <c r="G519" s="9" t="s">
        <v>215</v>
      </c>
      <c r="H519" t="s">
        <v>2409</v>
      </c>
      <c r="I519" t="s">
        <v>30</v>
      </c>
      <c r="J519" s="2">
        <v>20777</v>
      </c>
    </row>
    <row r="520" spans="1:10" hidden="1" x14ac:dyDescent="0.25">
      <c r="A520" t="s">
        <v>3022</v>
      </c>
      <c r="C520" t="s">
        <v>4075</v>
      </c>
      <c r="D520" t="s">
        <v>4109</v>
      </c>
      <c r="F520" t="s">
        <v>4126</v>
      </c>
      <c r="G520" s="9" t="s">
        <v>219</v>
      </c>
      <c r="H520" t="s">
        <v>2410</v>
      </c>
      <c r="I520" t="s">
        <v>61</v>
      </c>
      <c r="J520" s="2">
        <v>20236</v>
      </c>
    </row>
    <row r="521" spans="1:10" hidden="1" x14ac:dyDescent="0.25">
      <c r="A521" t="s">
        <v>3023</v>
      </c>
      <c r="C521" t="s">
        <v>4075</v>
      </c>
      <c r="D521" t="s">
        <v>4109</v>
      </c>
      <c r="F521" t="s">
        <v>4126</v>
      </c>
      <c r="G521" s="9" t="s">
        <v>219</v>
      </c>
      <c r="H521" t="s">
        <v>2410</v>
      </c>
      <c r="I521" t="s">
        <v>220</v>
      </c>
      <c r="J521" s="2">
        <v>20236</v>
      </c>
    </row>
    <row r="522" spans="1:10" hidden="1" x14ac:dyDescent="0.25">
      <c r="A522" t="s">
        <v>3024</v>
      </c>
      <c r="C522" t="s">
        <v>4075</v>
      </c>
      <c r="D522" t="s">
        <v>4109</v>
      </c>
      <c r="F522" t="s">
        <v>4126</v>
      </c>
      <c r="G522" s="9" t="s">
        <v>294</v>
      </c>
      <c r="H522" t="s">
        <v>2411</v>
      </c>
      <c r="I522" t="s">
        <v>26</v>
      </c>
      <c r="J522" s="2">
        <v>13180</v>
      </c>
    </row>
    <row r="523" spans="1:10" hidden="1" x14ac:dyDescent="0.25">
      <c r="A523" t="s">
        <v>3025</v>
      </c>
      <c r="C523" t="s">
        <v>4075</v>
      </c>
      <c r="D523" t="s">
        <v>4109</v>
      </c>
      <c r="F523" t="s">
        <v>4126</v>
      </c>
      <c r="G523" s="9" t="s">
        <v>295</v>
      </c>
      <c r="H523" t="s">
        <v>2411</v>
      </c>
      <c r="I523" t="s">
        <v>28</v>
      </c>
      <c r="J523" s="2">
        <v>13180</v>
      </c>
    </row>
    <row r="524" spans="1:10" hidden="1" x14ac:dyDescent="0.25">
      <c r="A524" t="s">
        <v>3026</v>
      </c>
      <c r="C524" t="s">
        <v>4075</v>
      </c>
      <c r="D524" t="s">
        <v>4109</v>
      </c>
      <c r="F524" t="s">
        <v>4126</v>
      </c>
      <c r="G524" s="9" t="s">
        <v>296</v>
      </c>
      <c r="H524" t="s">
        <v>2411</v>
      </c>
      <c r="I524" t="s">
        <v>61</v>
      </c>
      <c r="J524" s="2">
        <v>13180</v>
      </c>
    </row>
    <row r="525" spans="1:10" hidden="1" x14ac:dyDescent="0.25">
      <c r="A525" t="s">
        <v>3027</v>
      </c>
      <c r="C525" t="s">
        <v>4075</v>
      </c>
      <c r="D525" t="s">
        <v>4109</v>
      </c>
      <c r="F525" t="s">
        <v>4126</v>
      </c>
      <c r="G525" s="9" t="s">
        <v>295</v>
      </c>
      <c r="H525" t="s">
        <v>2411</v>
      </c>
      <c r="I525" t="s">
        <v>297</v>
      </c>
      <c r="J525" s="2">
        <v>13180</v>
      </c>
    </row>
    <row r="526" spans="1:10" hidden="1" x14ac:dyDescent="0.25">
      <c r="A526" t="s">
        <v>3028</v>
      </c>
      <c r="C526" t="s">
        <v>4075</v>
      </c>
      <c r="D526" t="s">
        <v>4109</v>
      </c>
      <c r="F526" t="s">
        <v>4126</v>
      </c>
      <c r="G526" s="9" t="s">
        <v>298</v>
      </c>
      <c r="H526" t="s">
        <v>2411</v>
      </c>
      <c r="I526" t="s">
        <v>297</v>
      </c>
      <c r="J526" s="2">
        <v>13180</v>
      </c>
    </row>
    <row r="527" spans="1:10" hidden="1" x14ac:dyDescent="0.25">
      <c r="A527" t="s">
        <v>3029</v>
      </c>
      <c r="C527" t="s">
        <v>4075</v>
      </c>
      <c r="D527" t="s">
        <v>4109</v>
      </c>
      <c r="F527" t="s">
        <v>4126</v>
      </c>
      <c r="G527" s="9" t="s">
        <v>327</v>
      </c>
      <c r="H527" t="s">
        <v>2412</v>
      </c>
      <c r="I527" t="s">
        <v>37</v>
      </c>
      <c r="J527" s="2">
        <v>11560</v>
      </c>
    </row>
    <row r="528" spans="1:10" hidden="1" x14ac:dyDescent="0.25">
      <c r="A528" t="s">
        <v>3030</v>
      </c>
      <c r="C528" t="s">
        <v>4075</v>
      </c>
      <c r="D528" t="s">
        <v>4109</v>
      </c>
      <c r="F528" t="s">
        <v>4126</v>
      </c>
      <c r="G528" s="9" t="s">
        <v>329</v>
      </c>
      <c r="H528" t="s">
        <v>2412</v>
      </c>
      <c r="I528" t="s">
        <v>328</v>
      </c>
      <c r="J528" s="2">
        <v>11560</v>
      </c>
    </row>
    <row r="529" spans="1:10" hidden="1" x14ac:dyDescent="0.25">
      <c r="A529" t="s">
        <v>3031</v>
      </c>
      <c r="C529" t="s">
        <v>4075</v>
      </c>
      <c r="D529" t="s">
        <v>4109</v>
      </c>
      <c r="F529" t="s">
        <v>4126</v>
      </c>
      <c r="G529" s="9" t="s">
        <v>388</v>
      </c>
      <c r="H529" t="s">
        <v>2413</v>
      </c>
      <c r="I529" t="s">
        <v>61</v>
      </c>
      <c r="J529" s="2">
        <v>9899</v>
      </c>
    </row>
    <row r="530" spans="1:10" hidden="1" x14ac:dyDescent="0.25">
      <c r="A530" t="s">
        <v>3032</v>
      </c>
      <c r="C530" t="s">
        <v>4075</v>
      </c>
      <c r="D530" t="s">
        <v>4109</v>
      </c>
      <c r="F530" t="s">
        <v>4126</v>
      </c>
      <c r="G530" s="9" t="s">
        <v>421</v>
      </c>
      <c r="H530" t="s">
        <v>2414</v>
      </c>
      <c r="I530" t="s">
        <v>37</v>
      </c>
      <c r="J530" s="2">
        <v>9530</v>
      </c>
    </row>
    <row r="531" spans="1:10" hidden="1" x14ac:dyDescent="0.25">
      <c r="A531" t="s">
        <v>3033</v>
      </c>
      <c r="C531" t="s">
        <v>4075</v>
      </c>
      <c r="D531" t="s">
        <v>4109</v>
      </c>
      <c r="F531" t="s">
        <v>4126</v>
      </c>
      <c r="G531" s="9" t="s">
        <v>422</v>
      </c>
      <c r="H531" t="s">
        <v>2415</v>
      </c>
      <c r="I531" t="s">
        <v>37</v>
      </c>
      <c r="J531" s="2">
        <v>9520</v>
      </c>
    </row>
    <row r="532" spans="1:10" hidden="1" x14ac:dyDescent="0.25">
      <c r="A532" t="s">
        <v>3034</v>
      </c>
      <c r="C532" t="s">
        <v>4075</v>
      </c>
      <c r="D532" t="s">
        <v>4109</v>
      </c>
      <c r="F532" t="s">
        <v>4126</v>
      </c>
      <c r="G532" s="9" t="s">
        <v>423</v>
      </c>
      <c r="H532" t="s">
        <v>2415</v>
      </c>
      <c r="I532" t="s">
        <v>2467</v>
      </c>
      <c r="J532" s="2">
        <v>9520</v>
      </c>
    </row>
    <row r="533" spans="1:10" hidden="1" x14ac:dyDescent="0.25">
      <c r="A533" t="s">
        <v>3035</v>
      </c>
      <c r="C533" t="s">
        <v>4075</v>
      </c>
      <c r="D533" t="s">
        <v>4109</v>
      </c>
      <c r="F533" t="s">
        <v>4126</v>
      </c>
      <c r="G533" s="9" t="s">
        <v>424</v>
      </c>
      <c r="H533" t="s">
        <v>2415</v>
      </c>
      <c r="I533" t="s">
        <v>28</v>
      </c>
      <c r="J533" s="2">
        <v>9520</v>
      </c>
    </row>
    <row r="534" spans="1:10" hidden="1" x14ac:dyDescent="0.25">
      <c r="A534" t="s">
        <v>3036</v>
      </c>
      <c r="C534" t="s">
        <v>4075</v>
      </c>
      <c r="D534" t="s">
        <v>4109</v>
      </c>
      <c r="F534" t="s">
        <v>4126</v>
      </c>
      <c r="G534" s="9" t="s">
        <v>509</v>
      </c>
      <c r="H534" t="s">
        <v>2416</v>
      </c>
      <c r="I534" t="s">
        <v>37</v>
      </c>
      <c r="J534" s="2">
        <v>7729</v>
      </c>
    </row>
    <row r="535" spans="1:10" hidden="1" x14ac:dyDescent="0.25">
      <c r="A535" t="s">
        <v>3037</v>
      </c>
      <c r="C535" t="s">
        <v>4075</v>
      </c>
      <c r="D535" t="s">
        <v>4109</v>
      </c>
      <c r="F535" t="s">
        <v>4126</v>
      </c>
      <c r="G535" s="9" t="s">
        <v>511</v>
      </c>
      <c r="H535" t="s">
        <v>2416</v>
      </c>
      <c r="I535" t="s">
        <v>510</v>
      </c>
      <c r="J535" s="2">
        <v>7729</v>
      </c>
    </row>
    <row r="536" spans="1:10" hidden="1" x14ac:dyDescent="0.25">
      <c r="A536" t="s">
        <v>3038</v>
      </c>
      <c r="C536" t="s">
        <v>4075</v>
      </c>
      <c r="D536" t="s">
        <v>4109</v>
      </c>
      <c r="F536" t="s">
        <v>4126</v>
      </c>
      <c r="G536" s="9" t="s">
        <v>560</v>
      </c>
      <c r="H536" t="s">
        <v>2417</v>
      </c>
      <c r="I536" t="s">
        <v>37</v>
      </c>
      <c r="J536" s="2">
        <v>6620</v>
      </c>
    </row>
    <row r="537" spans="1:10" hidden="1" x14ac:dyDescent="0.25">
      <c r="A537" t="s">
        <v>3039</v>
      </c>
      <c r="C537" t="s">
        <v>4075</v>
      </c>
      <c r="D537" t="s">
        <v>4109</v>
      </c>
      <c r="F537" t="s">
        <v>4126</v>
      </c>
      <c r="G537" s="9" t="s">
        <v>561</v>
      </c>
      <c r="H537" t="s">
        <v>2417</v>
      </c>
      <c r="I537" t="s">
        <v>28</v>
      </c>
      <c r="J537" s="2">
        <v>6620</v>
      </c>
    </row>
    <row r="538" spans="1:10" hidden="1" x14ac:dyDescent="0.25">
      <c r="A538" t="s">
        <v>3040</v>
      </c>
      <c r="C538" t="s">
        <v>4075</v>
      </c>
      <c r="D538" t="s">
        <v>4109</v>
      </c>
      <c r="F538" t="s">
        <v>4126</v>
      </c>
      <c r="G538" s="9" t="s">
        <v>588</v>
      </c>
      <c r="H538" t="s">
        <v>2418</v>
      </c>
      <c r="I538" t="s">
        <v>37</v>
      </c>
      <c r="J538" s="2">
        <v>6281</v>
      </c>
    </row>
    <row r="539" spans="1:10" hidden="1" x14ac:dyDescent="0.25">
      <c r="A539" t="s">
        <v>3041</v>
      </c>
      <c r="C539" t="s">
        <v>4075</v>
      </c>
      <c r="D539" t="s">
        <v>4109</v>
      </c>
      <c r="F539" t="s">
        <v>4126</v>
      </c>
      <c r="G539" s="9" t="s">
        <v>590</v>
      </c>
      <c r="H539" t="s">
        <v>2418</v>
      </c>
      <c r="I539" t="s">
        <v>589</v>
      </c>
      <c r="J539" s="2">
        <v>6281</v>
      </c>
    </row>
    <row r="540" spans="1:10" hidden="1" x14ac:dyDescent="0.25">
      <c r="A540" t="s">
        <v>3042</v>
      </c>
      <c r="C540" t="s">
        <v>4075</v>
      </c>
      <c r="D540" t="s">
        <v>4109</v>
      </c>
      <c r="F540" t="s">
        <v>4126</v>
      </c>
      <c r="G540" s="9" t="s">
        <v>591</v>
      </c>
      <c r="H540" t="s">
        <v>2418</v>
      </c>
      <c r="I540" t="s">
        <v>2468</v>
      </c>
      <c r="J540" s="2">
        <v>6281</v>
      </c>
    </row>
    <row r="541" spans="1:10" hidden="1" x14ac:dyDescent="0.25">
      <c r="A541" t="s">
        <v>3043</v>
      </c>
      <c r="C541" t="s">
        <v>4075</v>
      </c>
      <c r="D541" t="s">
        <v>4109</v>
      </c>
      <c r="F541" t="s">
        <v>4126</v>
      </c>
      <c r="G541" s="9" t="s">
        <v>602</v>
      </c>
      <c r="H541" t="s">
        <v>2419</v>
      </c>
      <c r="I541" t="s">
        <v>28</v>
      </c>
      <c r="J541" s="2">
        <v>6038</v>
      </c>
    </row>
    <row r="542" spans="1:10" hidden="1" x14ac:dyDescent="0.25">
      <c r="A542" t="s">
        <v>3044</v>
      </c>
      <c r="C542" t="s">
        <v>4075</v>
      </c>
      <c r="D542" t="s">
        <v>4109</v>
      </c>
      <c r="F542" t="s">
        <v>4126</v>
      </c>
      <c r="G542" s="9" t="s">
        <v>631</v>
      </c>
      <c r="H542" t="s">
        <v>2420</v>
      </c>
      <c r="I542" t="s">
        <v>37</v>
      </c>
      <c r="J542" s="2">
        <v>5508</v>
      </c>
    </row>
    <row r="543" spans="1:10" hidden="1" x14ac:dyDescent="0.25">
      <c r="A543" t="s">
        <v>3045</v>
      </c>
      <c r="C543" t="s">
        <v>4075</v>
      </c>
      <c r="D543" t="s">
        <v>4109</v>
      </c>
      <c r="F543" t="s">
        <v>4126</v>
      </c>
      <c r="G543" s="9" t="s">
        <v>632</v>
      </c>
      <c r="H543" t="s">
        <v>2420</v>
      </c>
      <c r="I543" t="s">
        <v>37</v>
      </c>
      <c r="J543" s="2">
        <v>5508</v>
      </c>
    </row>
    <row r="544" spans="1:10" hidden="1" x14ac:dyDescent="0.25">
      <c r="A544" t="s">
        <v>3046</v>
      </c>
      <c r="C544" t="s">
        <v>4075</v>
      </c>
      <c r="D544" t="s">
        <v>4109</v>
      </c>
      <c r="F544" t="s">
        <v>4126</v>
      </c>
      <c r="G544" s="9" t="s">
        <v>633</v>
      </c>
      <c r="H544" t="s">
        <v>2420</v>
      </c>
      <c r="I544" t="s">
        <v>297</v>
      </c>
      <c r="J544" s="2">
        <v>5508</v>
      </c>
    </row>
    <row r="545" spans="1:10" hidden="1" x14ac:dyDescent="0.25">
      <c r="A545" t="s">
        <v>3047</v>
      </c>
      <c r="C545" t="s">
        <v>4075</v>
      </c>
      <c r="D545" t="s">
        <v>4109</v>
      </c>
      <c r="F545" t="s">
        <v>4126</v>
      </c>
      <c r="G545" s="9" t="s">
        <v>634</v>
      </c>
      <c r="H545" t="s">
        <v>2420</v>
      </c>
      <c r="I545" t="s">
        <v>297</v>
      </c>
      <c r="J545" s="2">
        <v>5508</v>
      </c>
    </row>
    <row r="546" spans="1:10" hidden="1" x14ac:dyDescent="0.25">
      <c r="A546" t="s">
        <v>3048</v>
      </c>
      <c r="C546" t="s">
        <v>4075</v>
      </c>
      <c r="D546" t="s">
        <v>4109</v>
      </c>
      <c r="F546" t="s">
        <v>4126</v>
      </c>
      <c r="G546" s="9" t="s">
        <v>635</v>
      </c>
      <c r="H546" t="s">
        <v>2420</v>
      </c>
      <c r="I546" t="s">
        <v>297</v>
      </c>
      <c r="J546" s="2">
        <v>5508</v>
      </c>
    </row>
    <row r="547" spans="1:10" hidden="1" x14ac:dyDescent="0.25">
      <c r="A547" t="s">
        <v>3049</v>
      </c>
      <c r="C547" t="s">
        <v>4075</v>
      </c>
      <c r="D547" t="s">
        <v>4109</v>
      </c>
      <c r="F547" t="s">
        <v>4126</v>
      </c>
      <c r="G547" s="9" t="s">
        <v>634</v>
      </c>
      <c r="H547" t="s">
        <v>2420</v>
      </c>
      <c r="I547" t="s">
        <v>636</v>
      </c>
      <c r="J547" s="2">
        <v>5508</v>
      </c>
    </row>
    <row r="548" spans="1:10" hidden="1" x14ac:dyDescent="0.25">
      <c r="A548" t="s">
        <v>3050</v>
      </c>
      <c r="C548" t="s">
        <v>4075</v>
      </c>
      <c r="D548" t="s">
        <v>4109</v>
      </c>
      <c r="F548" t="s">
        <v>4126</v>
      </c>
      <c r="G548" s="9" t="s">
        <v>635</v>
      </c>
      <c r="H548" t="s">
        <v>2420</v>
      </c>
      <c r="I548" t="s">
        <v>637</v>
      </c>
      <c r="J548" s="2">
        <v>5508</v>
      </c>
    </row>
    <row r="549" spans="1:10" hidden="1" x14ac:dyDescent="0.25">
      <c r="A549" t="s">
        <v>3051</v>
      </c>
      <c r="C549" t="s">
        <v>4075</v>
      </c>
      <c r="D549" t="s">
        <v>4109</v>
      </c>
      <c r="F549" t="s">
        <v>4126</v>
      </c>
      <c r="G549" s="9" t="s">
        <v>656</v>
      </c>
      <c r="H549" t="s">
        <v>2421</v>
      </c>
      <c r="I549" t="s">
        <v>521</v>
      </c>
      <c r="J549" s="2">
        <v>5270</v>
      </c>
    </row>
    <row r="550" spans="1:10" hidden="1" x14ac:dyDescent="0.25">
      <c r="A550" t="s">
        <v>3052</v>
      </c>
      <c r="C550" t="s">
        <v>4075</v>
      </c>
      <c r="D550" t="s">
        <v>4109</v>
      </c>
      <c r="F550" t="s">
        <v>4126</v>
      </c>
      <c r="G550" s="9" t="s">
        <v>684</v>
      </c>
      <c r="H550" t="s">
        <v>2422</v>
      </c>
      <c r="I550" t="s">
        <v>28</v>
      </c>
      <c r="J550" s="2">
        <v>5133</v>
      </c>
    </row>
    <row r="551" spans="1:10" hidden="1" x14ac:dyDescent="0.25">
      <c r="A551" t="s">
        <v>3053</v>
      </c>
      <c r="C551" t="s">
        <v>4075</v>
      </c>
      <c r="D551" t="s">
        <v>4109</v>
      </c>
      <c r="F551" t="s">
        <v>4126</v>
      </c>
      <c r="G551" s="9" t="s">
        <v>685</v>
      </c>
      <c r="H551" t="s">
        <v>2422</v>
      </c>
      <c r="I551" t="s">
        <v>28</v>
      </c>
      <c r="J551" s="2">
        <v>5133</v>
      </c>
    </row>
    <row r="552" spans="1:10" hidden="1" x14ac:dyDescent="0.25">
      <c r="A552" t="s">
        <v>3054</v>
      </c>
      <c r="C552" t="s">
        <v>4075</v>
      </c>
      <c r="D552" t="s">
        <v>4109</v>
      </c>
      <c r="F552" t="s">
        <v>4126</v>
      </c>
      <c r="G552" s="9" t="s">
        <v>686</v>
      </c>
      <c r="H552" t="s">
        <v>2422</v>
      </c>
      <c r="I552" t="s">
        <v>30</v>
      </c>
      <c r="J552" s="2">
        <v>5133</v>
      </c>
    </row>
    <row r="553" spans="1:10" hidden="1" x14ac:dyDescent="0.25">
      <c r="A553" t="s">
        <v>3055</v>
      </c>
      <c r="C553" t="s">
        <v>4075</v>
      </c>
      <c r="D553" t="s">
        <v>4109</v>
      </c>
      <c r="F553" t="s">
        <v>4126</v>
      </c>
      <c r="G553" s="9" t="s">
        <v>786</v>
      </c>
      <c r="H553" t="s">
        <v>2423</v>
      </c>
      <c r="I553" t="s">
        <v>2467</v>
      </c>
      <c r="J553" s="2">
        <v>4786</v>
      </c>
    </row>
    <row r="554" spans="1:10" hidden="1" x14ac:dyDescent="0.25">
      <c r="A554" t="s">
        <v>3056</v>
      </c>
      <c r="C554" t="s">
        <v>4075</v>
      </c>
      <c r="D554" t="s">
        <v>4109</v>
      </c>
      <c r="F554" t="s">
        <v>4126</v>
      </c>
      <c r="G554" s="9" t="s">
        <v>830</v>
      </c>
      <c r="H554" t="s">
        <v>2424</v>
      </c>
      <c r="I554" t="s">
        <v>61</v>
      </c>
      <c r="J554" s="2">
        <v>4674</v>
      </c>
    </row>
    <row r="555" spans="1:10" hidden="1" x14ac:dyDescent="0.25">
      <c r="A555" t="s">
        <v>3057</v>
      </c>
      <c r="C555" t="s">
        <v>4075</v>
      </c>
      <c r="D555" t="s">
        <v>4109</v>
      </c>
      <c r="F555" t="s">
        <v>4126</v>
      </c>
      <c r="G555" s="9" t="s">
        <v>840</v>
      </c>
      <c r="H555" t="s">
        <v>2425</v>
      </c>
      <c r="I555" t="s">
        <v>30</v>
      </c>
      <c r="J555" s="2">
        <v>4563</v>
      </c>
    </row>
    <row r="556" spans="1:10" hidden="1" x14ac:dyDescent="0.25">
      <c r="A556" t="s">
        <v>3058</v>
      </c>
      <c r="C556" t="s">
        <v>4075</v>
      </c>
      <c r="D556" t="s">
        <v>4109</v>
      </c>
      <c r="F556" t="s">
        <v>4126</v>
      </c>
      <c r="G556" s="9" t="s">
        <v>850</v>
      </c>
      <c r="H556" t="s">
        <v>2426</v>
      </c>
      <c r="I556" t="s">
        <v>57</v>
      </c>
      <c r="J556" s="2">
        <v>4489</v>
      </c>
    </row>
    <row r="557" spans="1:10" hidden="1" x14ac:dyDescent="0.25">
      <c r="A557" t="s">
        <v>3059</v>
      </c>
      <c r="C557" t="s">
        <v>4075</v>
      </c>
      <c r="D557" t="s">
        <v>4109</v>
      </c>
      <c r="F557" t="s">
        <v>4126</v>
      </c>
      <c r="G557" s="9" t="s">
        <v>850</v>
      </c>
      <c r="H557" t="s">
        <v>2426</v>
      </c>
      <c r="I557" t="s">
        <v>89</v>
      </c>
      <c r="J557" s="2">
        <v>4489</v>
      </c>
    </row>
    <row r="558" spans="1:10" hidden="1" x14ac:dyDescent="0.25">
      <c r="A558" t="s">
        <v>3060</v>
      </c>
      <c r="C558" t="s">
        <v>4075</v>
      </c>
      <c r="D558" t="s">
        <v>4109</v>
      </c>
      <c r="F558" t="s">
        <v>4126</v>
      </c>
      <c r="G558" s="9" t="s">
        <v>887</v>
      </c>
      <c r="H558" t="s">
        <v>2427</v>
      </c>
      <c r="I558" t="s">
        <v>37</v>
      </c>
      <c r="J558" s="2">
        <v>4320</v>
      </c>
    </row>
    <row r="559" spans="1:10" hidden="1" x14ac:dyDescent="0.25">
      <c r="A559" t="s">
        <v>3061</v>
      </c>
      <c r="C559" t="s">
        <v>4075</v>
      </c>
      <c r="D559" t="s">
        <v>4109</v>
      </c>
      <c r="F559" t="s">
        <v>4126</v>
      </c>
      <c r="G559" s="9" t="s">
        <v>888</v>
      </c>
      <c r="H559" t="s">
        <v>2427</v>
      </c>
      <c r="I559" t="s">
        <v>2467</v>
      </c>
      <c r="J559" s="2">
        <v>4320</v>
      </c>
    </row>
    <row r="560" spans="1:10" hidden="1" x14ac:dyDescent="0.25">
      <c r="A560" t="s">
        <v>3062</v>
      </c>
      <c r="C560" t="s">
        <v>4075</v>
      </c>
      <c r="D560" t="s">
        <v>4109</v>
      </c>
      <c r="F560" t="s">
        <v>4126</v>
      </c>
      <c r="G560" s="9" t="s">
        <v>889</v>
      </c>
      <c r="H560" t="s">
        <v>2427</v>
      </c>
      <c r="I560" t="s">
        <v>61</v>
      </c>
      <c r="J560" s="2">
        <v>4320</v>
      </c>
    </row>
    <row r="561" spans="1:10" hidden="1" x14ac:dyDescent="0.25">
      <c r="A561" t="s">
        <v>3063</v>
      </c>
      <c r="C561" t="s">
        <v>4075</v>
      </c>
      <c r="D561" t="s">
        <v>4109</v>
      </c>
      <c r="F561" t="s">
        <v>4126</v>
      </c>
      <c r="G561" s="9" t="s">
        <v>890</v>
      </c>
      <c r="H561" t="s">
        <v>2427</v>
      </c>
      <c r="I561" t="s">
        <v>30</v>
      </c>
      <c r="J561" s="2">
        <v>4320</v>
      </c>
    </row>
    <row r="562" spans="1:10" hidden="1" x14ac:dyDescent="0.25">
      <c r="A562" t="s">
        <v>3064</v>
      </c>
      <c r="C562" t="s">
        <v>4075</v>
      </c>
      <c r="D562" t="s">
        <v>4109</v>
      </c>
      <c r="F562" t="s">
        <v>4126</v>
      </c>
      <c r="G562" s="9" t="s">
        <v>935</v>
      </c>
      <c r="H562" t="s">
        <v>2428</v>
      </c>
      <c r="I562" t="s">
        <v>30</v>
      </c>
      <c r="J562" s="2">
        <v>4137</v>
      </c>
    </row>
    <row r="563" spans="1:10" hidden="1" x14ac:dyDescent="0.25">
      <c r="A563" t="s">
        <v>3065</v>
      </c>
      <c r="C563" t="s">
        <v>4075</v>
      </c>
      <c r="D563" t="s">
        <v>4109</v>
      </c>
      <c r="F563" t="s">
        <v>4126</v>
      </c>
      <c r="G563" s="9" t="s">
        <v>940</v>
      </c>
      <c r="H563" t="s">
        <v>2429</v>
      </c>
      <c r="I563" t="s">
        <v>30</v>
      </c>
      <c r="J563" s="2">
        <v>4095</v>
      </c>
    </row>
    <row r="564" spans="1:10" hidden="1" x14ac:dyDescent="0.25">
      <c r="A564" t="s">
        <v>3066</v>
      </c>
      <c r="C564" t="s">
        <v>4075</v>
      </c>
      <c r="D564" t="s">
        <v>4109</v>
      </c>
      <c r="F564" t="s">
        <v>4126</v>
      </c>
      <c r="G564" s="9" t="s">
        <v>997</v>
      </c>
      <c r="H564" t="s">
        <v>2430</v>
      </c>
      <c r="I564" t="s">
        <v>30</v>
      </c>
      <c r="J564" s="2">
        <v>3853</v>
      </c>
    </row>
    <row r="565" spans="1:10" hidden="1" x14ac:dyDescent="0.25">
      <c r="A565" t="s">
        <v>3067</v>
      </c>
      <c r="C565" t="s">
        <v>4075</v>
      </c>
      <c r="D565" t="s">
        <v>4109</v>
      </c>
      <c r="F565" t="s">
        <v>4126</v>
      </c>
      <c r="G565" s="9" t="s">
        <v>1026</v>
      </c>
      <c r="H565" t="s">
        <v>2431</v>
      </c>
      <c r="I565" t="s">
        <v>26</v>
      </c>
      <c r="J565" s="2">
        <v>3783</v>
      </c>
    </row>
    <row r="566" spans="1:10" hidden="1" x14ac:dyDescent="0.25">
      <c r="A566" t="s">
        <v>3068</v>
      </c>
      <c r="C566" t="s">
        <v>4075</v>
      </c>
      <c r="D566" t="s">
        <v>4109</v>
      </c>
      <c r="F566" t="s">
        <v>4126</v>
      </c>
      <c r="G566" s="9" t="s">
        <v>1117</v>
      </c>
      <c r="H566" t="s">
        <v>2432</v>
      </c>
      <c r="I566" t="s">
        <v>521</v>
      </c>
      <c r="J566" s="2">
        <v>3442</v>
      </c>
    </row>
    <row r="567" spans="1:10" hidden="1" x14ac:dyDescent="0.25">
      <c r="A567" t="s">
        <v>3069</v>
      </c>
      <c r="C567" t="s">
        <v>4075</v>
      </c>
      <c r="D567" t="s">
        <v>4109</v>
      </c>
      <c r="F567" t="s">
        <v>4126</v>
      </c>
      <c r="G567" s="9" t="s">
        <v>1124</v>
      </c>
      <c r="H567" t="s">
        <v>2433</v>
      </c>
      <c r="I567" t="s">
        <v>2467</v>
      </c>
      <c r="J567" s="2">
        <v>3408</v>
      </c>
    </row>
    <row r="568" spans="1:10" hidden="1" x14ac:dyDescent="0.25">
      <c r="A568" t="s">
        <v>3070</v>
      </c>
      <c r="C568" t="s">
        <v>4075</v>
      </c>
      <c r="D568" t="s">
        <v>4109</v>
      </c>
      <c r="F568" t="s">
        <v>4126</v>
      </c>
      <c r="G568" s="9" t="s">
        <v>1125</v>
      </c>
      <c r="H568" t="s">
        <v>2433</v>
      </c>
      <c r="I568" t="s">
        <v>30</v>
      </c>
      <c r="J568" s="2">
        <v>3408</v>
      </c>
    </row>
    <row r="569" spans="1:10" hidden="1" x14ac:dyDescent="0.25">
      <c r="A569" t="s">
        <v>3071</v>
      </c>
      <c r="C569" t="s">
        <v>4075</v>
      </c>
      <c r="D569" t="s">
        <v>4109</v>
      </c>
      <c r="F569" t="s">
        <v>4126</v>
      </c>
      <c r="G569" s="9" t="s">
        <v>1218</v>
      </c>
      <c r="H569" t="s">
        <v>2434</v>
      </c>
      <c r="I569" t="s">
        <v>328</v>
      </c>
      <c r="J569" s="2">
        <v>3197</v>
      </c>
    </row>
    <row r="570" spans="1:10" hidden="1" x14ac:dyDescent="0.25">
      <c r="A570" t="s">
        <v>3072</v>
      </c>
      <c r="C570" t="s">
        <v>4075</v>
      </c>
      <c r="D570" t="s">
        <v>4109</v>
      </c>
      <c r="F570" t="s">
        <v>4126</v>
      </c>
      <c r="G570" s="9" t="s">
        <v>1219</v>
      </c>
      <c r="H570" t="s">
        <v>2435</v>
      </c>
      <c r="I570" t="s">
        <v>37</v>
      </c>
      <c r="J570" s="2">
        <v>3189</v>
      </c>
    </row>
    <row r="571" spans="1:10" hidden="1" x14ac:dyDescent="0.25">
      <c r="A571" t="s">
        <v>3073</v>
      </c>
      <c r="C571" t="s">
        <v>4075</v>
      </c>
      <c r="D571" t="s">
        <v>4109</v>
      </c>
      <c r="F571" t="s">
        <v>4126</v>
      </c>
      <c r="G571" s="9" t="s">
        <v>1220</v>
      </c>
      <c r="H571" t="s">
        <v>2435</v>
      </c>
      <c r="I571" t="s">
        <v>37</v>
      </c>
      <c r="J571" s="2">
        <v>3189</v>
      </c>
    </row>
    <row r="572" spans="1:10" hidden="1" x14ac:dyDescent="0.25">
      <c r="A572" t="s">
        <v>3074</v>
      </c>
      <c r="C572" t="s">
        <v>4075</v>
      </c>
      <c r="D572" t="s">
        <v>4109</v>
      </c>
      <c r="F572" t="s">
        <v>4126</v>
      </c>
      <c r="G572" s="9" t="s">
        <v>1221</v>
      </c>
      <c r="H572" t="s">
        <v>2435</v>
      </c>
      <c r="I572" t="s">
        <v>28</v>
      </c>
      <c r="J572" s="2">
        <v>3189</v>
      </c>
    </row>
    <row r="573" spans="1:10" hidden="1" x14ac:dyDescent="0.25">
      <c r="A573" t="s">
        <v>3075</v>
      </c>
      <c r="C573" t="s">
        <v>4075</v>
      </c>
      <c r="D573" t="s">
        <v>4109</v>
      </c>
      <c r="F573" t="s">
        <v>4126</v>
      </c>
      <c r="G573" s="9" t="s">
        <v>1230</v>
      </c>
      <c r="H573" t="s">
        <v>2436</v>
      </c>
      <c r="I573" t="s">
        <v>37</v>
      </c>
      <c r="J573" s="2">
        <v>3152</v>
      </c>
    </row>
    <row r="574" spans="1:10" hidden="1" x14ac:dyDescent="0.25">
      <c r="A574" t="s">
        <v>3076</v>
      </c>
      <c r="C574" t="s">
        <v>4075</v>
      </c>
      <c r="D574" t="s">
        <v>4109</v>
      </c>
      <c r="F574" t="s">
        <v>4126</v>
      </c>
      <c r="G574" s="9" t="s">
        <v>1231</v>
      </c>
      <c r="H574" t="s">
        <v>2436</v>
      </c>
      <c r="I574" t="s">
        <v>2467</v>
      </c>
      <c r="J574" s="2">
        <v>3152</v>
      </c>
    </row>
    <row r="575" spans="1:10" hidden="1" x14ac:dyDescent="0.25">
      <c r="A575" t="s">
        <v>3077</v>
      </c>
      <c r="C575" t="s">
        <v>4075</v>
      </c>
      <c r="D575" t="s">
        <v>4109</v>
      </c>
      <c r="F575" t="s">
        <v>4126</v>
      </c>
      <c r="G575" s="9" t="s">
        <v>1280</v>
      </c>
      <c r="H575" t="s">
        <v>2437</v>
      </c>
      <c r="I575" t="s">
        <v>37</v>
      </c>
      <c r="J575" s="2">
        <v>2960</v>
      </c>
    </row>
    <row r="576" spans="1:10" hidden="1" x14ac:dyDescent="0.25">
      <c r="A576" t="s">
        <v>3078</v>
      </c>
      <c r="C576" t="s">
        <v>4075</v>
      </c>
      <c r="D576" t="s">
        <v>4109</v>
      </c>
      <c r="F576" t="s">
        <v>4126</v>
      </c>
      <c r="G576" s="9" t="s">
        <v>1281</v>
      </c>
      <c r="H576" t="s">
        <v>2437</v>
      </c>
      <c r="I576" t="s">
        <v>37</v>
      </c>
      <c r="J576" s="2">
        <v>2960</v>
      </c>
    </row>
    <row r="577" spans="1:10" hidden="1" x14ac:dyDescent="0.25">
      <c r="A577" t="s">
        <v>3079</v>
      </c>
      <c r="C577" t="s">
        <v>4075</v>
      </c>
      <c r="D577" t="s">
        <v>4109</v>
      </c>
      <c r="F577" t="s">
        <v>4126</v>
      </c>
      <c r="G577" s="9" t="s">
        <v>1289</v>
      </c>
      <c r="H577" t="s">
        <v>2438</v>
      </c>
      <c r="I577" t="s">
        <v>57</v>
      </c>
      <c r="J577" s="2">
        <v>2927</v>
      </c>
    </row>
    <row r="578" spans="1:10" hidden="1" x14ac:dyDescent="0.25">
      <c r="A578" t="s">
        <v>3080</v>
      </c>
      <c r="C578" t="s">
        <v>4075</v>
      </c>
      <c r="D578" t="s">
        <v>4109</v>
      </c>
      <c r="F578" t="s">
        <v>4126</v>
      </c>
      <c r="G578" s="9" t="s">
        <v>1290</v>
      </c>
      <c r="H578" t="s">
        <v>2438</v>
      </c>
      <c r="I578" t="s">
        <v>37</v>
      </c>
      <c r="J578" s="2">
        <v>2927</v>
      </c>
    </row>
    <row r="579" spans="1:10" hidden="1" x14ac:dyDescent="0.25">
      <c r="A579" t="s">
        <v>3081</v>
      </c>
      <c r="C579" t="s">
        <v>4075</v>
      </c>
      <c r="D579" t="s">
        <v>4109</v>
      </c>
      <c r="F579" t="s">
        <v>4126</v>
      </c>
      <c r="G579" s="9" t="s">
        <v>1291</v>
      </c>
      <c r="H579" t="s">
        <v>2438</v>
      </c>
      <c r="I579" t="s">
        <v>61</v>
      </c>
      <c r="J579" s="2">
        <v>2927</v>
      </c>
    </row>
    <row r="580" spans="1:10" hidden="1" x14ac:dyDescent="0.25">
      <c r="A580" t="s">
        <v>3082</v>
      </c>
      <c r="C580" t="s">
        <v>4075</v>
      </c>
      <c r="D580" t="s">
        <v>4109</v>
      </c>
      <c r="F580" t="s">
        <v>4126</v>
      </c>
      <c r="G580" s="9" t="s">
        <v>1293</v>
      </c>
      <c r="H580" t="s">
        <v>2438</v>
      </c>
      <c r="I580" t="s">
        <v>1292</v>
      </c>
      <c r="J580" s="2">
        <v>2927</v>
      </c>
    </row>
    <row r="581" spans="1:10" hidden="1" x14ac:dyDescent="0.25">
      <c r="A581" t="s">
        <v>3083</v>
      </c>
      <c r="C581" t="s">
        <v>4075</v>
      </c>
      <c r="D581" t="s">
        <v>4109</v>
      </c>
      <c r="F581" t="s">
        <v>4126</v>
      </c>
      <c r="G581" s="9" t="s">
        <v>1379</v>
      </c>
      <c r="H581" t="s">
        <v>2439</v>
      </c>
      <c r="I581" t="s">
        <v>61</v>
      </c>
      <c r="J581" s="2">
        <v>2569</v>
      </c>
    </row>
    <row r="582" spans="1:10" hidden="1" x14ac:dyDescent="0.25">
      <c r="A582" t="s">
        <v>3084</v>
      </c>
      <c r="C582" t="s">
        <v>4075</v>
      </c>
      <c r="D582" t="s">
        <v>4109</v>
      </c>
      <c r="F582" t="s">
        <v>4126</v>
      </c>
      <c r="G582" s="9" t="s">
        <v>1403</v>
      </c>
      <c r="H582" t="s">
        <v>2440</v>
      </c>
      <c r="I582" t="s">
        <v>2467</v>
      </c>
      <c r="J582" s="2">
        <v>2528</v>
      </c>
    </row>
    <row r="583" spans="1:10" hidden="1" x14ac:dyDescent="0.25">
      <c r="A583" t="s">
        <v>3085</v>
      </c>
      <c r="C583" t="s">
        <v>4075</v>
      </c>
      <c r="D583" t="s">
        <v>4109</v>
      </c>
      <c r="F583" t="s">
        <v>4126</v>
      </c>
      <c r="G583" s="9" t="s">
        <v>1404</v>
      </c>
      <c r="H583" t="s">
        <v>2440</v>
      </c>
      <c r="I583" t="s">
        <v>30</v>
      </c>
      <c r="J583" s="2">
        <v>2528</v>
      </c>
    </row>
    <row r="584" spans="1:10" hidden="1" x14ac:dyDescent="0.25">
      <c r="A584" t="s">
        <v>3086</v>
      </c>
      <c r="C584" t="s">
        <v>4075</v>
      </c>
      <c r="D584" t="s">
        <v>4109</v>
      </c>
      <c r="F584" t="s">
        <v>4126</v>
      </c>
      <c r="G584" s="9" t="s">
        <v>1416</v>
      </c>
      <c r="H584" t="s">
        <v>2441</v>
      </c>
      <c r="I584" t="s">
        <v>1415</v>
      </c>
      <c r="J584" s="2">
        <v>2479</v>
      </c>
    </row>
    <row r="585" spans="1:10" hidden="1" x14ac:dyDescent="0.25">
      <c r="A585" t="s">
        <v>3087</v>
      </c>
      <c r="C585" t="s">
        <v>4075</v>
      </c>
      <c r="D585" t="s">
        <v>4109</v>
      </c>
      <c r="F585" t="s">
        <v>4126</v>
      </c>
      <c r="G585" s="9" t="s">
        <v>1417</v>
      </c>
      <c r="H585" t="s">
        <v>2442</v>
      </c>
      <c r="I585" t="s">
        <v>26</v>
      </c>
      <c r="J585" s="2">
        <v>2478</v>
      </c>
    </row>
    <row r="586" spans="1:10" hidden="1" x14ac:dyDescent="0.25">
      <c r="A586" t="s">
        <v>3088</v>
      </c>
      <c r="C586" t="s">
        <v>4075</v>
      </c>
      <c r="D586" t="s">
        <v>4109</v>
      </c>
      <c r="F586" t="s">
        <v>4126</v>
      </c>
      <c r="G586" s="9" t="s">
        <v>1422</v>
      </c>
      <c r="H586" t="s">
        <v>2443</v>
      </c>
      <c r="I586" t="s">
        <v>2467</v>
      </c>
      <c r="J586" s="2">
        <v>2466</v>
      </c>
    </row>
    <row r="587" spans="1:10" hidden="1" x14ac:dyDescent="0.25">
      <c r="A587" t="s">
        <v>3089</v>
      </c>
      <c r="C587" t="s">
        <v>4075</v>
      </c>
      <c r="D587" t="s">
        <v>4109</v>
      </c>
      <c r="F587" t="s">
        <v>4126</v>
      </c>
      <c r="G587" s="9" t="s">
        <v>1434</v>
      </c>
      <c r="H587" t="s">
        <v>2444</v>
      </c>
      <c r="I587" t="s">
        <v>61</v>
      </c>
      <c r="J587" s="2">
        <v>2427</v>
      </c>
    </row>
    <row r="588" spans="1:10" hidden="1" x14ac:dyDescent="0.25">
      <c r="A588" t="s">
        <v>3090</v>
      </c>
      <c r="C588" t="s">
        <v>4075</v>
      </c>
      <c r="D588" t="s">
        <v>4109</v>
      </c>
      <c r="F588" t="s">
        <v>4126</v>
      </c>
      <c r="G588" s="9" t="s">
        <v>1444</v>
      </c>
      <c r="H588" t="s">
        <v>2445</v>
      </c>
      <c r="I588" t="s">
        <v>28</v>
      </c>
      <c r="J588" s="2">
        <v>2393</v>
      </c>
    </row>
    <row r="589" spans="1:10" hidden="1" x14ac:dyDescent="0.25">
      <c r="A589" t="s">
        <v>3091</v>
      </c>
      <c r="C589" t="s">
        <v>4075</v>
      </c>
      <c r="D589" t="s">
        <v>4109</v>
      </c>
      <c r="F589" t="s">
        <v>4126</v>
      </c>
      <c r="G589" s="9" t="s">
        <v>1445</v>
      </c>
      <c r="H589" t="s">
        <v>2445</v>
      </c>
      <c r="I589" t="s">
        <v>61</v>
      </c>
      <c r="J589" s="2">
        <v>2393</v>
      </c>
    </row>
    <row r="590" spans="1:10" hidden="1" x14ac:dyDescent="0.25">
      <c r="A590" t="s">
        <v>3092</v>
      </c>
      <c r="C590" t="s">
        <v>4075</v>
      </c>
      <c r="D590" t="s">
        <v>4109</v>
      </c>
      <c r="F590" t="s">
        <v>4126</v>
      </c>
      <c r="G590" s="9" t="s">
        <v>1446</v>
      </c>
      <c r="H590" t="s">
        <v>2445</v>
      </c>
      <c r="I590" t="s">
        <v>1415</v>
      </c>
      <c r="J590" s="2">
        <v>2393</v>
      </c>
    </row>
    <row r="591" spans="1:10" hidden="1" x14ac:dyDescent="0.25">
      <c r="A591" t="s">
        <v>3093</v>
      </c>
      <c r="C591" t="s">
        <v>4075</v>
      </c>
      <c r="D591" t="s">
        <v>4109</v>
      </c>
      <c r="F591" t="s">
        <v>4126</v>
      </c>
      <c r="G591" s="9" t="s">
        <v>1451</v>
      </c>
      <c r="H591" t="s">
        <v>2446</v>
      </c>
      <c r="I591" t="s">
        <v>28</v>
      </c>
      <c r="J591" s="2">
        <v>2386</v>
      </c>
    </row>
    <row r="592" spans="1:10" hidden="1" x14ac:dyDescent="0.25">
      <c r="A592" t="s">
        <v>3094</v>
      </c>
      <c r="C592" t="s">
        <v>4075</v>
      </c>
      <c r="D592" t="s">
        <v>4109</v>
      </c>
      <c r="F592" t="s">
        <v>4126</v>
      </c>
      <c r="G592" s="9" t="s">
        <v>1452</v>
      </c>
      <c r="H592" t="s">
        <v>2447</v>
      </c>
      <c r="I592" t="s">
        <v>57</v>
      </c>
      <c r="J592" s="2">
        <v>2385</v>
      </c>
    </row>
    <row r="593" spans="1:10" hidden="1" x14ac:dyDescent="0.25">
      <c r="A593" t="s">
        <v>3095</v>
      </c>
      <c r="C593" t="s">
        <v>4075</v>
      </c>
      <c r="D593" t="s">
        <v>4109</v>
      </c>
      <c r="F593" t="s">
        <v>4126</v>
      </c>
      <c r="G593" s="9" t="s">
        <v>1461</v>
      </c>
      <c r="H593" t="s">
        <v>2448</v>
      </c>
      <c r="I593" t="s">
        <v>61</v>
      </c>
      <c r="J593" s="2">
        <v>2360</v>
      </c>
    </row>
    <row r="594" spans="1:10" hidden="1" x14ac:dyDescent="0.25">
      <c r="A594" t="s">
        <v>3096</v>
      </c>
      <c r="C594" t="s">
        <v>4075</v>
      </c>
      <c r="D594" t="s">
        <v>4109</v>
      </c>
      <c r="F594" t="s">
        <v>4126</v>
      </c>
      <c r="G594" s="9" t="s">
        <v>1480</v>
      </c>
      <c r="H594" t="s">
        <v>2449</v>
      </c>
      <c r="I594" t="s">
        <v>13</v>
      </c>
      <c r="J594" s="2">
        <v>2341</v>
      </c>
    </row>
    <row r="595" spans="1:10" hidden="1" x14ac:dyDescent="0.25">
      <c r="A595" t="s">
        <v>3097</v>
      </c>
      <c r="C595" t="s">
        <v>4075</v>
      </c>
      <c r="D595" t="s">
        <v>4109</v>
      </c>
      <c r="F595" t="s">
        <v>4126</v>
      </c>
      <c r="G595" s="9" t="s">
        <v>1481</v>
      </c>
      <c r="H595" t="s">
        <v>2449</v>
      </c>
      <c r="I595" t="s">
        <v>13</v>
      </c>
      <c r="J595" s="2">
        <v>2341</v>
      </c>
    </row>
    <row r="596" spans="1:10" hidden="1" x14ac:dyDescent="0.25">
      <c r="A596" t="s">
        <v>3098</v>
      </c>
      <c r="C596" t="s">
        <v>4075</v>
      </c>
      <c r="D596" t="s">
        <v>4109</v>
      </c>
      <c r="F596" t="s">
        <v>4126</v>
      </c>
      <c r="G596" s="9" t="s">
        <v>1517</v>
      </c>
      <c r="H596" t="s">
        <v>2450</v>
      </c>
      <c r="I596" t="s">
        <v>57</v>
      </c>
      <c r="J596" s="2">
        <v>2214</v>
      </c>
    </row>
    <row r="597" spans="1:10" hidden="1" x14ac:dyDescent="0.25">
      <c r="A597" t="s">
        <v>3099</v>
      </c>
      <c r="C597" t="s">
        <v>4075</v>
      </c>
      <c r="D597" t="s">
        <v>4109</v>
      </c>
      <c r="F597" t="s">
        <v>4126</v>
      </c>
      <c r="G597" s="9" t="s">
        <v>1518</v>
      </c>
      <c r="H597" t="s">
        <v>2450</v>
      </c>
      <c r="I597" t="s">
        <v>37</v>
      </c>
      <c r="J597" s="2">
        <v>2214</v>
      </c>
    </row>
    <row r="598" spans="1:10" hidden="1" x14ac:dyDescent="0.25">
      <c r="A598" t="s">
        <v>3100</v>
      </c>
      <c r="C598" t="s">
        <v>4075</v>
      </c>
      <c r="D598" t="s">
        <v>4109</v>
      </c>
      <c r="F598" t="s">
        <v>4126</v>
      </c>
      <c r="G598" s="9" t="s">
        <v>1519</v>
      </c>
      <c r="H598" t="s">
        <v>2450</v>
      </c>
      <c r="I598" t="s">
        <v>61</v>
      </c>
      <c r="J598" s="2">
        <v>2214</v>
      </c>
    </row>
    <row r="599" spans="1:10" hidden="1" x14ac:dyDescent="0.25">
      <c r="A599" t="s">
        <v>3101</v>
      </c>
      <c r="C599" t="s">
        <v>4075</v>
      </c>
      <c r="D599" t="s">
        <v>4109</v>
      </c>
      <c r="F599" t="s">
        <v>4126</v>
      </c>
      <c r="G599" s="9" t="s">
        <v>1520</v>
      </c>
      <c r="H599" t="s">
        <v>2450</v>
      </c>
      <c r="I599" t="s">
        <v>1292</v>
      </c>
      <c r="J599" s="2">
        <v>2214</v>
      </c>
    </row>
    <row r="600" spans="1:10" hidden="1" x14ac:dyDescent="0.25">
      <c r="A600" t="s">
        <v>3102</v>
      </c>
      <c r="C600" t="s">
        <v>4075</v>
      </c>
      <c r="D600" t="s">
        <v>4109</v>
      </c>
      <c r="F600" t="s">
        <v>4126</v>
      </c>
      <c r="G600" s="9" t="s">
        <v>1559</v>
      </c>
      <c r="H600" t="s">
        <v>2451</v>
      </c>
      <c r="I600" t="s">
        <v>37</v>
      </c>
      <c r="J600" s="2">
        <v>2149</v>
      </c>
    </row>
    <row r="601" spans="1:10" hidden="1" x14ac:dyDescent="0.25">
      <c r="A601" t="s">
        <v>3103</v>
      </c>
      <c r="C601" t="s">
        <v>4075</v>
      </c>
      <c r="D601" t="s">
        <v>4109</v>
      </c>
      <c r="F601" t="s">
        <v>4126</v>
      </c>
      <c r="G601" s="9" t="s">
        <v>1560</v>
      </c>
      <c r="H601" t="s">
        <v>2451</v>
      </c>
      <c r="I601" t="s">
        <v>28</v>
      </c>
      <c r="J601" s="2">
        <v>2149</v>
      </c>
    </row>
    <row r="602" spans="1:10" hidden="1" x14ac:dyDescent="0.25">
      <c r="A602" t="s">
        <v>3104</v>
      </c>
      <c r="C602" t="s">
        <v>4075</v>
      </c>
      <c r="D602" t="s">
        <v>4109</v>
      </c>
      <c r="F602" t="s">
        <v>4126</v>
      </c>
      <c r="G602" s="9" t="s">
        <v>1561</v>
      </c>
      <c r="H602" t="s">
        <v>2451</v>
      </c>
      <c r="I602" t="s">
        <v>61</v>
      </c>
      <c r="J602" s="2">
        <v>2149</v>
      </c>
    </row>
    <row r="603" spans="1:10" hidden="1" x14ac:dyDescent="0.25">
      <c r="A603" t="s">
        <v>3105</v>
      </c>
      <c r="C603" t="s">
        <v>4075</v>
      </c>
      <c r="D603" t="s">
        <v>4109</v>
      </c>
      <c r="F603" t="s">
        <v>4126</v>
      </c>
      <c r="G603" s="9" t="s">
        <v>1565</v>
      </c>
      <c r="H603" t="s">
        <v>2452</v>
      </c>
      <c r="I603" t="s">
        <v>28</v>
      </c>
      <c r="J603" s="2">
        <v>2146</v>
      </c>
    </row>
    <row r="604" spans="1:10" hidden="1" x14ac:dyDescent="0.25">
      <c r="A604" t="s">
        <v>3106</v>
      </c>
      <c r="C604" t="s">
        <v>4075</v>
      </c>
      <c r="D604" t="s">
        <v>4109</v>
      </c>
      <c r="F604" t="s">
        <v>4126</v>
      </c>
      <c r="G604" s="9" t="s">
        <v>1568</v>
      </c>
      <c r="H604" t="s">
        <v>2453</v>
      </c>
      <c r="I604" t="s">
        <v>556</v>
      </c>
      <c r="J604" s="2">
        <v>2143</v>
      </c>
    </row>
    <row r="605" spans="1:10" hidden="1" x14ac:dyDescent="0.25">
      <c r="A605" t="s">
        <v>3107</v>
      </c>
      <c r="C605" t="s">
        <v>4075</v>
      </c>
      <c r="D605" t="s">
        <v>4109</v>
      </c>
      <c r="F605" t="s">
        <v>4126</v>
      </c>
      <c r="G605" s="9" t="s">
        <v>1569</v>
      </c>
      <c r="H605" t="s">
        <v>2453</v>
      </c>
      <c r="I605" t="s">
        <v>2467</v>
      </c>
      <c r="J605" s="2">
        <v>2143</v>
      </c>
    </row>
    <row r="606" spans="1:10" hidden="1" x14ac:dyDescent="0.25">
      <c r="A606" t="s">
        <v>3108</v>
      </c>
      <c r="C606" t="s">
        <v>4075</v>
      </c>
      <c r="D606" t="s">
        <v>4109</v>
      </c>
      <c r="F606" t="s">
        <v>4126</v>
      </c>
      <c r="G606" s="9" t="s">
        <v>1570</v>
      </c>
      <c r="H606" t="s">
        <v>2453</v>
      </c>
      <c r="I606" t="s">
        <v>2467</v>
      </c>
      <c r="J606" s="2">
        <v>2143</v>
      </c>
    </row>
    <row r="607" spans="1:10" hidden="1" x14ac:dyDescent="0.25">
      <c r="A607" t="s">
        <v>3109</v>
      </c>
      <c r="C607" t="s">
        <v>4075</v>
      </c>
      <c r="D607" t="s">
        <v>4109</v>
      </c>
      <c r="F607" t="s">
        <v>4126</v>
      </c>
      <c r="G607" s="9" t="s">
        <v>1571</v>
      </c>
      <c r="H607" t="s">
        <v>2453</v>
      </c>
      <c r="I607" t="s">
        <v>30</v>
      </c>
      <c r="J607" s="2">
        <v>2143</v>
      </c>
    </row>
    <row r="608" spans="1:10" hidden="1" x14ac:dyDescent="0.25">
      <c r="A608" t="s">
        <v>3110</v>
      </c>
      <c r="C608" t="s">
        <v>4075</v>
      </c>
      <c r="D608" t="s">
        <v>4109</v>
      </c>
      <c r="F608" t="s">
        <v>4126</v>
      </c>
      <c r="G608" s="9" t="s">
        <v>1610</v>
      </c>
      <c r="H608" t="s">
        <v>2454</v>
      </c>
      <c r="I608" t="s">
        <v>37</v>
      </c>
      <c r="J608" s="2">
        <v>2040</v>
      </c>
    </row>
    <row r="609" spans="1:10" hidden="1" x14ac:dyDescent="0.25">
      <c r="A609" t="s">
        <v>3111</v>
      </c>
      <c r="C609" t="s">
        <v>4075</v>
      </c>
      <c r="D609" t="s">
        <v>4109</v>
      </c>
      <c r="F609" t="s">
        <v>4126</v>
      </c>
      <c r="G609" s="9" t="s">
        <v>1611</v>
      </c>
      <c r="H609" t="s">
        <v>2454</v>
      </c>
      <c r="I609" t="s">
        <v>37</v>
      </c>
      <c r="J609" s="2">
        <v>2040</v>
      </c>
    </row>
    <row r="610" spans="1:10" hidden="1" x14ac:dyDescent="0.25">
      <c r="A610" t="s">
        <v>3112</v>
      </c>
      <c r="C610" t="s">
        <v>4075</v>
      </c>
      <c r="D610" t="s">
        <v>4109</v>
      </c>
      <c r="F610" t="s">
        <v>4126</v>
      </c>
      <c r="G610" s="9" t="s">
        <v>1612</v>
      </c>
      <c r="H610" t="s">
        <v>2454</v>
      </c>
      <c r="I610" t="s">
        <v>37</v>
      </c>
      <c r="J610" s="2">
        <v>2040</v>
      </c>
    </row>
    <row r="611" spans="1:10" hidden="1" x14ac:dyDescent="0.25">
      <c r="A611" t="s">
        <v>3113</v>
      </c>
      <c r="C611" t="s">
        <v>4075</v>
      </c>
      <c r="D611" t="s">
        <v>4109</v>
      </c>
      <c r="F611" t="s">
        <v>4126</v>
      </c>
      <c r="G611" s="9" t="s">
        <v>1675</v>
      </c>
      <c r="H611" t="s">
        <v>2455</v>
      </c>
      <c r="I611" t="s">
        <v>37</v>
      </c>
      <c r="J611" s="2">
        <v>1926</v>
      </c>
    </row>
    <row r="612" spans="1:10" hidden="1" x14ac:dyDescent="0.25">
      <c r="A612" t="s">
        <v>3114</v>
      </c>
      <c r="C612" t="s">
        <v>4075</v>
      </c>
      <c r="D612" t="s">
        <v>4109</v>
      </c>
      <c r="F612" t="s">
        <v>4126</v>
      </c>
      <c r="G612" s="9" t="s">
        <v>1676</v>
      </c>
      <c r="H612" t="s">
        <v>2455</v>
      </c>
      <c r="I612" t="s">
        <v>2467</v>
      </c>
      <c r="J612" s="2">
        <v>1926</v>
      </c>
    </row>
    <row r="613" spans="1:10" hidden="1" x14ac:dyDescent="0.25">
      <c r="A613" t="s">
        <v>3115</v>
      </c>
      <c r="C613" t="s">
        <v>4075</v>
      </c>
      <c r="D613" t="s">
        <v>4109</v>
      </c>
      <c r="F613" t="s">
        <v>4126</v>
      </c>
      <c r="G613" s="9" t="s">
        <v>1677</v>
      </c>
      <c r="H613" t="s">
        <v>2455</v>
      </c>
      <c r="I613" t="s">
        <v>1292</v>
      </c>
      <c r="J613" s="2">
        <v>1926</v>
      </c>
    </row>
    <row r="614" spans="1:10" hidden="1" x14ac:dyDescent="0.25">
      <c r="A614" t="s">
        <v>3116</v>
      </c>
      <c r="C614" t="s">
        <v>4075</v>
      </c>
      <c r="D614" t="s">
        <v>4109</v>
      </c>
      <c r="F614" t="s">
        <v>4126</v>
      </c>
      <c r="G614" s="9" t="s">
        <v>1721</v>
      </c>
      <c r="H614" t="s">
        <v>2456</v>
      </c>
      <c r="I614" t="s">
        <v>61</v>
      </c>
      <c r="J614" s="2">
        <v>1860</v>
      </c>
    </row>
    <row r="615" spans="1:10" hidden="1" x14ac:dyDescent="0.25">
      <c r="A615" t="s">
        <v>3117</v>
      </c>
      <c r="C615" t="s">
        <v>4075</v>
      </c>
      <c r="D615" t="s">
        <v>4109</v>
      </c>
      <c r="F615" t="s">
        <v>4126</v>
      </c>
      <c r="G615" s="9" t="s">
        <v>1734</v>
      </c>
      <c r="H615" t="s">
        <v>2457</v>
      </c>
      <c r="I615" t="s">
        <v>61</v>
      </c>
      <c r="J615" s="2">
        <v>1842</v>
      </c>
    </row>
    <row r="616" spans="1:10" hidden="1" x14ac:dyDescent="0.25">
      <c r="A616" t="s">
        <v>3118</v>
      </c>
      <c r="C616" t="s">
        <v>4075</v>
      </c>
      <c r="D616" t="s">
        <v>4109</v>
      </c>
      <c r="F616" t="s">
        <v>4126</v>
      </c>
      <c r="G616" s="9" t="s">
        <v>1735</v>
      </c>
      <c r="H616" t="s">
        <v>2457</v>
      </c>
      <c r="I616" t="s">
        <v>61</v>
      </c>
      <c r="J616" s="2">
        <v>1842</v>
      </c>
    </row>
    <row r="617" spans="1:10" hidden="1" x14ac:dyDescent="0.25">
      <c r="A617" t="s">
        <v>3119</v>
      </c>
      <c r="C617" t="s">
        <v>4075</v>
      </c>
      <c r="D617" t="s">
        <v>4109</v>
      </c>
      <c r="F617" t="s">
        <v>4126</v>
      </c>
      <c r="G617" s="9" t="s">
        <v>1836</v>
      </c>
      <c r="H617" t="s">
        <v>2458</v>
      </c>
      <c r="I617" t="s">
        <v>510</v>
      </c>
      <c r="J617" s="2">
        <v>1603</v>
      </c>
    </row>
    <row r="618" spans="1:10" hidden="1" x14ac:dyDescent="0.25">
      <c r="A618" t="s">
        <v>3120</v>
      </c>
      <c r="C618" t="s">
        <v>4075</v>
      </c>
      <c r="D618" t="s">
        <v>4109</v>
      </c>
      <c r="F618" t="s">
        <v>4126</v>
      </c>
      <c r="G618" s="9" t="s">
        <v>1874</v>
      </c>
      <c r="H618" t="s">
        <v>2459</v>
      </c>
      <c r="I618" t="s">
        <v>28</v>
      </c>
      <c r="J618" s="2">
        <v>1517</v>
      </c>
    </row>
    <row r="619" spans="1:10" hidden="1" x14ac:dyDescent="0.25">
      <c r="A619" t="s">
        <v>3121</v>
      </c>
      <c r="C619" t="s">
        <v>4075</v>
      </c>
      <c r="D619" t="s">
        <v>4109</v>
      </c>
      <c r="F619" t="s">
        <v>4126</v>
      </c>
      <c r="G619" s="9" t="s">
        <v>1879</v>
      </c>
      <c r="H619" t="s">
        <v>2460</v>
      </c>
      <c r="I619" t="s">
        <v>521</v>
      </c>
      <c r="J619" s="2">
        <v>1507</v>
      </c>
    </row>
    <row r="620" spans="1:10" hidden="1" x14ac:dyDescent="0.25">
      <c r="A620" t="s">
        <v>3122</v>
      </c>
      <c r="C620" t="s">
        <v>4075</v>
      </c>
      <c r="D620" t="s">
        <v>4109</v>
      </c>
      <c r="F620" t="s">
        <v>4126</v>
      </c>
      <c r="G620" s="9" t="s">
        <v>1880</v>
      </c>
      <c r="H620" t="s">
        <v>2460</v>
      </c>
      <c r="I620" t="s">
        <v>61</v>
      </c>
      <c r="J620" s="2">
        <v>1507</v>
      </c>
    </row>
    <row r="621" spans="1:10" hidden="1" x14ac:dyDescent="0.25">
      <c r="A621" t="s">
        <v>3123</v>
      </c>
      <c r="C621" t="s">
        <v>4075</v>
      </c>
      <c r="D621" t="s">
        <v>4109</v>
      </c>
      <c r="F621" t="s">
        <v>4126</v>
      </c>
      <c r="G621" s="9" t="s">
        <v>1928</v>
      </c>
      <c r="H621" t="s">
        <v>2461</v>
      </c>
      <c r="I621" t="s">
        <v>57</v>
      </c>
      <c r="J621" s="2">
        <v>1384</v>
      </c>
    </row>
    <row r="622" spans="1:10" hidden="1" x14ac:dyDescent="0.25">
      <c r="A622" t="s">
        <v>3124</v>
      </c>
      <c r="C622" t="s">
        <v>4075</v>
      </c>
      <c r="D622" t="s">
        <v>4109</v>
      </c>
      <c r="F622" t="s">
        <v>4126</v>
      </c>
      <c r="G622" s="9" t="s">
        <v>1929</v>
      </c>
      <c r="H622" t="s">
        <v>2461</v>
      </c>
      <c r="I622" t="s">
        <v>37</v>
      </c>
      <c r="J622" s="2">
        <v>1384</v>
      </c>
    </row>
    <row r="623" spans="1:10" hidden="1" x14ac:dyDescent="0.25">
      <c r="A623" t="s">
        <v>3125</v>
      </c>
      <c r="C623" t="s">
        <v>4075</v>
      </c>
      <c r="D623" t="s">
        <v>4109</v>
      </c>
      <c r="F623" t="s">
        <v>4126</v>
      </c>
      <c r="G623" s="9" t="s">
        <v>2018</v>
      </c>
      <c r="H623" t="s">
        <v>2462</v>
      </c>
      <c r="I623" t="s">
        <v>57</v>
      </c>
      <c r="J623" s="2">
        <v>1205</v>
      </c>
    </row>
    <row r="624" spans="1:10" hidden="1" x14ac:dyDescent="0.25">
      <c r="A624" t="s">
        <v>3126</v>
      </c>
      <c r="C624" t="s">
        <v>4075</v>
      </c>
      <c r="D624" t="s">
        <v>4109</v>
      </c>
      <c r="F624" t="s">
        <v>4126</v>
      </c>
      <c r="G624" s="9" t="s">
        <v>2019</v>
      </c>
      <c r="H624" t="s">
        <v>2462</v>
      </c>
      <c r="I624" t="s">
        <v>61</v>
      </c>
      <c r="J624" s="2">
        <v>1205</v>
      </c>
    </row>
    <row r="625" spans="1:10" hidden="1" x14ac:dyDescent="0.25">
      <c r="A625" t="s">
        <v>3127</v>
      </c>
      <c r="C625" t="s">
        <v>4075</v>
      </c>
      <c r="D625" t="s">
        <v>4109</v>
      </c>
      <c r="F625" t="s">
        <v>4126</v>
      </c>
      <c r="G625" s="9" t="s">
        <v>2018</v>
      </c>
      <c r="H625" t="s">
        <v>2462</v>
      </c>
      <c r="I625" t="s">
        <v>328</v>
      </c>
      <c r="J625" s="2">
        <v>1205</v>
      </c>
    </row>
    <row r="626" spans="1:10" hidden="1" x14ac:dyDescent="0.25">
      <c r="A626" t="s">
        <v>3128</v>
      </c>
      <c r="C626" t="s">
        <v>4075</v>
      </c>
      <c r="D626" t="s">
        <v>4109</v>
      </c>
      <c r="F626" t="s">
        <v>4126</v>
      </c>
      <c r="G626" s="9" t="s">
        <v>2079</v>
      </c>
      <c r="H626" t="s">
        <v>2463</v>
      </c>
      <c r="I626" t="s">
        <v>28</v>
      </c>
      <c r="J626" s="2">
        <v>1073</v>
      </c>
    </row>
    <row r="627" spans="1:10" hidden="1" x14ac:dyDescent="0.25">
      <c r="A627" t="s">
        <v>3129</v>
      </c>
      <c r="C627" t="s">
        <v>4075</v>
      </c>
      <c r="D627" t="s">
        <v>4109</v>
      </c>
      <c r="F627" t="s">
        <v>4126</v>
      </c>
      <c r="G627" s="9" t="s">
        <v>2083</v>
      </c>
      <c r="H627" t="s">
        <v>2464</v>
      </c>
      <c r="I627" t="s">
        <v>521</v>
      </c>
      <c r="J627" s="2">
        <v>1067</v>
      </c>
    </row>
    <row r="628" spans="1:10" hidden="1" x14ac:dyDescent="0.25">
      <c r="A628" t="s">
        <v>3130</v>
      </c>
      <c r="C628" t="s">
        <v>4075</v>
      </c>
      <c r="D628" t="s">
        <v>4109</v>
      </c>
      <c r="F628" t="s">
        <v>4126</v>
      </c>
      <c r="G628" s="9" t="s">
        <v>2084</v>
      </c>
      <c r="H628" t="s">
        <v>2464</v>
      </c>
      <c r="I628" t="s">
        <v>61</v>
      </c>
      <c r="J628" s="2">
        <v>1067</v>
      </c>
    </row>
    <row r="629" spans="1:10" hidden="1" x14ac:dyDescent="0.25">
      <c r="A629" t="s">
        <v>3131</v>
      </c>
      <c r="C629" t="s">
        <v>4075</v>
      </c>
      <c r="D629" t="s">
        <v>4109</v>
      </c>
      <c r="F629" t="s">
        <v>4126</v>
      </c>
      <c r="G629" s="9" t="s">
        <v>2086</v>
      </c>
      <c r="H629" t="s">
        <v>2464</v>
      </c>
      <c r="I629" t="s">
        <v>2085</v>
      </c>
      <c r="J629" s="2">
        <v>1067</v>
      </c>
    </row>
    <row r="630" spans="1:10" hidden="1" x14ac:dyDescent="0.25">
      <c r="A630" t="s">
        <v>3132</v>
      </c>
      <c r="C630" t="s">
        <v>4075</v>
      </c>
      <c r="D630" t="s">
        <v>4109</v>
      </c>
      <c r="F630" t="s">
        <v>4126</v>
      </c>
      <c r="G630" s="9" t="s">
        <v>2095</v>
      </c>
      <c r="H630" t="s">
        <v>2465</v>
      </c>
      <c r="I630" t="s">
        <v>510</v>
      </c>
      <c r="J630" s="2">
        <v>1035</v>
      </c>
    </row>
    <row r="631" spans="1:10" hidden="1" x14ac:dyDescent="0.25">
      <c r="A631" t="s">
        <v>3133</v>
      </c>
      <c r="C631" t="s">
        <v>4075</v>
      </c>
      <c r="D631" t="s">
        <v>4109</v>
      </c>
      <c r="F631" t="s">
        <v>4126</v>
      </c>
      <c r="G631" s="9" t="s">
        <v>2096</v>
      </c>
      <c r="H631" t="s">
        <v>2465</v>
      </c>
      <c r="I631" t="s">
        <v>30</v>
      </c>
      <c r="J631" s="2">
        <v>1035</v>
      </c>
    </row>
    <row r="632" spans="1:10" hidden="1" x14ac:dyDescent="0.25">
      <c r="A632" t="s">
        <v>3134</v>
      </c>
      <c r="C632" t="s">
        <v>4075</v>
      </c>
      <c r="D632" t="s">
        <v>4109</v>
      </c>
      <c r="F632" t="s">
        <v>4126</v>
      </c>
      <c r="G632" s="9" t="s">
        <v>2107</v>
      </c>
      <c r="H632" t="s">
        <v>2466</v>
      </c>
      <c r="I632" t="s">
        <v>2467</v>
      </c>
      <c r="J632" s="2">
        <v>1006</v>
      </c>
    </row>
    <row r="633" spans="1:10" hidden="1" x14ac:dyDescent="0.25">
      <c r="A633" t="s">
        <v>3135</v>
      </c>
      <c r="C633" t="s">
        <v>4075</v>
      </c>
      <c r="D633" t="s">
        <v>4109</v>
      </c>
      <c r="F633" t="s">
        <v>4126</v>
      </c>
      <c r="G633" s="9" t="s">
        <v>2108</v>
      </c>
      <c r="H633" t="s">
        <v>2466</v>
      </c>
      <c r="I633" t="s">
        <v>28</v>
      </c>
      <c r="J633" s="2">
        <v>1006</v>
      </c>
    </row>
    <row r="634" spans="1:10" hidden="1" x14ac:dyDescent="0.25">
      <c r="A634" t="s">
        <v>3136</v>
      </c>
      <c r="C634" t="s">
        <v>4075</v>
      </c>
      <c r="D634" t="s">
        <v>4109</v>
      </c>
      <c r="F634" t="s">
        <v>4126</v>
      </c>
      <c r="G634" s="9" t="s">
        <v>2109</v>
      </c>
      <c r="H634" t="s">
        <v>2466</v>
      </c>
      <c r="I634" t="s">
        <v>28</v>
      </c>
      <c r="J634" s="2">
        <v>1006</v>
      </c>
    </row>
    <row r="635" spans="1:10" hidden="1" x14ac:dyDescent="0.25">
      <c r="A635" t="s">
        <v>3137</v>
      </c>
      <c r="C635" t="s">
        <v>4097</v>
      </c>
      <c r="D635" t="s">
        <v>4110</v>
      </c>
      <c r="F635" t="s">
        <v>4126</v>
      </c>
      <c r="G635" s="9" t="s">
        <v>1784</v>
      </c>
      <c r="H635" t="s">
        <v>1783</v>
      </c>
      <c r="I635" t="s">
        <v>1694</v>
      </c>
      <c r="J635" s="2">
        <v>1729</v>
      </c>
    </row>
    <row r="636" spans="1:10" hidden="1" x14ac:dyDescent="0.25">
      <c r="A636" t="s">
        <v>3138</v>
      </c>
      <c r="C636" t="s">
        <v>4097</v>
      </c>
      <c r="D636" t="s">
        <v>4110</v>
      </c>
      <c r="F636" t="s">
        <v>4126</v>
      </c>
      <c r="G636" s="9" t="s">
        <v>670</v>
      </c>
      <c r="H636" t="s">
        <v>669</v>
      </c>
      <c r="I636" t="s">
        <v>64</v>
      </c>
      <c r="J636" s="2">
        <v>5210</v>
      </c>
    </row>
    <row r="637" spans="1:10" hidden="1" x14ac:dyDescent="0.25">
      <c r="A637" t="s">
        <v>3139</v>
      </c>
      <c r="C637" t="s">
        <v>4071</v>
      </c>
      <c r="D637" t="s">
        <v>2126</v>
      </c>
      <c r="F637" t="s">
        <v>4126</v>
      </c>
      <c r="G637" s="9" t="s">
        <v>182</v>
      </c>
      <c r="H637" t="s">
        <v>181</v>
      </c>
      <c r="I637" t="s">
        <v>57</v>
      </c>
      <c r="J637" s="2">
        <v>25945</v>
      </c>
    </row>
    <row r="638" spans="1:10" hidden="1" x14ac:dyDescent="0.25">
      <c r="A638" t="s">
        <v>3140</v>
      </c>
      <c r="C638" t="s">
        <v>4071</v>
      </c>
      <c r="D638" t="s">
        <v>2126</v>
      </c>
      <c r="F638" t="s">
        <v>4126</v>
      </c>
      <c r="G638" s="9" t="s">
        <v>346</v>
      </c>
      <c r="H638" t="s">
        <v>345</v>
      </c>
      <c r="I638" t="s">
        <v>57</v>
      </c>
      <c r="J638" s="2">
        <v>10916</v>
      </c>
    </row>
    <row r="639" spans="1:10" hidden="1" x14ac:dyDescent="0.25">
      <c r="A639" t="s">
        <v>3141</v>
      </c>
      <c r="C639" t="s">
        <v>4071</v>
      </c>
      <c r="D639" t="s">
        <v>2126</v>
      </c>
      <c r="F639" t="s">
        <v>4126</v>
      </c>
      <c r="G639" s="9" t="s">
        <v>508</v>
      </c>
      <c r="H639" t="s">
        <v>506</v>
      </c>
      <c r="I639" t="s">
        <v>507</v>
      </c>
      <c r="J639" s="2">
        <v>7742</v>
      </c>
    </row>
    <row r="640" spans="1:10" hidden="1" x14ac:dyDescent="0.25">
      <c r="A640" t="s">
        <v>3142</v>
      </c>
      <c r="C640" t="s">
        <v>4071</v>
      </c>
      <c r="D640" t="s">
        <v>2126</v>
      </c>
      <c r="F640" t="s">
        <v>4126</v>
      </c>
      <c r="G640" s="9" t="s">
        <v>613</v>
      </c>
      <c r="H640" t="s">
        <v>612</v>
      </c>
      <c r="I640" t="s">
        <v>57</v>
      </c>
      <c r="J640" s="2">
        <v>5914</v>
      </c>
    </row>
    <row r="641" spans="1:10" hidden="1" x14ac:dyDescent="0.25">
      <c r="A641" t="s">
        <v>3143</v>
      </c>
      <c r="C641" t="s">
        <v>4071</v>
      </c>
      <c r="D641" t="s">
        <v>2126</v>
      </c>
      <c r="F641" t="s">
        <v>4126</v>
      </c>
      <c r="G641" s="9" t="s">
        <v>614</v>
      </c>
      <c r="H641" t="s">
        <v>612</v>
      </c>
      <c r="I641" t="s">
        <v>57</v>
      </c>
      <c r="J641" s="2">
        <v>5914</v>
      </c>
    </row>
    <row r="642" spans="1:10" hidden="1" x14ac:dyDescent="0.25">
      <c r="A642" t="s">
        <v>3144</v>
      </c>
      <c r="C642" t="s">
        <v>4071</v>
      </c>
      <c r="D642" t="s">
        <v>2126</v>
      </c>
      <c r="F642" t="s">
        <v>4126</v>
      </c>
      <c r="G642" s="9" t="s">
        <v>629</v>
      </c>
      <c r="H642" t="s">
        <v>628</v>
      </c>
      <c r="I642" t="s">
        <v>507</v>
      </c>
      <c r="J642" s="2">
        <v>5594</v>
      </c>
    </row>
    <row r="643" spans="1:10" hidden="1" x14ac:dyDescent="0.25">
      <c r="A643" t="s">
        <v>3145</v>
      </c>
      <c r="C643" t="s">
        <v>4071</v>
      </c>
      <c r="D643" t="s">
        <v>2126</v>
      </c>
      <c r="F643" t="s">
        <v>4126</v>
      </c>
      <c r="G643" s="9" t="s">
        <v>709</v>
      </c>
      <c r="H643" t="s">
        <v>708</v>
      </c>
      <c r="I643" t="s">
        <v>57</v>
      </c>
      <c r="J643" s="2">
        <v>5025</v>
      </c>
    </row>
    <row r="644" spans="1:10" hidden="1" x14ac:dyDescent="0.25">
      <c r="A644" t="s">
        <v>3146</v>
      </c>
      <c r="C644" t="s">
        <v>4071</v>
      </c>
      <c r="D644" t="s">
        <v>2126</v>
      </c>
      <c r="F644" t="s">
        <v>4126</v>
      </c>
      <c r="G644" s="9" t="s">
        <v>934</v>
      </c>
      <c r="H644" t="s">
        <v>933</v>
      </c>
      <c r="I644" t="s">
        <v>379</v>
      </c>
      <c r="J644" s="2">
        <v>4142</v>
      </c>
    </row>
    <row r="645" spans="1:10" hidden="1" x14ac:dyDescent="0.25">
      <c r="A645" t="s">
        <v>3147</v>
      </c>
      <c r="C645" t="s">
        <v>4071</v>
      </c>
      <c r="D645" t="s">
        <v>2126</v>
      </c>
      <c r="F645" t="s">
        <v>4126</v>
      </c>
      <c r="G645" s="9" t="s">
        <v>1062</v>
      </c>
      <c r="H645" t="s">
        <v>1061</v>
      </c>
      <c r="I645" t="s">
        <v>507</v>
      </c>
      <c r="J645" s="2">
        <v>3664</v>
      </c>
    </row>
    <row r="646" spans="1:10" hidden="1" x14ac:dyDescent="0.25">
      <c r="A646" t="s">
        <v>3148</v>
      </c>
      <c r="C646" t="s">
        <v>4071</v>
      </c>
      <c r="D646" t="s">
        <v>2126</v>
      </c>
      <c r="F646" t="s">
        <v>4126</v>
      </c>
      <c r="G646" s="9" t="s">
        <v>1502</v>
      </c>
      <c r="H646" t="s">
        <v>1501</v>
      </c>
      <c r="I646" t="s">
        <v>57</v>
      </c>
      <c r="J646" s="2">
        <v>2259</v>
      </c>
    </row>
    <row r="647" spans="1:10" hidden="1" x14ac:dyDescent="0.25">
      <c r="A647" t="s">
        <v>3149</v>
      </c>
      <c r="C647" t="s">
        <v>4071</v>
      </c>
      <c r="D647" t="s">
        <v>2126</v>
      </c>
      <c r="F647" t="s">
        <v>4126</v>
      </c>
      <c r="G647" s="9" t="s">
        <v>1503</v>
      </c>
      <c r="H647" t="s">
        <v>1501</v>
      </c>
      <c r="I647" t="s">
        <v>507</v>
      </c>
      <c r="J647" s="2">
        <v>2259</v>
      </c>
    </row>
    <row r="648" spans="1:10" hidden="1" x14ac:dyDescent="0.25">
      <c r="A648" t="s">
        <v>3150</v>
      </c>
      <c r="C648" t="s">
        <v>4071</v>
      </c>
      <c r="D648" t="s">
        <v>2126</v>
      </c>
      <c r="F648" t="s">
        <v>4126</v>
      </c>
      <c r="G648" s="9" t="s">
        <v>1673</v>
      </c>
      <c r="H648" t="s">
        <v>1671</v>
      </c>
      <c r="I648" t="s">
        <v>1672</v>
      </c>
      <c r="J648" s="2">
        <v>1935</v>
      </c>
    </row>
    <row r="649" spans="1:10" hidden="1" x14ac:dyDescent="0.25">
      <c r="A649" t="s">
        <v>3151</v>
      </c>
      <c r="C649" t="s">
        <v>4071</v>
      </c>
      <c r="D649" t="s">
        <v>2126</v>
      </c>
      <c r="F649" t="s">
        <v>4126</v>
      </c>
      <c r="G649" s="9" t="s">
        <v>1701</v>
      </c>
      <c r="H649" t="s">
        <v>1700</v>
      </c>
      <c r="I649" t="s">
        <v>57</v>
      </c>
      <c r="J649" s="2">
        <v>1902</v>
      </c>
    </row>
    <row r="650" spans="1:10" hidden="1" x14ac:dyDescent="0.25">
      <c r="A650" t="s">
        <v>3152</v>
      </c>
      <c r="C650" t="s">
        <v>4071</v>
      </c>
      <c r="D650" t="s">
        <v>2126</v>
      </c>
      <c r="F650" t="s">
        <v>4126</v>
      </c>
      <c r="G650" s="9" t="s">
        <v>1744</v>
      </c>
      <c r="H650" t="s">
        <v>1742</v>
      </c>
      <c r="I650" t="s">
        <v>1743</v>
      </c>
      <c r="J650" s="2">
        <v>1814</v>
      </c>
    </row>
    <row r="651" spans="1:10" hidden="1" x14ac:dyDescent="0.25">
      <c r="A651" t="s">
        <v>3153</v>
      </c>
      <c r="C651" t="s">
        <v>4071</v>
      </c>
      <c r="D651" t="s">
        <v>2126</v>
      </c>
      <c r="F651" t="s">
        <v>4126</v>
      </c>
      <c r="G651" s="9" t="s">
        <v>1744</v>
      </c>
      <c r="H651" t="s">
        <v>1742</v>
      </c>
      <c r="I651" t="s">
        <v>507</v>
      </c>
      <c r="J651" s="2">
        <v>1814</v>
      </c>
    </row>
    <row r="652" spans="1:10" hidden="1" x14ac:dyDescent="0.25">
      <c r="A652" t="s">
        <v>3154</v>
      </c>
      <c r="C652" t="s">
        <v>4071</v>
      </c>
      <c r="D652" t="s">
        <v>2126</v>
      </c>
      <c r="F652" t="s">
        <v>4126</v>
      </c>
      <c r="G652" s="9" t="s">
        <v>1746</v>
      </c>
      <c r="H652" t="s">
        <v>1742</v>
      </c>
      <c r="I652" t="s">
        <v>1745</v>
      </c>
      <c r="J652" s="2">
        <v>1814</v>
      </c>
    </row>
    <row r="653" spans="1:10" hidden="1" x14ac:dyDescent="0.25">
      <c r="A653" t="s">
        <v>3155</v>
      </c>
      <c r="C653" t="s">
        <v>4071</v>
      </c>
      <c r="D653" t="s">
        <v>2126</v>
      </c>
      <c r="F653" t="s">
        <v>4126</v>
      </c>
      <c r="G653" s="9" t="s">
        <v>1864</v>
      </c>
      <c r="H653" t="s">
        <v>1863</v>
      </c>
      <c r="I653" t="s">
        <v>507</v>
      </c>
      <c r="J653" s="2">
        <v>1545</v>
      </c>
    </row>
    <row r="654" spans="1:10" hidden="1" x14ac:dyDescent="0.25">
      <c r="A654" t="s">
        <v>3156</v>
      </c>
      <c r="C654" t="s">
        <v>4071</v>
      </c>
      <c r="D654" t="s">
        <v>2126</v>
      </c>
      <c r="F654" t="s">
        <v>4126</v>
      </c>
      <c r="G654" s="9" t="s">
        <v>1866</v>
      </c>
      <c r="H654" t="s">
        <v>1863</v>
      </c>
      <c r="I654" t="s">
        <v>1865</v>
      </c>
      <c r="J654" s="2">
        <v>1545</v>
      </c>
    </row>
    <row r="655" spans="1:10" hidden="1" x14ac:dyDescent="0.25">
      <c r="A655" t="s">
        <v>3157</v>
      </c>
      <c r="C655" t="s">
        <v>4071</v>
      </c>
      <c r="D655" t="s">
        <v>2126</v>
      </c>
      <c r="F655" t="s">
        <v>4126</v>
      </c>
      <c r="G655" s="9" t="s">
        <v>1695</v>
      </c>
      <c r="H655" t="s">
        <v>1693</v>
      </c>
      <c r="I655" t="s">
        <v>1694</v>
      </c>
      <c r="J655" s="2">
        <v>1915</v>
      </c>
    </row>
    <row r="656" spans="1:10" hidden="1" x14ac:dyDescent="0.25">
      <c r="A656" t="s">
        <v>3158</v>
      </c>
      <c r="C656" t="s">
        <v>4071</v>
      </c>
      <c r="D656" t="s">
        <v>2126</v>
      </c>
      <c r="F656" t="s">
        <v>4126</v>
      </c>
      <c r="G656" s="9" t="s">
        <v>1775</v>
      </c>
      <c r="H656" t="s">
        <v>1774</v>
      </c>
      <c r="I656" t="s">
        <v>1188</v>
      </c>
      <c r="J656" s="2">
        <v>1739</v>
      </c>
    </row>
    <row r="657" spans="1:10" hidden="1" x14ac:dyDescent="0.25">
      <c r="A657" t="s">
        <v>3159</v>
      </c>
      <c r="C657" t="s">
        <v>4076</v>
      </c>
      <c r="D657" t="s">
        <v>2154</v>
      </c>
      <c r="F657" t="s">
        <v>4126</v>
      </c>
      <c r="G657" s="9" t="s">
        <v>947</v>
      </c>
      <c r="H657" t="s">
        <v>945</v>
      </c>
      <c r="I657" t="s">
        <v>946</v>
      </c>
      <c r="J657" s="2">
        <v>4081</v>
      </c>
    </row>
    <row r="658" spans="1:10" hidden="1" x14ac:dyDescent="0.25">
      <c r="A658" t="s">
        <v>3160</v>
      </c>
      <c r="C658" t="s">
        <v>4076</v>
      </c>
      <c r="D658" t="s">
        <v>2154</v>
      </c>
      <c r="F658" t="s">
        <v>4126</v>
      </c>
      <c r="G658" s="9" t="s">
        <v>1550</v>
      </c>
      <c r="H658" t="s">
        <v>1548</v>
      </c>
      <c r="I658" t="s">
        <v>1549</v>
      </c>
      <c r="J658" s="2">
        <v>2153</v>
      </c>
    </row>
    <row r="659" spans="1:10" hidden="1" x14ac:dyDescent="0.25">
      <c r="A659" t="s">
        <v>3161</v>
      </c>
      <c r="C659" t="s">
        <v>4076</v>
      </c>
      <c r="D659" t="s">
        <v>2154</v>
      </c>
      <c r="F659" t="s">
        <v>4126</v>
      </c>
      <c r="G659" s="9" t="s">
        <v>1551</v>
      </c>
      <c r="H659" t="s">
        <v>1548</v>
      </c>
      <c r="I659" t="s">
        <v>1549</v>
      </c>
      <c r="J659" s="2">
        <v>2153</v>
      </c>
    </row>
    <row r="660" spans="1:10" hidden="1" x14ac:dyDescent="0.25">
      <c r="A660" t="s">
        <v>3162</v>
      </c>
      <c r="C660" t="s">
        <v>4076</v>
      </c>
      <c r="D660" t="s">
        <v>2154</v>
      </c>
      <c r="F660" t="s">
        <v>4126</v>
      </c>
      <c r="G660" s="9" t="s">
        <v>1552</v>
      </c>
      <c r="H660" t="s">
        <v>1548</v>
      </c>
      <c r="I660" t="s">
        <v>1549</v>
      </c>
      <c r="J660" s="2">
        <v>2153</v>
      </c>
    </row>
    <row r="661" spans="1:10" hidden="1" x14ac:dyDescent="0.25">
      <c r="A661" t="s">
        <v>3163</v>
      </c>
      <c r="C661" t="s">
        <v>4076</v>
      </c>
      <c r="D661" t="s">
        <v>2154</v>
      </c>
      <c r="F661" t="s">
        <v>4126</v>
      </c>
      <c r="G661" s="9" t="s">
        <v>1554</v>
      </c>
      <c r="H661" t="s">
        <v>1548</v>
      </c>
      <c r="I661" t="s">
        <v>1553</v>
      </c>
      <c r="J661" s="2">
        <v>2153</v>
      </c>
    </row>
    <row r="662" spans="1:10" hidden="1" x14ac:dyDescent="0.25">
      <c r="A662" t="s">
        <v>3164</v>
      </c>
      <c r="C662" t="s">
        <v>4076</v>
      </c>
      <c r="D662" t="s">
        <v>2154</v>
      </c>
      <c r="F662" t="s">
        <v>4126</v>
      </c>
      <c r="G662" s="9" t="s">
        <v>1556</v>
      </c>
      <c r="H662" t="s">
        <v>1548</v>
      </c>
      <c r="I662" t="s">
        <v>1555</v>
      </c>
      <c r="J662" s="2">
        <v>2153</v>
      </c>
    </row>
    <row r="663" spans="1:10" hidden="1" x14ac:dyDescent="0.25">
      <c r="A663" t="s">
        <v>3165</v>
      </c>
      <c r="C663" t="s">
        <v>4076</v>
      </c>
      <c r="D663" t="s">
        <v>2154</v>
      </c>
      <c r="F663" t="s">
        <v>4126</v>
      </c>
      <c r="G663" s="9" t="s">
        <v>1558</v>
      </c>
      <c r="H663" t="s">
        <v>1548</v>
      </c>
      <c r="I663" t="s">
        <v>1557</v>
      </c>
      <c r="J663" s="2">
        <v>2153</v>
      </c>
    </row>
    <row r="664" spans="1:10" hidden="1" x14ac:dyDescent="0.25">
      <c r="A664" t="s">
        <v>3166</v>
      </c>
      <c r="C664" t="s">
        <v>4076</v>
      </c>
      <c r="D664" t="s">
        <v>2154</v>
      </c>
      <c r="F664" t="s">
        <v>4126</v>
      </c>
      <c r="G664" s="9" t="s">
        <v>1650</v>
      </c>
      <c r="H664" t="s">
        <v>1648</v>
      </c>
      <c r="I664" t="s">
        <v>1649</v>
      </c>
      <c r="J664" s="2">
        <v>1965</v>
      </c>
    </row>
    <row r="665" spans="1:10" hidden="1" x14ac:dyDescent="0.25">
      <c r="A665" t="s">
        <v>3167</v>
      </c>
      <c r="C665" t="s">
        <v>4076</v>
      </c>
      <c r="D665" t="s">
        <v>2154</v>
      </c>
      <c r="F665" t="s">
        <v>4126</v>
      </c>
      <c r="G665" s="9" t="s">
        <v>1651</v>
      </c>
      <c r="H665" t="s">
        <v>1648</v>
      </c>
      <c r="I665" t="s">
        <v>1549</v>
      </c>
      <c r="J665" s="2">
        <v>1965</v>
      </c>
    </row>
    <row r="666" spans="1:10" x14ac:dyDescent="0.25">
      <c r="A666" t="s">
        <v>3168</v>
      </c>
      <c r="C666" t="s">
        <v>4080</v>
      </c>
      <c r="D666" t="s">
        <v>2382</v>
      </c>
      <c r="F666" t="s">
        <v>4126</v>
      </c>
      <c r="G666" s="9" t="s">
        <v>1223</v>
      </c>
      <c r="H666" s="4" t="s">
        <v>4160</v>
      </c>
      <c r="I666" t="s">
        <v>61</v>
      </c>
      <c r="J666" s="2">
        <v>3184</v>
      </c>
    </row>
    <row r="667" spans="1:10" ht="26.4" x14ac:dyDescent="0.25">
      <c r="A667" t="s">
        <v>3169</v>
      </c>
      <c r="C667" t="s">
        <v>4080</v>
      </c>
      <c r="D667" t="s">
        <v>2382</v>
      </c>
      <c r="F667" t="s">
        <v>4126</v>
      </c>
      <c r="G667" s="9" t="s">
        <v>1224</v>
      </c>
      <c r="H667" s="4" t="s">
        <v>4158</v>
      </c>
      <c r="I667" t="s">
        <v>542</v>
      </c>
      <c r="J667" s="2">
        <v>3184</v>
      </c>
    </row>
    <row r="668" spans="1:10" ht="26.4" x14ac:dyDescent="0.25">
      <c r="A668" t="s">
        <v>3170</v>
      </c>
      <c r="C668" t="s">
        <v>4080</v>
      </c>
      <c r="D668" t="s">
        <v>2382</v>
      </c>
      <c r="F668" t="s">
        <v>4126</v>
      </c>
      <c r="G668" s="9" t="s">
        <v>232</v>
      </c>
      <c r="H668" s="4" t="s">
        <v>4159</v>
      </c>
      <c r="I668" t="s">
        <v>2467</v>
      </c>
      <c r="J668" s="2">
        <v>19501</v>
      </c>
    </row>
    <row r="669" spans="1:10" ht="26.4" x14ac:dyDescent="0.25">
      <c r="A669" t="s">
        <v>3171</v>
      </c>
      <c r="C669" t="s">
        <v>4080</v>
      </c>
      <c r="D669" t="s">
        <v>2382</v>
      </c>
      <c r="F669" t="s">
        <v>4126</v>
      </c>
      <c r="G669" s="9" t="s">
        <v>233</v>
      </c>
      <c r="H669" s="4" t="s">
        <v>4128</v>
      </c>
      <c r="I669" t="s">
        <v>2467</v>
      </c>
      <c r="J669" s="2">
        <v>19501</v>
      </c>
    </row>
    <row r="670" spans="1:10" ht="39.6" x14ac:dyDescent="0.25">
      <c r="A670" t="s">
        <v>3172</v>
      </c>
      <c r="C670" t="s">
        <v>4080</v>
      </c>
      <c r="D670" t="s">
        <v>2382</v>
      </c>
      <c r="F670" t="s">
        <v>4126</v>
      </c>
      <c r="G670" s="9" t="s">
        <v>1254</v>
      </c>
      <c r="H670" s="4" t="s">
        <v>4129</v>
      </c>
      <c r="I670" t="s">
        <v>1253</v>
      </c>
      <c r="J670" s="2">
        <v>3067</v>
      </c>
    </row>
    <row r="671" spans="1:10" ht="39.6" x14ac:dyDescent="0.25">
      <c r="A671" t="s">
        <v>3173</v>
      </c>
      <c r="C671" t="s">
        <v>4080</v>
      </c>
      <c r="D671" t="s">
        <v>2382</v>
      </c>
      <c r="F671" t="s">
        <v>4126</v>
      </c>
      <c r="G671" s="9" t="s">
        <v>1255</v>
      </c>
      <c r="H671" s="4" t="s">
        <v>4130</v>
      </c>
      <c r="I671" t="s">
        <v>1253</v>
      </c>
      <c r="J671" s="2">
        <v>3067</v>
      </c>
    </row>
    <row r="672" spans="1:10" ht="26.4" x14ac:dyDescent="0.25">
      <c r="A672" t="s">
        <v>3174</v>
      </c>
      <c r="C672" t="s">
        <v>4080</v>
      </c>
      <c r="D672" t="s">
        <v>2382</v>
      </c>
      <c r="F672" t="s">
        <v>4126</v>
      </c>
      <c r="G672" s="9" t="s">
        <v>1528</v>
      </c>
      <c r="H672" s="4" t="s">
        <v>4131</v>
      </c>
      <c r="I672" t="s">
        <v>2467</v>
      </c>
      <c r="J672" s="2">
        <v>2188</v>
      </c>
    </row>
    <row r="673" spans="1:10" ht="26.4" x14ac:dyDescent="0.25">
      <c r="A673" t="s">
        <v>3175</v>
      </c>
      <c r="C673" t="s">
        <v>4080</v>
      </c>
      <c r="D673" t="s">
        <v>2382</v>
      </c>
      <c r="F673" t="s">
        <v>4126</v>
      </c>
      <c r="G673" s="9" t="s">
        <v>2054</v>
      </c>
      <c r="H673" s="4" t="s">
        <v>4133</v>
      </c>
      <c r="I673" t="s">
        <v>149</v>
      </c>
      <c r="J673" s="2">
        <v>1118</v>
      </c>
    </row>
    <row r="674" spans="1:10" ht="26.4" x14ac:dyDescent="0.25">
      <c r="A674" t="s">
        <v>3176</v>
      </c>
      <c r="C674" t="s">
        <v>4080</v>
      </c>
      <c r="D674" t="s">
        <v>2382</v>
      </c>
      <c r="F674" t="s">
        <v>4126</v>
      </c>
      <c r="G674" s="9" t="s">
        <v>2055</v>
      </c>
      <c r="H674" s="4" t="s">
        <v>4132</v>
      </c>
      <c r="I674" t="s">
        <v>149</v>
      </c>
      <c r="J674" s="2">
        <v>1118</v>
      </c>
    </row>
    <row r="675" spans="1:10" x14ac:dyDescent="0.25">
      <c r="A675" t="s">
        <v>3177</v>
      </c>
      <c r="C675" t="s">
        <v>4080</v>
      </c>
      <c r="D675" t="s">
        <v>2382</v>
      </c>
      <c r="F675" t="s">
        <v>4126</v>
      </c>
      <c r="G675" s="9" t="s">
        <v>2056</v>
      </c>
      <c r="H675" s="4" t="s">
        <v>4134</v>
      </c>
      <c r="I675" t="s">
        <v>1669</v>
      </c>
      <c r="J675" s="2">
        <v>1118</v>
      </c>
    </row>
    <row r="676" spans="1:10" x14ac:dyDescent="0.25">
      <c r="A676" t="s">
        <v>3178</v>
      </c>
      <c r="C676" t="s">
        <v>4080</v>
      </c>
      <c r="D676" t="s">
        <v>2382</v>
      </c>
      <c r="F676" t="s">
        <v>4126</v>
      </c>
      <c r="G676" s="9" t="s">
        <v>2058</v>
      </c>
      <c r="H676" s="4" t="s">
        <v>4135</v>
      </c>
      <c r="I676" t="s">
        <v>2057</v>
      </c>
      <c r="J676" s="2">
        <v>1118</v>
      </c>
    </row>
    <row r="677" spans="1:10" x14ac:dyDescent="0.25">
      <c r="A677" t="s">
        <v>3179</v>
      </c>
      <c r="C677" t="s">
        <v>4080</v>
      </c>
      <c r="D677" t="s">
        <v>2382</v>
      </c>
      <c r="F677" t="s">
        <v>4126</v>
      </c>
      <c r="G677" s="9" t="s">
        <v>1789</v>
      </c>
      <c r="H677" s="4" t="s">
        <v>4136</v>
      </c>
      <c r="I677" t="s">
        <v>556</v>
      </c>
      <c r="J677" s="2">
        <v>1719</v>
      </c>
    </row>
    <row r="678" spans="1:10" x14ac:dyDescent="0.25">
      <c r="A678" t="s">
        <v>3180</v>
      </c>
      <c r="C678" t="s">
        <v>4080</v>
      </c>
      <c r="D678" t="s">
        <v>2382</v>
      </c>
      <c r="F678" t="s">
        <v>4126</v>
      </c>
      <c r="G678" s="9" t="s">
        <v>1790</v>
      </c>
      <c r="H678" s="4" t="s">
        <v>4136</v>
      </c>
      <c r="I678" t="s">
        <v>556</v>
      </c>
      <c r="J678" s="2">
        <v>1719</v>
      </c>
    </row>
    <row r="679" spans="1:10" x14ac:dyDescent="0.25">
      <c r="A679" t="s">
        <v>3181</v>
      </c>
      <c r="C679" t="s">
        <v>4080</v>
      </c>
      <c r="D679" t="s">
        <v>2382</v>
      </c>
      <c r="F679" t="s">
        <v>4126</v>
      </c>
      <c r="G679" s="9" t="s">
        <v>1988</v>
      </c>
      <c r="H679" s="4" t="s">
        <v>4137</v>
      </c>
      <c r="I679" t="s">
        <v>825</v>
      </c>
      <c r="J679" s="2">
        <v>1281</v>
      </c>
    </row>
    <row r="680" spans="1:10" x14ac:dyDescent="0.25">
      <c r="A680" t="s">
        <v>3182</v>
      </c>
      <c r="C680" t="s">
        <v>4080</v>
      </c>
      <c r="D680" t="s">
        <v>2382</v>
      </c>
      <c r="F680" t="s">
        <v>4126</v>
      </c>
      <c r="G680" s="9" t="s">
        <v>258</v>
      </c>
      <c r="H680" s="4" t="s">
        <v>4139</v>
      </c>
      <c r="I680" t="s">
        <v>257</v>
      </c>
      <c r="J680" s="2">
        <v>17076</v>
      </c>
    </row>
    <row r="681" spans="1:10" x14ac:dyDescent="0.25">
      <c r="A681" t="s">
        <v>3183</v>
      </c>
      <c r="C681" t="s">
        <v>4080</v>
      </c>
      <c r="D681" t="s">
        <v>2382</v>
      </c>
      <c r="F681" t="s">
        <v>4126</v>
      </c>
      <c r="G681" s="9" t="s">
        <v>258</v>
      </c>
      <c r="H681" s="4" t="s">
        <v>4138</v>
      </c>
      <c r="I681" t="s">
        <v>28</v>
      </c>
      <c r="J681" s="2">
        <v>17076</v>
      </c>
    </row>
    <row r="682" spans="1:10" x14ac:dyDescent="0.25">
      <c r="A682" t="s">
        <v>3184</v>
      </c>
      <c r="C682" t="s">
        <v>4080</v>
      </c>
      <c r="D682" t="s">
        <v>2382</v>
      </c>
      <c r="F682" t="s">
        <v>4126</v>
      </c>
      <c r="G682" s="9" t="s">
        <v>790</v>
      </c>
      <c r="H682" s="4" t="s">
        <v>4140</v>
      </c>
      <c r="I682" t="s">
        <v>26</v>
      </c>
      <c r="J682" s="2">
        <v>4767</v>
      </c>
    </row>
    <row r="683" spans="1:10" x14ac:dyDescent="0.25">
      <c r="A683" t="s">
        <v>3185</v>
      </c>
      <c r="C683" t="s">
        <v>4080</v>
      </c>
      <c r="D683" t="s">
        <v>2382</v>
      </c>
      <c r="F683" t="s">
        <v>4126</v>
      </c>
      <c r="G683" s="9" t="s">
        <v>790</v>
      </c>
      <c r="H683" s="4" t="s">
        <v>4140</v>
      </c>
      <c r="I683" t="s">
        <v>30</v>
      </c>
      <c r="J683" s="2">
        <v>4767</v>
      </c>
    </row>
    <row r="684" spans="1:10" x14ac:dyDescent="0.25">
      <c r="A684" t="s">
        <v>3186</v>
      </c>
      <c r="C684" t="s">
        <v>4080</v>
      </c>
      <c r="D684" t="s">
        <v>2382</v>
      </c>
      <c r="F684" t="s">
        <v>4126</v>
      </c>
      <c r="G684" s="9" t="s">
        <v>1770</v>
      </c>
      <c r="H684" s="4" t="s">
        <v>4141</v>
      </c>
      <c r="I684" t="s">
        <v>149</v>
      </c>
      <c r="J684" s="2">
        <v>1750</v>
      </c>
    </row>
    <row r="685" spans="1:10" x14ac:dyDescent="0.25">
      <c r="A685" t="s">
        <v>3187</v>
      </c>
      <c r="C685" t="s">
        <v>4080</v>
      </c>
      <c r="D685" t="s">
        <v>2382</v>
      </c>
      <c r="F685" t="s">
        <v>4126</v>
      </c>
      <c r="G685" s="9" t="s">
        <v>1771</v>
      </c>
      <c r="H685" s="4" t="s">
        <v>4141</v>
      </c>
      <c r="I685" t="s">
        <v>149</v>
      </c>
      <c r="J685" s="2">
        <v>1750</v>
      </c>
    </row>
    <row r="686" spans="1:10" x14ac:dyDescent="0.25">
      <c r="A686" t="s">
        <v>3188</v>
      </c>
      <c r="C686" t="s">
        <v>4080</v>
      </c>
      <c r="D686" t="s">
        <v>2382</v>
      </c>
      <c r="F686" t="s">
        <v>4126</v>
      </c>
      <c r="G686" s="9" t="s">
        <v>1817</v>
      </c>
      <c r="H686" s="4" t="s">
        <v>4142</v>
      </c>
      <c r="I686" t="s">
        <v>26</v>
      </c>
      <c r="J686" s="2">
        <v>1637</v>
      </c>
    </row>
    <row r="687" spans="1:10" x14ac:dyDescent="0.25">
      <c r="A687" t="s">
        <v>3189</v>
      </c>
      <c r="C687" t="s">
        <v>4080</v>
      </c>
      <c r="D687" t="s">
        <v>2382</v>
      </c>
      <c r="F687" t="s">
        <v>4126</v>
      </c>
      <c r="G687" s="9" t="s">
        <v>874</v>
      </c>
      <c r="H687" s="4" t="s">
        <v>4146</v>
      </c>
      <c r="I687" t="s">
        <v>28</v>
      </c>
      <c r="J687" s="2">
        <v>4338</v>
      </c>
    </row>
    <row r="688" spans="1:10" x14ac:dyDescent="0.25">
      <c r="A688" t="s">
        <v>3190</v>
      </c>
      <c r="C688" t="s">
        <v>4080</v>
      </c>
      <c r="D688" t="s">
        <v>2382</v>
      </c>
      <c r="F688" t="s">
        <v>4126</v>
      </c>
      <c r="G688" s="9" t="s">
        <v>875</v>
      </c>
      <c r="H688" s="4" t="s">
        <v>4145</v>
      </c>
      <c r="I688" t="s">
        <v>61</v>
      </c>
      <c r="J688" s="2">
        <v>4338</v>
      </c>
    </row>
    <row r="689" spans="1:10" x14ac:dyDescent="0.25">
      <c r="A689" t="s">
        <v>3191</v>
      </c>
      <c r="C689" t="s">
        <v>4080</v>
      </c>
      <c r="D689" t="s">
        <v>2382</v>
      </c>
      <c r="F689" t="s">
        <v>4126</v>
      </c>
      <c r="G689" s="9" t="s">
        <v>876</v>
      </c>
      <c r="H689" s="4" t="s">
        <v>4147</v>
      </c>
      <c r="I689" t="s">
        <v>61</v>
      </c>
      <c r="J689" s="2">
        <v>4338</v>
      </c>
    </row>
    <row r="690" spans="1:10" ht="145.19999999999999" x14ac:dyDescent="0.25">
      <c r="A690" t="s">
        <v>3192</v>
      </c>
      <c r="B690" s="4" t="s">
        <v>4060</v>
      </c>
      <c r="C690" t="s">
        <v>4080</v>
      </c>
      <c r="D690" t="s">
        <v>2382</v>
      </c>
      <c r="F690" t="s">
        <v>4126</v>
      </c>
      <c r="G690" s="9" t="s">
        <v>1273</v>
      </c>
      <c r="H690" s="4" t="s">
        <v>4144</v>
      </c>
      <c r="I690" t="s">
        <v>149</v>
      </c>
      <c r="J690" s="2">
        <v>2994</v>
      </c>
    </row>
    <row r="691" spans="1:10" x14ac:dyDescent="0.25">
      <c r="A691" t="s">
        <v>3193</v>
      </c>
      <c r="C691" t="s">
        <v>4080</v>
      </c>
      <c r="D691" t="s">
        <v>2382</v>
      </c>
      <c r="F691" t="s">
        <v>4126</v>
      </c>
      <c r="G691" s="9" t="s">
        <v>1274</v>
      </c>
      <c r="H691" s="4" t="s">
        <v>1274</v>
      </c>
      <c r="I691" t="s">
        <v>149</v>
      </c>
      <c r="J691" s="2">
        <v>2994</v>
      </c>
    </row>
    <row r="692" spans="1:10" x14ac:dyDescent="0.25">
      <c r="A692" t="s">
        <v>3194</v>
      </c>
      <c r="C692" t="s">
        <v>4080</v>
      </c>
      <c r="D692" t="s">
        <v>2382</v>
      </c>
      <c r="F692" t="s">
        <v>4126</v>
      </c>
      <c r="G692" s="9" t="s">
        <v>1275</v>
      </c>
      <c r="H692" s="4" t="s">
        <v>4143</v>
      </c>
      <c r="I692" t="s">
        <v>149</v>
      </c>
      <c r="J692" s="2">
        <v>2994</v>
      </c>
    </row>
    <row r="693" spans="1:10" x14ac:dyDescent="0.25">
      <c r="A693" t="s">
        <v>3195</v>
      </c>
      <c r="C693" t="s">
        <v>4080</v>
      </c>
      <c r="D693" t="s">
        <v>2382</v>
      </c>
      <c r="F693" t="s">
        <v>4126</v>
      </c>
      <c r="G693" s="9" t="s">
        <v>1302</v>
      </c>
      <c r="H693" s="4" t="s">
        <v>4148</v>
      </c>
      <c r="I693" t="s">
        <v>61</v>
      </c>
      <c r="J693" s="2">
        <v>2891</v>
      </c>
    </row>
    <row r="694" spans="1:10" x14ac:dyDescent="0.25">
      <c r="A694" t="s">
        <v>3196</v>
      </c>
      <c r="C694" t="s">
        <v>4080</v>
      </c>
      <c r="D694" t="s">
        <v>2382</v>
      </c>
      <c r="F694" t="s">
        <v>4126</v>
      </c>
      <c r="G694" s="9" t="s">
        <v>1347</v>
      </c>
      <c r="H694" s="4" t="s">
        <v>4149</v>
      </c>
      <c r="I694" t="s">
        <v>149</v>
      </c>
      <c r="J694" s="2">
        <v>2763</v>
      </c>
    </row>
    <row r="695" spans="1:10" x14ac:dyDescent="0.25">
      <c r="A695" t="s">
        <v>3197</v>
      </c>
      <c r="C695" t="s">
        <v>4080</v>
      </c>
      <c r="D695" t="s">
        <v>2382</v>
      </c>
      <c r="F695" t="s">
        <v>4126</v>
      </c>
      <c r="G695" s="9" t="s">
        <v>1505</v>
      </c>
      <c r="H695" s="4" t="s">
        <v>4150</v>
      </c>
      <c r="I695" t="s">
        <v>61</v>
      </c>
      <c r="J695" s="2">
        <v>2254</v>
      </c>
    </row>
    <row r="696" spans="1:10" ht="26.4" x14ac:dyDescent="0.25">
      <c r="A696" t="s">
        <v>3198</v>
      </c>
      <c r="C696" t="s">
        <v>4080</v>
      </c>
      <c r="D696" t="s">
        <v>2382</v>
      </c>
      <c r="F696" t="s">
        <v>4126</v>
      </c>
      <c r="G696" s="9" t="s">
        <v>1506</v>
      </c>
      <c r="H696" s="4" t="s">
        <v>4151</v>
      </c>
      <c r="I696" t="s">
        <v>61</v>
      </c>
      <c r="J696" s="2">
        <v>2254</v>
      </c>
    </row>
    <row r="697" spans="1:10" x14ac:dyDescent="0.25">
      <c r="A697" t="s">
        <v>3199</v>
      </c>
      <c r="C697" t="s">
        <v>4080</v>
      </c>
      <c r="D697" t="s">
        <v>2382</v>
      </c>
      <c r="F697" t="s">
        <v>4126</v>
      </c>
      <c r="G697" s="9" t="s">
        <v>1511</v>
      </c>
      <c r="H697" s="4" t="s">
        <v>4152</v>
      </c>
      <c r="I697" t="s">
        <v>149</v>
      </c>
      <c r="J697" s="2">
        <v>2241</v>
      </c>
    </row>
    <row r="698" spans="1:10" x14ac:dyDescent="0.25">
      <c r="A698" t="s">
        <v>3200</v>
      </c>
      <c r="C698" t="s">
        <v>4080</v>
      </c>
      <c r="D698" t="s">
        <v>2382</v>
      </c>
      <c r="F698" t="s">
        <v>4126</v>
      </c>
      <c r="G698" s="9" t="s">
        <v>1854</v>
      </c>
      <c r="H698" s="4" t="s">
        <v>4153</v>
      </c>
      <c r="I698" t="s">
        <v>28</v>
      </c>
      <c r="J698" s="2">
        <v>1568</v>
      </c>
    </row>
    <row r="699" spans="1:10" x14ac:dyDescent="0.25">
      <c r="A699" t="s">
        <v>3201</v>
      </c>
      <c r="C699" t="s">
        <v>4080</v>
      </c>
      <c r="D699" t="s">
        <v>2382</v>
      </c>
      <c r="F699" t="s">
        <v>4126</v>
      </c>
      <c r="G699" s="9" t="s">
        <v>1855</v>
      </c>
      <c r="H699" s="4" t="s">
        <v>4154</v>
      </c>
      <c r="I699" t="s">
        <v>61</v>
      </c>
      <c r="J699" s="2">
        <v>1568</v>
      </c>
    </row>
    <row r="700" spans="1:10" x14ac:dyDescent="0.25">
      <c r="A700" t="s">
        <v>3202</v>
      </c>
      <c r="C700" t="s">
        <v>4080</v>
      </c>
      <c r="D700" t="s">
        <v>2382</v>
      </c>
      <c r="F700" t="s">
        <v>4126</v>
      </c>
      <c r="G700" s="9" t="s">
        <v>645</v>
      </c>
      <c r="H700" s="4" t="s">
        <v>4155</v>
      </c>
      <c r="I700" t="s">
        <v>542</v>
      </c>
      <c r="J700" s="2">
        <v>5393</v>
      </c>
    </row>
    <row r="701" spans="1:10" x14ac:dyDescent="0.25">
      <c r="A701" t="s">
        <v>3203</v>
      </c>
      <c r="C701" t="s">
        <v>4080</v>
      </c>
      <c r="D701" t="s">
        <v>2382</v>
      </c>
      <c r="F701" t="s">
        <v>4126</v>
      </c>
      <c r="G701" s="9" t="s">
        <v>1488</v>
      </c>
      <c r="H701" s="4" t="s">
        <v>4156</v>
      </c>
      <c r="I701" t="s">
        <v>542</v>
      </c>
      <c r="J701" s="2">
        <v>2316</v>
      </c>
    </row>
    <row r="702" spans="1:10" ht="26.4" x14ac:dyDescent="0.25">
      <c r="A702" t="s">
        <v>3204</v>
      </c>
      <c r="C702" t="s">
        <v>4080</v>
      </c>
      <c r="D702" t="s">
        <v>2382</v>
      </c>
      <c r="F702" t="s">
        <v>4126</v>
      </c>
      <c r="G702" s="9" t="s">
        <v>1546</v>
      </c>
      <c r="H702" s="4" t="s">
        <v>4157</v>
      </c>
      <c r="I702" t="s">
        <v>1545</v>
      </c>
      <c r="J702" s="2">
        <v>2155</v>
      </c>
    </row>
    <row r="703" spans="1:10" ht="26.4" x14ac:dyDescent="0.25">
      <c r="A703" t="s">
        <v>3205</v>
      </c>
      <c r="C703" t="s">
        <v>4080</v>
      </c>
      <c r="D703" t="s">
        <v>2382</v>
      </c>
      <c r="F703" t="s">
        <v>4126</v>
      </c>
      <c r="G703" s="9" t="s">
        <v>1547</v>
      </c>
      <c r="H703" s="4" t="s">
        <v>4157</v>
      </c>
      <c r="I703" t="s">
        <v>1545</v>
      </c>
      <c r="J703" s="2">
        <v>2155</v>
      </c>
    </row>
    <row r="704" spans="1:10" x14ac:dyDescent="0.25">
      <c r="A704" t="s">
        <v>3206</v>
      </c>
      <c r="C704" t="s">
        <v>4080</v>
      </c>
      <c r="D704" t="s">
        <v>2382</v>
      </c>
      <c r="F704" t="s">
        <v>4126</v>
      </c>
      <c r="G704" s="9" t="s">
        <v>1573</v>
      </c>
      <c r="H704" s="4" t="s">
        <v>4161</v>
      </c>
      <c r="I704" t="s">
        <v>61</v>
      </c>
      <c r="J704" s="2">
        <v>2143</v>
      </c>
    </row>
    <row r="705" spans="1:10" x14ac:dyDescent="0.25">
      <c r="A705" t="s">
        <v>3207</v>
      </c>
      <c r="C705" t="s">
        <v>4080</v>
      </c>
      <c r="D705" t="s">
        <v>2382</v>
      </c>
      <c r="F705" t="s">
        <v>4126</v>
      </c>
      <c r="G705" s="9" t="s">
        <v>1574</v>
      </c>
      <c r="H705" s="4" t="s">
        <v>4161</v>
      </c>
      <c r="I705" t="s">
        <v>61</v>
      </c>
      <c r="J705" s="2">
        <v>2143</v>
      </c>
    </row>
    <row r="706" spans="1:10" ht="26.4" x14ac:dyDescent="0.25">
      <c r="A706" t="s">
        <v>3208</v>
      </c>
      <c r="C706" t="s">
        <v>4080</v>
      </c>
      <c r="D706" t="s">
        <v>2382</v>
      </c>
      <c r="F706" t="s">
        <v>4126</v>
      </c>
      <c r="G706" s="9" t="s">
        <v>1575</v>
      </c>
      <c r="H706" s="4" t="s">
        <v>4162</v>
      </c>
      <c r="I706" t="s">
        <v>542</v>
      </c>
      <c r="J706" s="2">
        <v>2143</v>
      </c>
    </row>
    <row r="707" spans="1:10" x14ac:dyDescent="0.25">
      <c r="A707" t="s">
        <v>3209</v>
      </c>
      <c r="C707" t="s">
        <v>4080</v>
      </c>
      <c r="D707" t="s">
        <v>2382</v>
      </c>
      <c r="F707" t="s">
        <v>4126</v>
      </c>
      <c r="G707" s="9" t="s">
        <v>1787</v>
      </c>
      <c r="H707" s="4" t="s">
        <v>4163</v>
      </c>
      <c r="I707" t="s">
        <v>28</v>
      </c>
      <c r="J707" s="2">
        <v>1721</v>
      </c>
    </row>
    <row r="708" spans="1:10" x14ac:dyDescent="0.25">
      <c r="A708" t="s">
        <v>3210</v>
      </c>
      <c r="C708" t="s">
        <v>4080</v>
      </c>
      <c r="D708" t="s">
        <v>2382</v>
      </c>
      <c r="F708" t="s">
        <v>4126</v>
      </c>
      <c r="G708" s="9" t="s">
        <v>143</v>
      </c>
      <c r="H708" s="4" t="s">
        <v>4164</v>
      </c>
      <c r="I708" t="s">
        <v>142</v>
      </c>
      <c r="J708" s="2">
        <v>34276</v>
      </c>
    </row>
    <row r="709" spans="1:10" ht="26.4" x14ac:dyDescent="0.25">
      <c r="A709" t="s">
        <v>3211</v>
      </c>
      <c r="C709" t="s">
        <v>4080</v>
      </c>
      <c r="D709" t="s">
        <v>2382</v>
      </c>
      <c r="F709" t="s">
        <v>4126</v>
      </c>
      <c r="G709" s="9" t="s">
        <v>227</v>
      </c>
      <c r="H709" s="4" t="s">
        <v>4165</v>
      </c>
      <c r="I709" t="s">
        <v>226</v>
      </c>
      <c r="J709" s="2">
        <v>19571</v>
      </c>
    </row>
    <row r="710" spans="1:10" ht="26.4" x14ac:dyDescent="0.25">
      <c r="A710" t="s">
        <v>3212</v>
      </c>
      <c r="C710" t="s">
        <v>4080</v>
      </c>
      <c r="D710" t="s">
        <v>2382</v>
      </c>
      <c r="F710" t="s">
        <v>4126</v>
      </c>
      <c r="G710" s="9" t="s">
        <v>227</v>
      </c>
      <c r="H710" s="4" t="s">
        <v>4165</v>
      </c>
      <c r="I710" t="s">
        <v>228</v>
      </c>
      <c r="J710" s="2">
        <v>19571</v>
      </c>
    </row>
    <row r="711" spans="1:10" ht="26.4" x14ac:dyDescent="0.25">
      <c r="A711" t="s">
        <v>3213</v>
      </c>
      <c r="C711" t="s">
        <v>4080</v>
      </c>
      <c r="D711" t="s">
        <v>2382</v>
      </c>
      <c r="F711" t="s">
        <v>4126</v>
      </c>
      <c r="G711" s="9" t="s">
        <v>828</v>
      </c>
      <c r="H711" s="4" t="s">
        <v>4166</v>
      </c>
      <c r="I711" t="s">
        <v>151</v>
      </c>
      <c r="J711" s="2">
        <v>4675</v>
      </c>
    </row>
    <row r="712" spans="1:10" ht="26.4" x14ac:dyDescent="0.25">
      <c r="A712" t="s">
        <v>3214</v>
      </c>
      <c r="C712" t="s">
        <v>4080</v>
      </c>
      <c r="D712" t="s">
        <v>2382</v>
      </c>
      <c r="F712" t="s">
        <v>4126</v>
      </c>
      <c r="G712" s="9" t="s">
        <v>829</v>
      </c>
      <c r="H712" s="4" t="s">
        <v>4167</v>
      </c>
      <c r="I712" t="s">
        <v>151</v>
      </c>
      <c r="J712" s="2">
        <v>4675</v>
      </c>
    </row>
    <row r="713" spans="1:10" x14ac:dyDescent="0.25">
      <c r="A713" t="s">
        <v>3215</v>
      </c>
      <c r="C713" t="s">
        <v>4080</v>
      </c>
      <c r="D713" t="s">
        <v>2382</v>
      </c>
      <c r="F713" t="s">
        <v>4126</v>
      </c>
      <c r="G713" s="9" t="s">
        <v>2075</v>
      </c>
      <c r="H713" s="4" t="s">
        <v>2074</v>
      </c>
      <c r="I713" t="s">
        <v>149</v>
      </c>
      <c r="J713" s="2">
        <v>1074</v>
      </c>
    </row>
    <row r="714" spans="1:10" ht="26.4" x14ac:dyDescent="0.25">
      <c r="A714" t="s">
        <v>3216</v>
      </c>
      <c r="C714" t="s">
        <v>4080</v>
      </c>
      <c r="D714" t="s">
        <v>2382</v>
      </c>
      <c r="F714" t="s">
        <v>4126</v>
      </c>
      <c r="G714" s="9" t="s">
        <v>2076</v>
      </c>
      <c r="H714" s="4" t="s">
        <v>4168</v>
      </c>
      <c r="I714" t="s">
        <v>149</v>
      </c>
      <c r="J714" s="2">
        <v>1074</v>
      </c>
    </row>
    <row r="715" spans="1:10" ht="26.4" x14ac:dyDescent="0.25">
      <c r="A715" t="s">
        <v>3217</v>
      </c>
      <c r="C715" t="s">
        <v>4080</v>
      </c>
      <c r="D715" t="s">
        <v>2382</v>
      </c>
      <c r="F715" t="s">
        <v>4126</v>
      </c>
      <c r="G715" s="9" t="s">
        <v>2077</v>
      </c>
      <c r="H715" s="4" t="s">
        <v>4168</v>
      </c>
      <c r="I715" t="s">
        <v>149</v>
      </c>
      <c r="J715" s="2">
        <v>1074</v>
      </c>
    </row>
    <row r="716" spans="1:10" ht="26.4" x14ac:dyDescent="0.25">
      <c r="A716" t="s">
        <v>3218</v>
      </c>
      <c r="C716" t="s">
        <v>4080</v>
      </c>
      <c r="D716" t="s">
        <v>2382</v>
      </c>
      <c r="F716" t="s">
        <v>4126</v>
      </c>
      <c r="G716" s="9" t="s">
        <v>2078</v>
      </c>
      <c r="H716" s="4" t="s">
        <v>4169</v>
      </c>
      <c r="I716" t="s">
        <v>1545</v>
      </c>
      <c r="J716" s="2">
        <v>1074</v>
      </c>
    </row>
    <row r="717" spans="1:10" x14ac:dyDescent="0.25">
      <c r="A717" t="s">
        <v>3219</v>
      </c>
      <c r="C717" t="s">
        <v>4080</v>
      </c>
      <c r="D717" t="s">
        <v>2382</v>
      </c>
      <c r="F717" t="s">
        <v>4126</v>
      </c>
      <c r="G717" s="9" t="s">
        <v>519</v>
      </c>
      <c r="H717" s="4" t="s">
        <v>4170</v>
      </c>
      <c r="I717" t="s">
        <v>61</v>
      </c>
      <c r="J717" s="2">
        <v>7561</v>
      </c>
    </row>
    <row r="718" spans="1:10" x14ac:dyDescent="0.25">
      <c r="A718" t="s">
        <v>3220</v>
      </c>
      <c r="C718" t="s">
        <v>4080</v>
      </c>
      <c r="D718" t="s">
        <v>2382</v>
      </c>
      <c r="F718" t="s">
        <v>4126</v>
      </c>
      <c r="G718" s="9" t="s">
        <v>520</v>
      </c>
      <c r="H718" s="4" t="s">
        <v>4170</v>
      </c>
      <c r="I718" t="s">
        <v>61</v>
      </c>
      <c r="J718" s="2">
        <v>7561</v>
      </c>
    </row>
    <row r="719" spans="1:10" ht="26.4" x14ac:dyDescent="0.25">
      <c r="A719" t="s">
        <v>3221</v>
      </c>
      <c r="C719" t="s">
        <v>4080</v>
      </c>
      <c r="D719" t="s">
        <v>2382</v>
      </c>
      <c r="F719" t="s">
        <v>4126</v>
      </c>
      <c r="G719" s="9" t="s">
        <v>541</v>
      </c>
      <c r="H719" s="4" t="s">
        <v>4171</v>
      </c>
      <c r="I719" t="s">
        <v>328</v>
      </c>
      <c r="J719" s="2">
        <v>7154</v>
      </c>
    </row>
    <row r="720" spans="1:10" ht="26.4" x14ac:dyDescent="0.25">
      <c r="A720" t="s">
        <v>3222</v>
      </c>
      <c r="C720" t="s">
        <v>4080</v>
      </c>
      <c r="D720" t="s">
        <v>2382</v>
      </c>
      <c r="F720" t="s">
        <v>4126</v>
      </c>
      <c r="G720" s="9" t="s">
        <v>543</v>
      </c>
      <c r="H720" s="4" t="s">
        <v>4171</v>
      </c>
      <c r="I720" t="s">
        <v>542</v>
      </c>
      <c r="J720" s="2">
        <v>7154</v>
      </c>
    </row>
    <row r="721" spans="1:10" ht="26.4" x14ac:dyDescent="0.25">
      <c r="A721" t="s">
        <v>3223</v>
      </c>
      <c r="C721" t="s">
        <v>4080</v>
      </c>
      <c r="D721" t="s">
        <v>2382</v>
      </c>
      <c r="F721" t="s">
        <v>4126</v>
      </c>
      <c r="G721" s="9" t="s">
        <v>1667</v>
      </c>
      <c r="H721" s="4" t="s">
        <v>4172</v>
      </c>
      <c r="I721" t="s">
        <v>149</v>
      </c>
      <c r="J721" s="2">
        <v>1941</v>
      </c>
    </row>
    <row r="722" spans="1:10" ht="26.4" x14ac:dyDescent="0.25">
      <c r="A722" t="s">
        <v>3224</v>
      </c>
      <c r="C722" t="s">
        <v>4080</v>
      </c>
      <c r="D722" t="s">
        <v>2382</v>
      </c>
      <c r="F722" t="s">
        <v>4126</v>
      </c>
      <c r="G722" s="9" t="s">
        <v>1668</v>
      </c>
      <c r="H722" s="4" t="s">
        <v>4172</v>
      </c>
      <c r="I722" t="s">
        <v>149</v>
      </c>
      <c r="J722" s="2">
        <v>1941</v>
      </c>
    </row>
    <row r="723" spans="1:10" ht="26.4" x14ac:dyDescent="0.25">
      <c r="A723" t="s">
        <v>3225</v>
      </c>
      <c r="C723" t="s">
        <v>4080</v>
      </c>
      <c r="D723" t="s">
        <v>2382</v>
      </c>
      <c r="F723" t="s">
        <v>4126</v>
      </c>
      <c r="G723" s="9" t="s">
        <v>1670</v>
      </c>
      <c r="H723" s="4" t="s">
        <v>4173</v>
      </c>
      <c r="I723" t="s">
        <v>1669</v>
      </c>
      <c r="J723" s="2">
        <v>1941</v>
      </c>
    </row>
    <row r="724" spans="1:10" ht="26.4" x14ac:dyDescent="0.25">
      <c r="A724" t="s">
        <v>3226</v>
      </c>
      <c r="C724" t="s">
        <v>4080</v>
      </c>
      <c r="D724" t="s">
        <v>2382</v>
      </c>
      <c r="F724" t="s">
        <v>4126</v>
      </c>
      <c r="G724" s="9" t="s">
        <v>1871</v>
      </c>
      <c r="H724" s="4" t="s">
        <v>4174</v>
      </c>
      <c r="I724" t="s">
        <v>2467</v>
      </c>
      <c r="J724" s="2">
        <v>1519</v>
      </c>
    </row>
    <row r="725" spans="1:10" ht="26.4" x14ac:dyDescent="0.25">
      <c r="A725" t="s">
        <v>3227</v>
      </c>
      <c r="C725" t="s">
        <v>4080</v>
      </c>
      <c r="D725" t="s">
        <v>2382</v>
      </c>
      <c r="F725" t="s">
        <v>4126</v>
      </c>
      <c r="G725" s="9" t="s">
        <v>1872</v>
      </c>
      <c r="H725" s="4" t="s">
        <v>4175</v>
      </c>
      <c r="I725" t="s">
        <v>257</v>
      </c>
      <c r="J725" s="2">
        <v>1519</v>
      </c>
    </row>
    <row r="726" spans="1:10" ht="26.4" x14ac:dyDescent="0.25">
      <c r="A726" t="s">
        <v>3228</v>
      </c>
      <c r="C726" t="s">
        <v>4080</v>
      </c>
      <c r="D726" t="s">
        <v>2382</v>
      </c>
      <c r="F726" t="s">
        <v>4126</v>
      </c>
      <c r="G726" s="9" t="s">
        <v>1873</v>
      </c>
      <c r="H726" s="4" t="s">
        <v>4176</v>
      </c>
      <c r="I726" t="s">
        <v>61</v>
      </c>
      <c r="J726" s="2">
        <v>1519</v>
      </c>
    </row>
    <row r="727" spans="1:10" ht="39.6" x14ac:dyDescent="0.25">
      <c r="A727" t="s">
        <v>3229</v>
      </c>
      <c r="C727" t="s">
        <v>4080</v>
      </c>
      <c r="D727" t="s">
        <v>2382</v>
      </c>
      <c r="F727" t="s">
        <v>4126</v>
      </c>
      <c r="G727" s="9" t="s">
        <v>2073</v>
      </c>
      <c r="H727" s="4" t="s">
        <v>4177</v>
      </c>
      <c r="I727" t="s">
        <v>149</v>
      </c>
      <c r="J727" s="2">
        <v>1080</v>
      </c>
    </row>
    <row r="728" spans="1:10" x14ac:dyDescent="0.25">
      <c r="A728" t="s">
        <v>3230</v>
      </c>
      <c r="C728" t="s">
        <v>4080</v>
      </c>
      <c r="D728" t="s">
        <v>2382</v>
      </c>
      <c r="F728" t="s">
        <v>4126</v>
      </c>
      <c r="G728" s="9" t="s">
        <v>1202</v>
      </c>
      <c r="H728" s="4" t="s">
        <v>1201</v>
      </c>
      <c r="I728" t="s">
        <v>61</v>
      </c>
      <c r="J728" s="2">
        <v>3256</v>
      </c>
    </row>
    <row r="729" spans="1:10" x14ac:dyDescent="0.25">
      <c r="A729" t="s">
        <v>3231</v>
      </c>
      <c r="C729" t="s">
        <v>4080</v>
      </c>
      <c r="D729" t="s">
        <v>2382</v>
      </c>
      <c r="F729" t="s">
        <v>4126</v>
      </c>
      <c r="G729" s="9" t="s">
        <v>1606</v>
      </c>
      <c r="H729" s="4" t="s">
        <v>1604</v>
      </c>
      <c r="I729" t="s">
        <v>1605</v>
      </c>
      <c r="J729" s="2">
        <v>2056</v>
      </c>
    </row>
    <row r="730" spans="1:10" x14ac:dyDescent="0.25">
      <c r="A730" t="s">
        <v>3232</v>
      </c>
      <c r="C730" t="s">
        <v>4080</v>
      </c>
      <c r="D730" t="s">
        <v>2382</v>
      </c>
      <c r="F730" t="s">
        <v>4126</v>
      </c>
      <c r="G730" s="9" t="s">
        <v>1607</v>
      </c>
      <c r="H730" s="4" t="s">
        <v>1604</v>
      </c>
      <c r="I730" t="s">
        <v>1605</v>
      </c>
      <c r="J730" s="2">
        <v>2056</v>
      </c>
    </row>
    <row r="731" spans="1:10" x14ac:dyDescent="0.25">
      <c r="A731" t="s">
        <v>3233</v>
      </c>
      <c r="C731" t="s">
        <v>4080</v>
      </c>
      <c r="D731" t="s">
        <v>2382</v>
      </c>
      <c r="F731" t="s">
        <v>4126</v>
      </c>
      <c r="G731" s="9" t="s">
        <v>948</v>
      </c>
      <c r="H731" s="4" t="s">
        <v>2470</v>
      </c>
      <c r="I731" t="s">
        <v>26</v>
      </c>
      <c r="J731" s="2">
        <v>4077</v>
      </c>
    </row>
    <row r="732" spans="1:10" x14ac:dyDescent="0.25">
      <c r="A732" t="s">
        <v>3234</v>
      </c>
      <c r="C732" t="s">
        <v>4080</v>
      </c>
      <c r="D732" t="s">
        <v>2382</v>
      </c>
      <c r="F732" t="s">
        <v>4126</v>
      </c>
      <c r="G732" s="9" t="s">
        <v>948</v>
      </c>
      <c r="H732" s="4" t="s">
        <v>2470</v>
      </c>
      <c r="I732" t="s">
        <v>30</v>
      </c>
      <c r="J732" s="2">
        <v>4077</v>
      </c>
    </row>
    <row r="733" spans="1:10" x14ac:dyDescent="0.25">
      <c r="A733" t="s">
        <v>3235</v>
      </c>
      <c r="C733" t="s">
        <v>4080</v>
      </c>
      <c r="D733" t="s">
        <v>2382</v>
      </c>
      <c r="F733" t="s">
        <v>4126</v>
      </c>
      <c r="G733" s="9" t="s">
        <v>2039</v>
      </c>
      <c r="H733" s="4" t="s">
        <v>2393</v>
      </c>
      <c r="I733" t="s">
        <v>2038</v>
      </c>
      <c r="J733" s="2">
        <v>1172</v>
      </c>
    </row>
    <row r="734" spans="1:10" x14ac:dyDescent="0.25">
      <c r="A734" t="s">
        <v>3236</v>
      </c>
      <c r="C734" t="s">
        <v>4080</v>
      </c>
      <c r="D734" t="s">
        <v>2382</v>
      </c>
      <c r="F734" t="s">
        <v>4126</v>
      </c>
      <c r="G734" s="9" t="s">
        <v>826</v>
      </c>
      <c r="H734" s="4" t="s">
        <v>2386</v>
      </c>
      <c r="I734" t="s">
        <v>825</v>
      </c>
      <c r="J734" s="2">
        <v>4676</v>
      </c>
    </row>
    <row r="735" spans="1:10" x14ac:dyDescent="0.25">
      <c r="A735" t="s">
        <v>3237</v>
      </c>
      <c r="C735" t="s">
        <v>4080</v>
      </c>
      <c r="D735" t="s">
        <v>2382</v>
      </c>
      <c r="F735" t="s">
        <v>4126</v>
      </c>
      <c r="G735" s="9" t="s">
        <v>27</v>
      </c>
      <c r="H735" s="4" t="s">
        <v>2383</v>
      </c>
      <c r="I735" t="s">
        <v>26</v>
      </c>
      <c r="J735" s="2">
        <v>96451</v>
      </c>
    </row>
    <row r="736" spans="1:10" x14ac:dyDescent="0.25">
      <c r="A736" t="s">
        <v>3238</v>
      </c>
      <c r="C736" t="s">
        <v>4080</v>
      </c>
      <c r="D736" t="s">
        <v>2382</v>
      </c>
      <c r="F736" t="s">
        <v>4126</v>
      </c>
      <c r="G736" s="9" t="s">
        <v>29</v>
      </c>
      <c r="H736" s="4" t="s">
        <v>2383</v>
      </c>
      <c r="I736" t="s">
        <v>28</v>
      </c>
      <c r="J736" s="2">
        <v>96451</v>
      </c>
    </row>
    <row r="737" spans="1:10" x14ac:dyDescent="0.25">
      <c r="A737" t="s">
        <v>3239</v>
      </c>
      <c r="C737" t="s">
        <v>4080</v>
      </c>
      <c r="D737" t="s">
        <v>2382</v>
      </c>
      <c r="F737" t="s">
        <v>4126</v>
      </c>
      <c r="G737" s="9" t="s">
        <v>27</v>
      </c>
      <c r="H737" s="4" t="s">
        <v>2383</v>
      </c>
      <c r="I737" t="s">
        <v>30</v>
      </c>
      <c r="J737" s="2">
        <v>96451</v>
      </c>
    </row>
    <row r="738" spans="1:10" x14ac:dyDescent="0.25">
      <c r="A738" t="s">
        <v>3240</v>
      </c>
      <c r="C738" t="s">
        <v>4080</v>
      </c>
      <c r="D738" t="s">
        <v>2382</v>
      </c>
      <c r="F738" t="s">
        <v>4126</v>
      </c>
      <c r="G738" s="9" t="s">
        <v>150</v>
      </c>
      <c r="H738" s="4" t="s">
        <v>2384</v>
      </c>
      <c r="I738" t="s">
        <v>149</v>
      </c>
      <c r="J738" s="2">
        <v>33418</v>
      </c>
    </row>
    <row r="739" spans="1:10" x14ac:dyDescent="0.25">
      <c r="A739" t="s">
        <v>3241</v>
      </c>
      <c r="C739" t="s">
        <v>4080</v>
      </c>
      <c r="D739" t="s">
        <v>2382</v>
      </c>
      <c r="F739" t="s">
        <v>4126</v>
      </c>
      <c r="G739" s="9" t="s">
        <v>152</v>
      </c>
      <c r="H739" s="4" t="s">
        <v>2384</v>
      </c>
      <c r="I739" t="s">
        <v>151</v>
      </c>
      <c r="J739" s="2">
        <v>33418</v>
      </c>
    </row>
    <row r="740" spans="1:10" x14ac:dyDescent="0.25">
      <c r="A740" t="s">
        <v>3242</v>
      </c>
      <c r="C740" t="s">
        <v>4080</v>
      </c>
      <c r="D740" t="s">
        <v>2382</v>
      </c>
      <c r="F740" t="s">
        <v>4126</v>
      </c>
      <c r="G740" s="9" t="s">
        <v>150</v>
      </c>
      <c r="H740" s="4" t="s">
        <v>2384</v>
      </c>
      <c r="I740" t="s">
        <v>153</v>
      </c>
      <c r="J740" s="2">
        <v>33418</v>
      </c>
    </row>
    <row r="741" spans="1:10" x14ac:dyDescent="0.25">
      <c r="A741" t="s">
        <v>3243</v>
      </c>
      <c r="C741" t="s">
        <v>4080</v>
      </c>
      <c r="D741" t="s">
        <v>2382</v>
      </c>
      <c r="F741" t="s">
        <v>4126</v>
      </c>
      <c r="G741" s="9" t="s">
        <v>390</v>
      </c>
      <c r="H741" s="4" t="s">
        <v>2385</v>
      </c>
      <c r="I741" t="s">
        <v>149</v>
      </c>
      <c r="J741" s="2">
        <v>9848</v>
      </c>
    </row>
    <row r="742" spans="1:10" x14ac:dyDescent="0.25">
      <c r="A742" t="s">
        <v>3244</v>
      </c>
      <c r="C742" t="s">
        <v>4080</v>
      </c>
      <c r="D742" t="s">
        <v>2382</v>
      </c>
      <c r="F742" t="s">
        <v>4126</v>
      </c>
      <c r="G742" s="9" t="s">
        <v>391</v>
      </c>
      <c r="H742" s="4" t="s">
        <v>2385</v>
      </c>
      <c r="I742" t="s">
        <v>149</v>
      </c>
      <c r="J742" s="2">
        <v>9848</v>
      </c>
    </row>
    <row r="743" spans="1:10" x14ac:dyDescent="0.25">
      <c r="A743" t="s">
        <v>3245</v>
      </c>
      <c r="C743" t="s">
        <v>4080</v>
      </c>
      <c r="D743" t="s">
        <v>2382</v>
      </c>
      <c r="F743" t="s">
        <v>4126</v>
      </c>
      <c r="G743" s="9" t="s">
        <v>392</v>
      </c>
      <c r="H743" s="4" t="s">
        <v>2385</v>
      </c>
      <c r="I743" t="s">
        <v>28</v>
      </c>
      <c r="J743" s="2">
        <v>9848</v>
      </c>
    </row>
    <row r="744" spans="1:10" x14ac:dyDescent="0.25">
      <c r="A744" t="s">
        <v>3246</v>
      </c>
      <c r="C744" t="s">
        <v>4080</v>
      </c>
      <c r="D744" t="s">
        <v>2382</v>
      </c>
      <c r="F744" t="s">
        <v>4126</v>
      </c>
      <c r="G744" s="9" t="s">
        <v>1114</v>
      </c>
      <c r="H744" s="4" t="s">
        <v>2387</v>
      </c>
      <c r="I744" t="s">
        <v>26</v>
      </c>
      <c r="J744" s="2">
        <v>3470</v>
      </c>
    </row>
    <row r="745" spans="1:10" x14ac:dyDescent="0.25">
      <c r="A745" t="s">
        <v>3247</v>
      </c>
      <c r="C745" t="s">
        <v>4080</v>
      </c>
      <c r="D745" t="s">
        <v>2382</v>
      </c>
      <c r="F745" t="s">
        <v>4126</v>
      </c>
      <c r="G745" s="9" t="s">
        <v>1115</v>
      </c>
      <c r="H745" s="4" t="s">
        <v>2387</v>
      </c>
      <c r="I745" t="s">
        <v>26</v>
      </c>
      <c r="J745" s="2">
        <v>3470</v>
      </c>
    </row>
    <row r="746" spans="1:10" x14ac:dyDescent="0.25">
      <c r="A746" t="s">
        <v>3248</v>
      </c>
      <c r="C746" t="s">
        <v>4080</v>
      </c>
      <c r="D746" t="s">
        <v>2382</v>
      </c>
      <c r="F746" t="s">
        <v>4126</v>
      </c>
      <c r="G746" s="9" t="s">
        <v>1116</v>
      </c>
      <c r="H746" s="4" t="s">
        <v>2387</v>
      </c>
      <c r="I746" t="s">
        <v>26</v>
      </c>
      <c r="J746" s="2">
        <v>3470</v>
      </c>
    </row>
    <row r="747" spans="1:10" x14ac:dyDescent="0.25">
      <c r="A747" t="s">
        <v>3249</v>
      </c>
      <c r="C747" t="s">
        <v>4080</v>
      </c>
      <c r="D747" t="s">
        <v>2382</v>
      </c>
      <c r="F747" t="s">
        <v>4126</v>
      </c>
      <c r="G747" s="9" t="s">
        <v>1300</v>
      </c>
      <c r="H747" s="4" t="s">
        <v>2388</v>
      </c>
      <c r="I747" t="s">
        <v>149</v>
      </c>
      <c r="J747" s="2">
        <v>2909</v>
      </c>
    </row>
    <row r="748" spans="1:10" x14ac:dyDescent="0.25">
      <c r="A748" t="s">
        <v>3250</v>
      </c>
      <c r="C748" t="s">
        <v>4080</v>
      </c>
      <c r="D748" t="s">
        <v>2382</v>
      </c>
      <c r="F748" t="s">
        <v>4126</v>
      </c>
      <c r="G748" s="9" t="s">
        <v>1300</v>
      </c>
      <c r="H748" s="4" t="s">
        <v>2388</v>
      </c>
      <c r="I748" t="s">
        <v>153</v>
      </c>
      <c r="J748" s="2">
        <v>2909</v>
      </c>
    </row>
    <row r="749" spans="1:10" x14ac:dyDescent="0.25">
      <c r="A749" t="s">
        <v>3251</v>
      </c>
      <c r="C749" t="s">
        <v>4080</v>
      </c>
      <c r="D749" t="s">
        <v>2382</v>
      </c>
      <c r="F749" t="s">
        <v>4126</v>
      </c>
      <c r="G749" s="9" t="s">
        <v>1372</v>
      </c>
      <c r="H749" s="4" t="s">
        <v>2390</v>
      </c>
      <c r="I749" t="s">
        <v>149</v>
      </c>
      <c r="J749" s="2">
        <v>2576</v>
      </c>
    </row>
    <row r="750" spans="1:10" x14ac:dyDescent="0.25">
      <c r="A750" t="s">
        <v>3252</v>
      </c>
      <c r="C750" t="s">
        <v>4080</v>
      </c>
      <c r="D750" t="s">
        <v>2382</v>
      </c>
      <c r="F750" t="s">
        <v>4126</v>
      </c>
      <c r="G750" s="9" t="s">
        <v>1373</v>
      </c>
      <c r="H750" s="4" t="s">
        <v>2390</v>
      </c>
      <c r="I750" t="s">
        <v>26</v>
      </c>
      <c r="J750" s="2">
        <v>2576</v>
      </c>
    </row>
    <row r="751" spans="1:10" x14ac:dyDescent="0.25">
      <c r="A751" t="s">
        <v>3253</v>
      </c>
      <c r="C751" t="s">
        <v>4080</v>
      </c>
      <c r="D751" t="s">
        <v>2382</v>
      </c>
      <c r="F751" t="s">
        <v>4126</v>
      </c>
      <c r="G751" s="9" t="s">
        <v>1373</v>
      </c>
      <c r="H751" s="4" t="s">
        <v>2390</v>
      </c>
      <c r="I751" t="s">
        <v>61</v>
      </c>
      <c r="J751" s="2">
        <v>2576</v>
      </c>
    </row>
    <row r="752" spans="1:10" x14ac:dyDescent="0.25">
      <c r="A752" t="s">
        <v>3254</v>
      </c>
      <c r="C752" t="s">
        <v>4080</v>
      </c>
      <c r="D752" t="s">
        <v>2382</v>
      </c>
      <c r="F752" t="s">
        <v>4126</v>
      </c>
      <c r="G752" s="9" t="s">
        <v>1372</v>
      </c>
      <c r="H752" s="4" t="s">
        <v>2390</v>
      </c>
      <c r="I752" t="s">
        <v>153</v>
      </c>
      <c r="J752" s="2">
        <v>2576</v>
      </c>
    </row>
    <row r="753" spans="1:10" x14ac:dyDescent="0.25">
      <c r="A753" t="s">
        <v>3255</v>
      </c>
      <c r="C753" t="s">
        <v>4080</v>
      </c>
      <c r="D753" t="s">
        <v>2382</v>
      </c>
      <c r="F753" t="s">
        <v>4126</v>
      </c>
      <c r="G753" s="9" t="s">
        <v>1703</v>
      </c>
      <c r="H753" s="4" t="s">
        <v>2391</v>
      </c>
      <c r="I753" t="s">
        <v>1702</v>
      </c>
      <c r="J753" s="2">
        <v>1902</v>
      </c>
    </row>
    <row r="754" spans="1:10" x14ac:dyDescent="0.25">
      <c r="A754" t="s">
        <v>3256</v>
      </c>
      <c r="C754" t="s">
        <v>4080</v>
      </c>
      <c r="D754" t="s">
        <v>2382</v>
      </c>
      <c r="F754" t="s">
        <v>4126</v>
      </c>
      <c r="G754" s="9" t="s">
        <v>1705</v>
      </c>
      <c r="H754" s="4" t="s">
        <v>2391</v>
      </c>
      <c r="I754" t="s">
        <v>1704</v>
      </c>
      <c r="J754" s="2">
        <v>1902</v>
      </c>
    </row>
    <row r="755" spans="1:10" x14ac:dyDescent="0.25">
      <c r="A755" t="s">
        <v>3257</v>
      </c>
      <c r="C755" t="s">
        <v>4080</v>
      </c>
      <c r="D755" t="s">
        <v>2382</v>
      </c>
      <c r="F755" t="s">
        <v>4126</v>
      </c>
      <c r="G755" s="9" t="s">
        <v>1706</v>
      </c>
      <c r="H755" s="4" t="s">
        <v>2391</v>
      </c>
      <c r="I755" t="s">
        <v>1704</v>
      </c>
      <c r="J755" s="2">
        <v>1902</v>
      </c>
    </row>
    <row r="756" spans="1:10" x14ac:dyDescent="0.25">
      <c r="A756" t="s">
        <v>3258</v>
      </c>
      <c r="C756" t="s">
        <v>4080</v>
      </c>
      <c r="D756" t="s">
        <v>2382</v>
      </c>
      <c r="F756" t="s">
        <v>4126</v>
      </c>
      <c r="G756" s="9" t="s">
        <v>1353</v>
      </c>
      <c r="H756" s="4" t="s">
        <v>2389</v>
      </c>
      <c r="I756" t="s">
        <v>61</v>
      </c>
      <c r="J756" s="2">
        <v>2683</v>
      </c>
    </row>
    <row r="757" spans="1:10" x14ac:dyDescent="0.25">
      <c r="A757" t="s">
        <v>3259</v>
      </c>
      <c r="C757" t="s">
        <v>4080</v>
      </c>
      <c r="D757" t="s">
        <v>2382</v>
      </c>
      <c r="F757" t="s">
        <v>4126</v>
      </c>
      <c r="G757" s="9" t="s">
        <v>82</v>
      </c>
      <c r="H757" s="4" t="s">
        <v>4098</v>
      </c>
      <c r="I757" t="s">
        <v>28</v>
      </c>
      <c r="J757" s="2">
        <v>48293</v>
      </c>
    </row>
    <row r="758" spans="1:10" x14ac:dyDescent="0.25">
      <c r="A758" t="s">
        <v>3260</v>
      </c>
      <c r="C758" t="s">
        <v>4080</v>
      </c>
      <c r="D758" t="s">
        <v>2382</v>
      </c>
      <c r="F758" t="s">
        <v>4126</v>
      </c>
      <c r="G758" s="9" t="s">
        <v>2081</v>
      </c>
      <c r="H758" s="4" t="s">
        <v>2471</v>
      </c>
      <c r="I758" t="s">
        <v>2472</v>
      </c>
      <c r="J758" s="2">
        <v>1070</v>
      </c>
    </row>
    <row r="759" spans="1:10" x14ac:dyDescent="0.25">
      <c r="A759" t="s">
        <v>3261</v>
      </c>
      <c r="C759" t="s">
        <v>4080</v>
      </c>
      <c r="D759" t="s">
        <v>2382</v>
      </c>
      <c r="F759" t="s">
        <v>4126</v>
      </c>
      <c r="G759" s="9" t="s">
        <v>2081</v>
      </c>
      <c r="H759" s="4" t="s">
        <v>2471</v>
      </c>
      <c r="I759" t="s">
        <v>2082</v>
      </c>
      <c r="J759" s="2">
        <v>1070</v>
      </c>
    </row>
    <row r="760" spans="1:10" x14ac:dyDescent="0.25">
      <c r="A760" t="s">
        <v>3262</v>
      </c>
      <c r="C760" t="s">
        <v>4080</v>
      </c>
      <c r="D760" t="s">
        <v>2382</v>
      </c>
      <c r="F760" t="s">
        <v>4126</v>
      </c>
      <c r="G760" s="9" t="s">
        <v>1792</v>
      </c>
      <c r="H760" s="4" t="s">
        <v>4099</v>
      </c>
      <c r="I760" t="s">
        <v>1791</v>
      </c>
      <c r="J760" s="2">
        <v>1709</v>
      </c>
    </row>
    <row r="761" spans="1:10" hidden="1" x14ac:dyDescent="0.25">
      <c r="A761" t="s">
        <v>3263</v>
      </c>
      <c r="C761" t="s">
        <v>4084</v>
      </c>
      <c r="D761" t="s">
        <v>4105</v>
      </c>
      <c r="F761" t="s">
        <v>4126</v>
      </c>
      <c r="G761" s="9" t="s">
        <v>185</v>
      </c>
      <c r="H761" t="s">
        <v>183</v>
      </c>
      <c r="I761" t="s">
        <v>184</v>
      </c>
      <c r="J761" s="2">
        <v>24473</v>
      </c>
    </row>
    <row r="762" spans="1:10" hidden="1" x14ac:dyDescent="0.25">
      <c r="A762" t="s">
        <v>3264</v>
      </c>
      <c r="C762" t="s">
        <v>4084</v>
      </c>
      <c r="D762" t="s">
        <v>4105</v>
      </c>
      <c r="F762" t="s">
        <v>4126</v>
      </c>
      <c r="G762" s="9" t="s">
        <v>187</v>
      </c>
      <c r="H762" t="s">
        <v>183</v>
      </c>
      <c r="I762" t="s">
        <v>186</v>
      </c>
      <c r="J762" s="2">
        <v>24473</v>
      </c>
    </row>
    <row r="763" spans="1:10" hidden="1" x14ac:dyDescent="0.25">
      <c r="A763" t="s">
        <v>3265</v>
      </c>
      <c r="C763" t="s">
        <v>4084</v>
      </c>
      <c r="D763" t="s">
        <v>4105</v>
      </c>
      <c r="F763" t="s">
        <v>4126</v>
      </c>
      <c r="G763" s="9" t="s">
        <v>627</v>
      </c>
      <c r="H763" t="s">
        <v>626</v>
      </c>
      <c r="I763" t="s">
        <v>64</v>
      </c>
      <c r="J763" s="2">
        <v>5639</v>
      </c>
    </row>
    <row r="764" spans="1:10" hidden="1" x14ac:dyDescent="0.25">
      <c r="A764" t="s">
        <v>3266</v>
      </c>
      <c r="C764" t="s">
        <v>4084</v>
      </c>
      <c r="D764" t="s">
        <v>4105</v>
      </c>
      <c r="F764" t="s">
        <v>4126</v>
      </c>
      <c r="G764" s="9" t="s">
        <v>735</v>
      </c>
      <c r="H764" t="s">
        <v>734</v>
      </c>
      <c r="I764" t="s">
        <v>64</v>
      </c>
      <c r="J764" s="2">
        <v>4929</v>
      </c>
    </row>
    <row r="765" spans="1:10" hidden="1" x14ac:dyDescent="0.25">
      <c r="A765" t="s">
        <v>3267</v>
      </c>
      <c r="C765" t="s">
        <v>4084</v>
      </c>
      <c r="D765" t="s">
        <v>4105</v>
      </c>
      <c r="F765" t="s">
        <v>4126</v>
      </c>
      <c r="G765" s="9" t="s">
        <v>767</v>
      </c>
      <c r="H765" t="s">
        <v>766</v>
      </c>
      <c r="I765" t="s">
        <v>64</v>
      </c>
      <c r="J765" s="2">
        <v>4857</v>
      </c>
    </row>
    <row r="766" spans="1:10" hidden="1" x14ac:dyDescent="0.25">
      <c r="A766" t="s">
        <v>3268</v>
      </c>
      <c r="C766" t="s">
        <v>4084</v>
      </c>
      <c r="D766" t="s">
        <v>4105</v>
      </c>
      <c r="F766" t="s">
        <v>4126</v>
      </c>
      <c r="G766" s="9" t="s">
        <v>893</v>
      </c>
      <c r="H766" t="s">
        <v>892</v>
      </c>
      <c r="I766" t="s">
        <v>64</v>
      </c>
      <c r="J766" s="2">
        <v>4245</v>
      </c>
    </row>
    <row r="767" spans="1:10" hidden="1" x14ac:dyDescent="0.25">
      <c r="A767" t="s">
        <v>3269</v>
      </c>
      <c r="C767" t="s">
        <v>4084</v>
      </c>
      <c r="D767" t="s">
        <v>4105</v>
      </c>
      <c r="F767" t="s">
        <v>4126</v>
      </c>
      <c r="G767" s="9" t="s">
        <v>894</v>
      </c>
      <c r="H767" t="s">
        <v>892</v>
      </c>
      <c r="I767" t="s">
        <v>62</v>
      </c>
      <c r="J767" s="2">
        <v>4245</v>
      </c>
    </row>
    <row r="768" spans="1:10" hidden="1" x14ac:dyDescent="0.25">
      <c r="A768" t="s">
        <v>3270</v>
      </c>
      <c r="C768" t="s">
        <v>4084</v>
      </c>
      <c r="D768" t="s">
        <v>4105</v>
      </c>
      <c r="F768" t="s">
        <v>4126</v>
      </c>
      <c r="G768" s="9" t="s">
        <v>895</v>
      </c>
      <c r="H768" t="s">
        <v>892</v>
      </c>
      <c r="I768" t="s">
        <v>62</v>
      </c>
      <c r="J768" s="2">
        <v>4245</v>
      </c>
    </row>
    <row r="769" spans="1:10" hidden="1" x14ac:dyDescent="0.25">
      <c r="A769" t="s">
        <v>3271</v>
      </c>
      <c r="C769" t="s">
        <v>4084</v>
      </c>
      <c r="D769" t="s">
        <v>4105</v>
      </c>
      <c r="F769" t="s">
        <v>4126</v>
      </c>
      <c r="G769" s="9" t="s">
        <v>1215</v>
      </c>
      <c r="H769" t="s">
        <v>1214</v>
      </c>
      <c r="I769" t="s">
        <v>184</v>
      </c>
      <c r="J769" s="2">
        <v>3198</v>
      </c>
    </row>
    <row r="770" spans="1:10" hidden="1" x14ac:dyDescent="0.25">
      <c r="A770" t="s">
        <v>3272</v>
      </c>
      <c r="C770" t="s">
        <v>4084</v>
      </c>
      <c r="D770" t="s">
        <v>4105</v>
      </c>
      <c r="F770" t="s">
        <v>4126</v>
      </c>
      <c r="G770" s="9" t="s">
        <v>1216</v>
      </c>
      <c r="H770" t="s">
        <v>1214</v>
      </c>
      <c r="I770" t="s">
        <v>62</v>
      </c>
      <c r="J770" s="2">
        <v>3198</v>
      </c>
    </row>
    <row r="771" spans="1:10" hidden="1" x14ac:dyDescent="0.25">
      <c r="A771" t="s">
        <v>3273</v>
      </c>
      <c r="C771" t="s">
        <v>4084</v>
      </c>
      <c r="D771" t="s">
        <v>4105</v>
      </c>
      <c r="F771" t="s">
        <v>4126</v>
      </c>
      <c r="G771" s="9" t="s">
        <v>1217</v>
      </c>
      <c r="H771" t="s">
        <v>1214</v>
      </c>
      <c r="I771" t="s">
        <v>89</v>
      </c>
      <c r="J771" s="2">
        <v>3198</v>
      </c>
    </row>
    <row r="772" spans="1:10" hidden="1" x14ac:dyDescent="0.25">
      <c r="A772" t="s">
        <v>3274</v>
      </c>
      <c r="C772" t="s">
        <v>4084</v>
      </c>
      <c r="D772" t="s">
        <v>4105</v>
      </c>
      <c r="F772" t="s">
        <v>4126</v>
      </c>
      <c r="G772" s="9" t="s">
        <v>1399</v>
      </c>
      <c r="H772" t="s">
        <v>1398</v>
      </c>
      <c r="I772" t="s">
        <v>89</v>
      </c>
      <c r="J772" s="2">
        <v>2541</v>
      </c>
    </row>
    <row r="773" spans="1:10" hidden="1" x14ac:dyDescent="0.25">
      <c r="A773" t="s">
        <v>3275</v>
      </c>
      <c r="C773" t="s">
        <v>4084</v>
      </c>
      <c r="D773" t="s">
        <v>4105</v>
      </c>
      <c r="F773" t="s">
        <v>4126</v>
      </c>
      <c r="G773" s="9" t="s">
        <v>1540</v>
      </c>
      <c r="H773" t="s">
        <v>1539</v>
      </c>
      <c r="I773" t="s">
        <v>64</v>
      </c>
      <c r="J773" s="2">
        <v>2160</v>
      </c>
    </row>
    <row r="774" spans="1:10" hidden="1" x14ac:dyDescent="0.25">
      <c r="A774" t="s">
        <v>3276</v>
      </c>
      <c r="C774" t="s">
        <v>4084</v>
      </c>
      <c r="D774" t="s">
        <v>4105</v>
      </c>
      <c r="F774" t="s">
        <v>4126</v>
      </c>
      <c r="G774" s="9" t="s">
        <v>1615</v>
      </c>
      <c r="H774" t="s">
        <v>1614</v>
      </c>
      <c r="I774" t="s">
        <v>73</v>
      </c>
      <c r="J774" s="2">
        <v>2031</v>
      </c>
    </row>
    <row r="775" spans="1:10" hidden="1" x14ac:dyDescent="0.25">
      <c r="A775" t="s">
        <v>3277</v>
      </c>
      <c r="C775" t="s">
        <v>4084</v>
      </c>
      <c r="D775" t="s">
        <v>4105</v>
      </c>
      <c r="F775" t="s">
        <v>4126</v>
      </c>
      <c r="G775" s="9" t="s">
        <v>1616</v>
      </c>
      <c r="H775" t="s">
        <v>1614</v>
      </c>
      <c r="I775" t="s">
        <v>73</v>
      </c>
      <c r="J775" s="2">
        <v>2031</v>
      </c>
    </row>
    <row r="776" spans="1:10" hidden="1" x14ac:dyDescent="0.25">
      <c r="A776" t="s">
        <v>3278</v>
      </c>
      <c r="C776" t="s">
        <v>4084</v>
      </c>
      <c r="D776" t="s">
        <v>4105</v>
      </c>
      <c r="F776" t="s">
        <v>4126</v>
      </c>
      <c r="G776" s="9" t="s">
        <v>1617</v>
      </c>
      <c r="H776" t="s">
        <v>1614</v>
      </c>
      <c r="I776" t="s">
        <v>89</v>
      </c>
      <c r="J776" s="2">
        <v>2031</v>
      </c>
    </row>
    <row r="777" spans="1:10" hidden="1" x14ac:dyDescent="0.25">
      <c r="A777" t="s">
        <v>3279</v>
      </c>
      <c r="C777" t="s">
        <v>4085</v>
      </c>
      <c r="D777" t="s">
        <v>4111</v>
      </c>
      <c r="F777" t="s">
        <v>4126</v>
      </c>
      <c r="G777" s="9" t="s">
        <v>1767</v>
      </c>
      <c r="H777" t="s">
        <v>1766</v>
      </c>
      <c r="I777" t="s">
        <v>1233</v>
      </c>
      <c r="J777" s="2">
        <v>1779</v>
      </c>
    </row>
    <row r="778" spans="1:10" hidden="1" x14ac:dyDescent="0.25">
      <c r="A778" t="s">
        <v>3280</v>
      </c>
      <c r="C778" t="s">
        <v>4081</v>
      </c>
      <c r="D778" t="s">
        <v>4112</v>
      </c>
      <c r="F778" t="s">
        <v>4126</v>
      </c>
      <c r="G778" s="9" t="s">
        <v>111</v>
      </c>
      <c r="H778" t="s">
        <v>109</v>
      </c>
      <c r="I778" t="s">
        <v>110</v>
      </c>
      <c r="J778" s="2">
        <v>38652</v>
      </c>
    </row>
    <row r="779" spans="1:10" hidden="1" x14ac:dyDescent="0.25">
      <c r="A779" t="s">
        <v>3281</v>
      </c>
      <c r="C779" t="s">
        <v>4081</v>
      </c>
      <c r="D779" t="s">
        <v>4112</v>
      </c>
      <c r="F779" t="s">
        <v>4126</v>
      </c>
      <c r="G779" s="9" t="s">
        <v>112</v>
      </c>
      <c r="H779" t="s">
        <v>109</v>
      </c>
      <c r="I779" t="s">
        <v>110</v>
      </c>
      <c r="J779" s="2">
        <v>38652</v>
      </c>
    </row>
    <row r="780" spans="1:10" hidden="1" x14ac:dyDescent="0.25">
      <c r="A780" t="s">
        <v>3282</v>
      </c>
      <c r="C780" t="s">
        <v>4081</v>
      </c>
      <c r="D780" t="s">
        <v>4112</v>
      </c>
      <c r="F780" t="s">
        <v>4126</v>
      </c>
      <c r="G780" s="9" t="s">
        <v>113</v>
      </c>
      <c r="H780" t="s">
        <v>109</v>
      </c>
      <c r="I780" t="s">
        <v>110</v>
      </c>
      <c r="J780" s="2">
        <v>38652</v>
      </c>
    </row>
    <row r="781" spans="1:10" hidden="1" x14ac:dyDescent="0.25">
      <c r="A781" t="s">
        <v>3283</v>
      </c>
      <c r="C781" t="s">
        <v>4081</v>
      </c>
      <c r="D781" t="s">
        <v>4112</v>
      </c>
      <c r="F781" t="s">
        <v>4126</v>
      </c>
      <c r="G781" s="9" t="s">
        <v>114</v>
      </c>
      <c r="H781" t="s">
        <v>109</v>
      </c>
      <c r="I781" t="s">
        <v>110</v>
      </c>
      <c r="J781" s="2">
        <v>38652</v>
      </c>
    </row>
    <row r="782" spans="1:10" hidden="1" x14ac:dyDescent="0.25">
      <c r="A782" t="s">
        <v>3284</v>
      </c>
      <c r="C782" t="s">
        <v>4081</v>
      </c>
      <c r="D782" t="s">
        <v>4112</v>
      </c>
      <c r="F782" t="s">
        <v>4126</v>
      </c>
      <c r="G782" s="9" t="s">
        <v>115</v>
      </c>
      <c r="H782" t="s">
        <v>109</v>
      </c>
      <c r="I782" t="s">
        <v>110</v>
      </c>
      <c r="J782" s="2">
        <v>38652</v>
      </c>
    </row>
    <row r="783" spans="1:10" hidden="1" x14ac:dyDescent="0.25">
      <c r="A783" t="s">
        <v>3285</v>
      </c>
      <c r="C783" t="s">
        <v>4081</v>
      </c>
      <c r="D783" t="s">
        <v>4112</v>
      </c>
      <c r="F783" t="s">
        <v>4126</v>
      </c>
      <c r="G783" s="9" t="s">
        <v>116</v>
      </c>
      <c r="H783" t="s">
        <v>109</v>
      </c>
      <c r="I783" t="s">
        <v>110</v>
      </c>
      <c r="J783" s="2">
        <v>38652</v>
      </c>
    </row>
    <row r="784" spans="1:10" hidden="1" x14ac:dyDescent="0.25">
      <c r="A784" t="s">
        <v>3286</v>
      </c>
      <c r="C784" t="s">
        <v>4081</v>
      </c>
      <c r="D784" t="s">
        <v>4112</v>
      </c>
      <c r="F784" t="s">
        <v>4126</v>
      </c>
      <c r="G784" s="9" t="s">
        <v>117</v>
      </c>
      <c r="H784" t="s">
        <v>109</v>
      </c>
      <c r="I784" t="s">
        <v>110</v>
      </c>
      <c r="J784" s="2">
        <v>38652</v>
      </c>
    </row>
    <row r="785" spans="1:10" hidden="1" x14ac:dyDescent="0.25">
      <c r="A785" t="s">
        <v>3287</v>
      </c>
      <c r="C785" t="s">
        <v>4081</v>
      </c>
      <c r="D785" t="s">
        <v>4112</v>
      </c>
      <c r="F785" t="s">
        <v>4126</v>
      </c>
      <c r="G785" s="9" t="s">
        <v>131</v>
      </c>
      <c r="H785" t="s">
        <v>129</v>
      </c>
      <c r="I785" t="s">
        <v>130</v>
      </c>
      <c r="J785" s="2">
        <v>34659</v>
      </c>
    </row>
    <row r="786" spans="1:10" hidden="1" x14ac:dyDescent="0.25">
      <c r="A786" t="s">
        <v>3288</v>
      </c>
      <c r="C786" t="s">
        <v>4081</v>
      </c>
      <c r="D786" t="s">
        <v>4112</v>
      </c>
      <c r="F786" t="s">
        <v>4126</v>
      </c>
      <c r="G786" s="9" t="s">
        <v>133</v>
      </c>
      <c r="H786" t="s">
        <v>129</v>
      </c>
      <c r="I786" t="s">
        <v>132</v>
      </c>
      <c r="J786" s="2">
        <v>34659</v>
      </c>
    </row>
    <row r="787" spans="1:10" hidden="1" x14ac:dyDescent="0.25">
      <c r="A787" t="s">
        <v>3289</v>
      </c>
      <c r="C787" t="s">
        <v>4081</v>
      </c>
      <c r="D787" t="s">
        <v>4112</v>
      </c>
      <c r="F787" t="s">
        <v>4126</v>
      </c>
      <c r="G787" s="9" t="s">
        <v>134</v>
      </c>
      <c r="H787" t="s">
        <v>129</v>
      </c>
      <c r="I787" t="s">
        <v>132</v>
      </c>
      <c r="J787" s="2">
        <v>34659</v>
      </c>
    </row>
    <row r="788" spans="1:10" hidden="1" x14ac:dyDescent="0.25">
      <c r="A788" t="s">
        <v>3290</v>
      </c>
      <c r="C788" t="s">
        <v>4081</v>
      </c>
      <c r="D788" t="s">
        <v>4112</v>
      </c>
      <c r="F788" t="s">
        <v>4126</v>
      </c>
      <c r="G788" s="9" t="s">
        <v>135</v>
      </c>
      <c r="H788" t="s">
        <v>129</v>
      </c>
      <c r="I788" t="s">
        <v>110</v>
      </c>
      <c r="J788" s="2">
        <v>34659</v>
      </c>
    </row>
    <row r="789" spans="1:10" hidden="1" x14ac:dyDescent="0.25">
      <c r="A789" t="s">
        <v>3291</v>
      </c>
      <c r="C789" t="s">
        <v>4081</v>
      </c>
      <c r="D789" t="s">
        <v>4112</v>
      </c>
      <c r="F789" t="s">
        <v>4126</v>
      </c>
      <c r="G789" s="9" t="s">
        <v>136</v>
      </c>
      <c r="H789" t="s">
        <v>129</v>
      </c>
      <c r="I789" t="s">
        <v>110</v>
      </c>
      <c r="J789" s="2">
        <v>34659</v>
      </c>
    </row>
    <row r="790" spans="1:10" hidden="1" x14ac:dyDescent="0.25">
      <c r="A790" t="s">
        <v>3292</v>
      </c>
      <c r="C790" t="s">
        <v>4081</v>
      </c>
      <c r="D790" t="s">
        <v>4112</v>
      </c>
      <c r="F790" t="s">
        <v>4126</v>
      </c>
      <c r="G790" s="9" t="s">
        <v>137</v>
      </c>
      <c r="H790" t="s">
        <v>129</v>
      </c>
      <c r="I790" t="s">
        <v>110</v>
      </c>
      <c r="J790" s="2">
        <v>34659</v>
      </c>
    </row>
    <row r="791" spans="1:10" hidden="1" x14ac:dyDescent="0.25">
      <c r="A791" t="s">
        <v>3293</v>
      </c>
      <c r="C791" t="s">
        <v>4081</v>
      </c>
      <c r="D791" t="s">
        <v>4112</v>
      </c>
      <c r="F791" t="s">
        <v>4126</v>
      </c>
      <c r="G791" s="9" t="s">
        <v>139</v>
      </c>
      <c r="H791" t="s">
        <v>129</v>
      </c>
      <c r="I791" t="s">
        <v>138</v>
      </c>
      <c r="J791" s="2">
        <v>34659</v>
      </c>
    </row>
    <row r="792" spans="1:10" hidden="1" x14ac:dyDescent="0.25">
      <c r="A792" t="s">
        <v>3294</v>
      </c>
      <c r="C792" t="s">
        <v>4081</v>
      </c>
      <c r="D792" t="s">
        <v>4112</v>
      </c>
      <c r="F792" t="s">
        <v>4126</v>
      </c>
      <c r="G792" s="9" t="s">
        <v>172</v>
      </c>
      <c r="H792" t="s">
        <v>171</v>
      </c>
      <c r="I792" t="s">
        <v>130</v>
      </c>
      <c r="J792" s="2">
        <v>28888</v>
      </c>
    </row>
    <row r="793" spans="1:10" hidden="1" x14ac:dyDescent="0.25">
      <c r="A793" t="s">
        <v>3295</v>
      </c>
      <c r="C793" t="s">
        <v>4081</v>
      </c>
      <c r="D793" t="s">
        <v>4112</v>
      </c>
      <c r="F793" t="s">
        <v>4126</v>
      </c>
      <c r="G793" s="9" t="s">
        <v>222</v>
      </c>
      <c r="H793" t="s">
        <v>221</v>
      </c>
      <c r="I793" t="s">
        <v>130</v>
      </c>
      <c r="J793" s="2">
        <v>19879</v>
      </c>
    </row>
    <row r="794" spans="1:10" hidden="1" x14ac:dyDescent="0.25">
      <c r="A794" t="s">
        <v>3296</v>
      </c>
      <c r="C794" t="s">
        <v>4081</v>
      </c>
      <c r="D794" t="s">
        <v>4112</v>
      </c>
      <c r="F794" t="s">
        <v>4126</v>
      </c>
      <c r="G794" s="9" t="s">
        <v>223</v>
      </c>
      <c r="H794" t="s">
        <v>221</v>
      </c>
      <c r="I794" t="s">
        <v>130</v>
      </c>
      <c r="J794" s="2">
        <v>19879</v>
      </c>
    </row>
    <row r="795" spans="1:10" hidden="1" x14ac:dyDescent="0.25">
      <c r="A795" t="s">
        <v>3297</v>
      </c>
      <c r="C795" t="s">
        <v>4081</v>
      </c>
      <c r="D795" t="s">
        <v>4112</v>
      </c>
      <c r="F795" t="s">
        <v>4126</v>
      </c>
      <c r="G795" s="9" t="s">
        <v>222</v>
      </c>
      <c r="H795" t="s">
        <v>221</v>
      </c>
      <c r="I795" t="s">
        <v>224</v>
      </c>
      <c r="J795" s="2">
        <v>19879</v>
      </c>
    </row>
    <row r="796" spans="1:10" hidden="1" x14ac:dyDescent="0.25">
      <c r="A796" t="s">
        <v>3298</v>
      </c>
      <c r="C796" t="s">
        <v>4081</v>
      </c>
      <c r="D796" t="s">
        <v>4112</v>
      </c>
      <c r="F796" t="s">
        <v>4126</v>
      </c>
      <c r="G796" s="9" t="s">
        <v>353</v>
      </c>
      <c r="H796" t="s">
        <v>352</v>
      </c>
      <c r="I796" t="s">
        <v>130</v>
      </c>
      <c r="J796" s="2">
        <v>10461</v>
      </c>
    </row>
    <row r="797" spans="1:10" hidden="1" x14ac:dyDescent="0.25">
      <c r="A797" t="s">
        <v>3299</v>
      </c>
      <c r="C797" t="s">
        <v>4081</v>
      </c>
      <c r="D797" t="s">
        <v>4112</v>
      </c>
      <c r="F797" t="s">
        <v>4126</v>
      </c>
      <c r="G797" s="9" t="s">
        <v>364</v>
      </c>
      <c r="H797" t="s">
        <v>363</v>
      </c>
      <c r="I797" t="s">
        <v>37</v>
      </c>
      <c r="J797" s="2">
        <v>10384</v>
      </c>
    </row>
    <row r="798" spans="1:10" hidden="1" x14ac:dyDescent="0.25">
      <c r="A798" t="s">
        <v>3300</v>
      </c>
      <c r="C798" t="s">
        <v>4081</v>
      </c>
      <c r="D798" t="s">
        <v>4112</v>
      </c>
      <c r="F798" t="s">
        <v>4126</v>
      </c>
      <c r="G798" s="9" t="s">
        <v>365</v>
      </c>
      <c r="H798" t="s">
        <v>363</v>
      </c>
      <c r="I798" t="s">
        <v>110</v>
      </c>
      <c r="J798" s="2">
        <v>10384</v>
      </c>
    </row>
    <row r="799" spans="1:10" hidden="1" x14ac:dyDescent="0.25">
      <c r="A799" t="s">
        <v>3301</v>
      </c>
      <c r="C799" t="s">
        <v>4081</v>
      </c>
      <c r="D799" t="s">
        <v>4112</v>
      </c>
      <c r="F799" t="s">
        <v>4126</v>
      </c>
      <c r="G799" s="9" t="s">
        <v>498</v>
      </c>
      <c r="H799" t="s">
        <v>497</v>
      </c>
      <c r="I799" t="s">
        <v>130</v>
      </c>
      <c r="J799" s="2">
        <v>7968</v>
      </c>
    </row>
    <row r="800" spans="1:10" hidden="1" x14ac:dyDescent="0.25">
      <c r="A800" t="s">
        <v>3302</v>
      </c>
      <c r="C800" t="s">
        <v>4081</v>
      </c>
      <c r="D800" t="s">
        <v>4112</v>
      </c>
      <c r="F800" t="s">
        <v>4126</v>
      </c>
      <c r="G800" s="9" t="s">
        <v>500</v>
      </c>
      <c r="H800" t="s">
        <v>497</v>
      </c>
      <c r="I800" t="s">
        <v>499</v>
      </c>
      <c r="J800" s="2">
        <v>7968</v>
      </c>
    </row>
    <row r="801" spans="1:10" hidden="1" x14ac:dyDescent="0.25">
      <c r="A801" t="s">
        <v>3303</v>
      </c>
      <c r="C801" t="s">
        <v>4081</v>
      </c>
      <c r="D801" t="s">
        <v>4112</v>
      </c>
      <c r="F801" t="s">
        <v>4126</v>
      </c>
      <c r="G801" s="9" t="s">
        <v>763</v>
      </c>
      <c r="H801" t="s">
        <v>761</v>
      </c>
      <c r="I801" t="s">
        <v>762</v>
      </c>
      <c r="J801" s="2">
        <v>4880</v>
      </c>
    </row>
    <row r="802" spans="1:10" hidden="1" x14ac:dyDescent="0.25">
      <c r="A802" t="s">
        <v>3304</v>
      </c>
      <c r="C802" t="s">
        <v>4081</v>
      </c>
      <c r="D802" t="s">
        <v>4112</v>
      </c>
      <c r="F802" t="s">
        <v>4126</v>
      </c>
      <c r="G802" s="9" t="s">
        <v>765</v>
      </c>
      <c r="H802" t="s">
        <v>764</v>
      </c>
      <c r="I802" t="s">
        <v>762</v>
      </c>
      <c r="J802" s="2">
        <v>4876</v>
      </c>
    </row>
    <row r="803" spans="1:10" hidden="1" x14ac:dyDescent="0.25">
      <c r="A803" t="s">
        <v>3305</v>
      </c>
      <c r="C803" t="s">
        <v>4081</v>
      </c>
      <c r="D803" t="s">
        <v>4112</v>
      </c>
      <c r="F803" t="s">
        <v>4126</v>
      </c>
      <c r="G803" s="9" t="s">
        <v>798</v>
      </c>
      <c r="H803" t="s">
        <v>797</v>
      </c>
      <c r="I803" t="s">
        <v>130</v>
      </c>
      <c r="J803" s="2">
        <v>4743</v>
      </c>
    </row>
    <row r="804" spans="1:10" hidden="1" x14ac:dyDescent="0.25">
      <c r="A804" t="s">
        <v>3306</v>
      </c>
      <c r="C804" t="s">
        <v>4081</v>
      </c>
      <c r="D804" t="s">
        <v>4112</v>
      </c>
      <c r="F804" t="s">
        <v>4126</v>
      </c>
      <c r="G804" s="9" t="s">
        <v>799</v>
      </c>
      <c r="H804" t="s">
        <v>797</v>
      </c>
      <c r="I804" t="s">
        <v>130</v>
      </c>
      <c r="J804" s="2">
        <v>4743</v>
      </c>
    </row>
    <row r="805" spans="1:10" hidden="1" x14ac:dyDescent="0.25">
      <c r="A805" t="s">
        <v>3307</v>
      </c>
      <c r="C805" t="s">
        <v>4081</v>
      </c>
      <c r="D805" t="s">
        <v>4112</v>
      </c>
      <c r="F805" t="s">
        <v>4126</v>
      </c>
      <c r="G805" s="9" t="s">
        <v>809</v>
      </c>
      <c r="H805" t="s">
        <v>808</v>
      </c>
      <c r="I805" t="s">
        <v>132</v>
      </c>
      <c r="J805" s="2">
        <v>4705</v>
      </c>
    </row>
    <row r="806" spans="1:10" hidden="1" x14ac:dyDescent="0.25">
      <c r="A806" t="s">
        <v>3308</v>
      </c>
      <c r="C806" t="s">
        <v>4081</v>
      </c>
      <c r="D806" t="s">
        <v>4112</v>
      </c>
      <c r="F806" t="s">
        <v>4126</v>
      </c>
      <c r="G806" s="9" t="s">
        <v>810</v>
      </c>
      <c r="H806" t="s">
        <v>808</v>
      </c>
      <c r="I806" t="s">
        <v>132</v>
      </c>
      <c r="J806" s="2">
        <v>4705</v>
      </c>
    </row>
    <row r="807" spans="1:10" hidden="1" x14ac:dyDescent="0.25">
      <c r="A807" t="s">
        <v>3309</v>
      </c>
      <c r="C807" t="s">
        <v>4081</v>
      </c>
      <c r="D807" t="s">
        <v>4112</v>
      </c>
      <c r="F807" t="s">
        <v>4126</v>
      </c>
      <c r="G807" s="9" t="s">
        <v>811</v>
      </c>
      <c r="H807" t="s">
        <v>808</v>
      </c>
      <c r="I807" t="s">
        <v>132</v>
      </c>
      <c r="J807" s="2">
        <v>4705</v>
      </c>
    </row>
    <row r="808" spans="1:10" hidden="1" x14ac:dyDescent="0.25">
      <c r="A808" t="s">
        <v>3310</v>
      </c>
      <c r="C808" t="s">
        <v>4081</v>
      </c>
      <c r="D808" t="s">
        <v>4112</v>
      </c>
      <c r="F808" t="s">
        <v>4126</v>
      </c>
      <c r="G808" s="9" t="s">
        <v>812</v>
      </c>
      <c r="H808" t="s">
        <v>808</v>
      </c>
      <c r="I808" t="s">
        <v>132</v>
      </c>
      <c r="J808" s="2">
        <v>4705</v>
      </c>
    </row>
    <row r="809" spans="1:10" hidden="1" x14ac:dyDescent="0.25">
      <c r="A809" t="s">
        <v>3311</v>
      </c>
      <c r="C809" t="s">
        <v>4081</v>
      </c>
      <c r="D809" t="s">
        <v>4112</v>
      </c>
      <c r="F809" t="s">
        <v>4126</v>
      </c>
      <c r="G809" s="9" t="s">
        <v>813</v>
      </c>
      <c r="H809" t="s">
        <v>808</v>
      </c>
      <c r="I809" t="s">
        <v>110</v>
      </c>
      <c r="J809" s="2">
        <v>4705</v>
      </c>
    </row>
    <row r="810" spans="1:10" hidden="1" x14ac:dyDescent="0.25">
      <c r="A810" t="s">
        <v>3312</v>
      </c>
      <c r="C810" t="s">
        <v>4081</v>
      </c>
      <c r="D810" t="s">
        <v>4112</v>
      </c>
      <c r="F810" t="s">
        <v>4126</v>
      </c>
      <c r="G810" s="9" t="s">
        <v>814</v>
      </c>
      <c r="H810" t="s">
        <v>808</v>
      </c>
      <c r="I810" t="s">
        <v>110</v>
      </c>
      <c r="J810" s="2">
        <v>4705</v>
      </c>
    </row>
    <row r="811" spans="1:10" hidden="1" x14ac:dyDescent="0.25">
      <c r="A811" t="s">
        <v>3313</v>
      </c>
      <c r="C811" t="s">
        <v>4081</v>
      </c>
      <c r="D811" t="s">
        <v>4112</v>
      </c>
      <c r="F811" t="s">
        <v>4126</v>
      </c>
      <c r="G811" s="9" t="s">
        <v>815</v>
      </c>
      <c r="H811" t="s">
        <v>808</v>
      </c>
      <c r="I811" t="s">
        <v>138</v>
      </c>
      <c r="J811" s="2">
        <v>4705</v>
      </c>
    </row>
    <row r="812" spans="1:10" hidden="1" x14ac:dyDescent="0.25">
      <c r="A812" t="s">
        <v>3314</v>
      </c>
      <c r="C812" t="s">
        <v>4081</v>
      </c>
      <c r="D812" t="s">
        <v>4112</v>
      </c>
      <c r="F812" t="s">
        <v>4126</v>
      </c>
      <c r="G812" s="9" t="s">
        <v>817</v>
      </c>
      <c r="H812" t="s">
        <v>808</v>
      </c>
      <c r="I812" t="s">
        <v>816</v>
      </c>
      <c r="J812" s="2">
        <v>4705</v>
      </c>
    </row>
    <row r="813" spans="1:10" hidden="1" x14ac:dyDescent="0.25">
      <c r="A813" t="s">
        <v>3315</v>
      </c>
      <c r="C813" t="s">
        <v>4081</v>
      </c>
      <c r="D813" t="s">
        <v>4112</v>
      </c>
      <c r="F813" t="s">
        <v>4126</v>
      </c>
      <c r="G813" s="9" t="s">
        <v>955</v>
      </c>
      <c r="H813" t="s">
        <v>954</v>
      </c>
      <c r="I813" t="s">
        <v>132</v>
      </c>
      <c r="J813" s="2">
        <v>4048</v>
      </c>
    </row>
    <row r="814" spans="1:10" hidden="1" x14ac:dyDescent="0.25">
      <c r="A814" t="s">
        <v>3316</v>
      </c>
      <c r="C814" t="s">
        <v>4081</v>
      </c>
      <c r="D814" t="s">
        <v>4112</v>
      </c>
      <c r="F814" t="s">
        <v>4126</v>
      </c>
      <c r="G814" s="9" t="s">
        <v>1226</v>
      </c>
      <c r="H814" t="s">
        <v>1225</v>
      </c>
      <c r="I814" t="s">
        <v>138</v>
      </c>
      <c r="J814" s="2">
        <v>3167</v>
      </c>
    </row>
    <row r="815" spans="1:10" hidden="1" x14ac:dyDescent="0.25">
      <c r="A815" t="s">
        <v>3317</v>
      </c>
      <c r="C815" t="s">
        <v>4081</v>
      </c>
      <c r="D815" t="s">
        <v>4112</v>
      </c>
      <c r="F815" t="s">
        <v>4126</v>
      </c>
      <c r="G815" s="9" t="s">
        <v>1267</v>
      </c>
      <c r="H815" t="s">
        <v>1266</v>
      </c>
      <c r="I815" t="s">
        <v>184</v>
      </c>
      <c r="J815" s="2">
        <v>3000</v>
      </c>
    </row>
    <row r="816" spans="1:10" hidden="1" x14ac:dyDescent="0.25">
      <c r="A816" t="s">
        <v>3318</v>
      </c>
      <c r="C816" t="s">
        <v>4081</v>
      </c>
      <c r="D816" t="s">
        <v>4112</v>
      </c>
      <c r="F816" t="s">
        <v>4126</v>
      </c>
      <c r="G816" s="9" t="s">
        <v>1421</v>
      </c>
      <c r="H816" t="s">
        <v>1420</v>
      </c>
      <c r="I816" t="s">
        <v>184</v>
      </c>
      <c r="J816" s="2">
        <v>2467</v>
      </c>
    </row>
    <row r="817" spans="1:10" hidden="1" x14ac:dyDescent="0.25">
      <c r="A817" t="s">
        <v>3319</v>
      </c>
      <c r="C817" t="s">
        <v>4081</v>
      </c>
      <c r="D817" t="s">
        <v>4112</v>
      </c>
      <c r="F817" t="s">
        <v>4126</v>
      </c>
      <c r="G817" s="9" t="s">
        <v>1448</v>
      </c>
      <c r="H817" t="s">
        <v>1447</v>
      </c>
      <c r="I817" t="s">
        <v>184</v>
      </c>
      <c r="J817" s="2">
        <v>2393</v>
      </c>
    </row>
    <row r="818" spans="1:10" hidden="1" x14ac:dyDescent="0.25">
      <c r="A818" t="s">
        <v>3320</v>
      </c>
      <c r="C818" t="s">
        <v>4081</v>
      </c>
      <c r="D818" t="s">
        <v>4112</v>
      </c>
      <c r="F818" t="s">
        <v>4126</v>
      </c>
      <c r="G818" s="9" t="s">
        <v>1589</v>
      </c>
      <c r="H818" t="s">
        <v>1587</v>
      </c>
      <c r="I818" t="s">
        <v>1588</v>
      </c>
      <c r="J818" s="2">
        <v>2116</v>
      </c>
    </row>
    <row r="819" spans="1:10" hidden="1" x14ac:dyDescent="0.25">
      <c r="A819" t="s">
        <v>3321</v>
      </c>
      <c r="C819" t="s">
        <v>4081</v>
      </c>
      <c r="D819" t="s">
        <v>4112</v>
      </c>
      <c r="F819" t="s">
        <v>4126</v>
      </c>
      <c r="G819" s="9" t="s">
        <v>1894</v>
      </c>
      <c r="H819" t="s">
        <v>1893</v>
      </c>
      <c r="I819" t="s">
        <v>184</v>
      </c>
      <c r="J819" s="2">
        <v>1432</v>
      </c>
    </row>
    <row r="820" spans="1:10" hidden="1" x14ac:dyDescent="0.25">
      <c r="A820" t="s">
        <v>3322</v>
      </c>
      <c r="C820" t="s">
        <v>4081</v>
      </c>
      <c r="D820" t="s">
        <v>4112</v>
      </c>
      <c r="F820" t="s">
        <v>4126</v>
      </c>
      <c r="G820" s="9" t="s">
        <v>1915</v>
      </c>
      <c r="H820" t="s">
        <v>1914</v>
      </c>
      <c r="I820" t="s">
        <v>130</v>
      </c>
      <c r="J820" s="2">
        <v>1406</v>
      </c>
    </row>
    <row r="821" spans="1:10" hidden="1" x14ac:dyDescent="0.25">
      <c r="A821" t="s">
        <v>3323</v>
      </c>
      <c r="C821" t="s">
        <v>4081</v>
      </c>
      <c r="D821" t="s">
        <v>4112</v>
      </c>
      <c r="F821" t="s">
        <v>4126</v>
      </c>
      <c r="G821" s="9" t="s">
        <v>1916</v>
      </c>
      <c r="H821" t="s">
        <v>1914</v>
      </c>
      <c r="I821" t="s">
        <v>130</v>
      </c>
      <c r="J821" s="2">
        <v>1406</v>
      </c>
    </row>
    <row r="822" spans="1:10" hidden="1" x14ac:dyDescent="0.25">
      <c r="A822" t="s">
        <v>3324</v>
      </c>
      <c r="C822" t="s">
        <v>4081</v>
      </c>
      <c r="D822" t="s">
        <v>4112</v>
      </c>
      <c r="F822" t="s">
        <v>4126</v>
      </c>
      <c r="G822" s="9" t="s">
        <v>1917</v>
      </c>
      <c r="H822" t="s">
        <v>1914</v>
      </c>
      <c r="I822" t="s">
        <v>130</v>
      </c>
      <c r="J822" s="2">
        <v>1406</v>
      </c>
    </row>
    <row r="823" spans="1:10" hidden="1" x14ac:dyDescent="0.25">
      <c r="A823" t="s">
        <v>3325</v>
      </c>
      <c r="C823" t="s">
        <v>4081</v>
      </c>
      <c r="D823" t="s">
        <v>4112</v>
      </c>
      <c r="F823" t="s">
        <v>4126</v>
      </c>
      <c r="G823" s="9" t="s">
        <v>1918</v>
      </c>
      <c r="H823" t="s">
        <v>1914</v>
      </c>
      <c r="I823" t="s">
        <v>132</v>
      </c>
      <c r="J823" s="2">
        <v>1406</v>
      </c>
    </row>
    <row r="824" spans="1:10" hidden="1" x14ac:dyDescent="0.25">
      <c r="A824" t="s">
        <v>3326</v>
      </c>
      <c r="C824" t="s">
        <v>4081</v>
      </c>
      <c r="D824" t="s">
        <v>4112</v>
      </c>
      <c r="F824" t="s">
        <v>4126</v>
      </c>
      <c r="G824" s="9" t="s">
        <v>2071</v>
      </c>
      <c r="H824" t="s">
        <v>2070</v>
      </c>
      <c r="I824" t="s">
        <v>37</v>
      </c>
      <c r="J824" s="2">
        <v>1092</v>
      </c>
    </row>
    <row r="825" spans="1:10" hidden="1" x14ac:dyDescent="0.25">
      <c r="A825" t="s">
        <v>3327</v>
      </c>
      <c r="C825" t="s">
        <v>4081</v>
      </c>
      <c r="D825" t="s">
        <v>4112</v>
      </c>
      <c r="F825" t="s">
        <v>4126</v>
      </c>
      <c r="G825" s="9" t="s">
        <v>2113</v>
      </c>
      <c r="H825" t="s">
        <v>2112</v>
      </c>
      <c r="I825" t="s">
        <v>762</v>
      </c>
      <c r="J825" s="2">
        <v>1000</v>
      </c>
    </row>
    <row r="826" spans="1:10" hidden="1" x14ac:dyDescent="0.25">
      <c r="A826" t="s">
        <v>3328</v>
      </c>
      <c r="C826" t="s">
        <v>4097</v>
      </c>
      <c r="D826" t="s">
        <v>4110</v>
      </c>
      <c r="F826" t="s">
        <v>4126</v>
      </c>
      <c r="G826" s="9" t="s">
        <v>2116</v>
      </c>
      <c r="H826" t="s">
        <v>2114</v>
      </c>
      <c r="I826" t="s">
        <v>2115</v>
      </c>
      <c r="J826" s="2">
        <v>1000</v>
      </c>
    </row>
    <row r="827" spans="1:10" hidden="1" x14ac:dyDescent="0.25">
      <c r="A827" t="s">
        <v>3329</v>
      </c>
      <c r="C827" t="s">
        <v>4074</v>
      </c>
      <c r="D827" t="s">
        <v>4113</v>
      </c>
      <c r="F827" t="s">
        <v>4126</v>
      </c>
      <c r="G827" s="9" t="s">
        <v>435</v>
      </c>
      <c r="H827" t="s">
        <v>434</v>
      </c>
      <c r="I827" t="s">
        <v>37</v>
      </c>
      <c r="J827" s="2">
        <v>9188</v>
      </c>
    </row>
    <row r="828" spans="1:10" hidden="1" x14ac:dyDescent="0.25">
      <c r="A828" t="s">
        <v>3330</v>
      </c>
      <c r="C828" t="s">
        <v>4074</v>
      </c>
      <c r="D828" t="s">
        <v>4113</v>
      </c>
      <c r="F828" t="s">
        <v>4126</v>
      </c>
      <c r="G828" s="9" t="s">
        <v>436</v>
      </c>
      <c r="H828" t="s">
        <v>434</v>
      </c>
      <c r="I828" t="s">
        <v>320</v>
      </c>
      <c r="J828" s="2">
        <v>9188</v>
      </c>
    </row>
    <row r="829" spans="1:10" hidden="1" x14ac:dyDescent="0.25">
      <c r="A829" t="s">
        <v>3331</v>
      </c>
      <c r="C829" t="s">
        <v>4064</v>
      </c>
      <c r="D829" t="s">
        <v>4104</v>
      </c>
      <c r="E829" t="s">
        <v>4127</v>
      </c>
      <c r="F829" t="s">
        <v>4126</v>
      </c>
      <c r="G829" s="9" t="s">
        <v>438</v>
      </c>
      <c r="H829" t="s">
        <v>437</v>
      </c>
      <c r="I829" t="s">
        <v>13</v>
      </c>
      <c r="J829" s="2">
        <v>9174</v>
      </c>
    </row>
    <row r="830" spans="1:10" hidden="1" x14ac:dyDescent="0.25">
      <c r="A830" t="s">
        <v>3332</v>
      </c>
      <c r="C830" t="s">
        <v>4064</v>
      </c>
      <c r="D830" t="s">
        <v>4104</v>
      </c>
      <c r="E830" t="s">
        <v>4127</v>
      </c>
      <c r="F830" t="s">
        <v>4126</v>
      </c>
      <c r="G830" s="9" t="s">
        <v>439</v>
      </c>
      <c r="H830" t="s">
        <v>437</v>
      </c>
      <c r="I830" t="s">
        <v>47</v>
      </c>
      <c r="J830" s="2">
        <v>9174</v>
      </c>
    </row>
    <row r="831" spans="1:10" hidden="1" x14ac:dyDescent="0.25">
      <c r="A831" t="s">
        <v>3333</v>
      </c>
      <c r="C831" t="s">
        <v>4064</v>
      </c>
      <c r="D831" t="s">
        <v>4104</v>
      </c>
      <c r="E831" t="s">
        <v>4127</v>
      </c>
      <c r="F831" t="s">
        <v>4126</v>
      </c>
      <c r="G831" s="9" t="s">
        <v>440</v>
      </c>
      <c r="H831" t="s">
        <v>437</v>
      </c>
      <c r="I831" t="s">
        <v>49</v>
      </c>
      <c r="J831" s="2">
        <v>9174</v>
      </c>
    </row>
    <row r="832" spans="1:10" hidden="1" x14ac:dyDescent="0.25">
      <c r="A832" t="s">
        <v>3334</v>
      </c>
      <c r="C832" t="s">
        <v>4064</v>
      </c>
      <c r="D832" t="s">
        <v>4104</v>
      </c>
      <c r="E832" t="s">
        <v>4127</v>
      </c>
      <c r="F832" t="s">
        <v>4126</v>
      </c>
      <c r="G832" s="9" t="s">
        <v>441</v>
      </c>
      <c r="H832" t="s">
        <v>437</v>
      </c>
      <c r="I832" t="s">
        <v>62</v>
      </c>
      <c r="J832" s="2">
        <v>9174</v>
      </c>
    </row>
    <row r="833" spans="1:10" hidden="1" x14ac:dyDescent="0.25">
      <c r="A833" t="s">
        <v>3335</v>
      </c>
      <c r="C833" t="s">
        <v>4074</v>
      </c>
      <c r="D833" t="s">
        <v>4113</v>
      </c>
      <c r="F833" t="s">
        <v>4126</v>
      </c>
      <c r="G833" s="9" t="s">
        <v>443</v>
      </c>
      <c r="H833" t="s">
        <v>442</v>
      </c>
      <c r="I833" t="s">
        <v>13</v>
      </c>
      <c r="J833" s="2">
        <v>9173</v>
      </c>
    </row>
    <row r="834" spans="1:10" hidden="1" x14ac:dyDescent="0.25">
      <c r="A834" t="s">
        <v>3336</v>
      </c>
      <c r="C834" t="s">
        <v>4074</v>
      </c>
      <c r="D834" t="s">
        <v>4113</v>
      </c>
      <c r="F834" t="s">
        <v>4126</v>
      </c>
      <c r="G834" s="9" t="s">
        <v>444</v>
      </c>
      <c r="H834" t="s">
        <v>442</v>
      </c>
      <c r="I834" t="s">
        <v>13</v>
      </c>
      <c r="J834" s="2">
        <v>9173</v>
      </c>
    </row>
    <row r="835" spans="1:10" hidden="1" x14ac:dyDescent="0.25">
      <c r="A835" t="s">
        <v>3337</v>
      </c>
      <c r="C835" t="s">
        <v>4074</v>
      </c>
      <c r="D835" t="s">
        <v>4113</v>
      </c>
      <c r="F835" t="s">
        <v>4126</v>
      </c>
      <c r="G835" s="9" t="s">
        <v>445</v>
      </c>
      <c r="H835" t="s">
        <v>442</v>
      </c>
      <c r="I835" t="s">
        <v>320</v>
      </c>
      <c r="J835" s="2">
        <v>9173</v>
      </c>
    </row>
    <row r="836" spans="1:10" hidden="1" x14ac:dyDescent="0.25">
      <c r="A836" t="s">
        <v>3338</v>
      </c>
      <c r="C836" t="s">
        <v>4064</v>
      </c>
      <c r="D836" t="s">
        <v>4104</v>
      </c>
      <c r="E836" t="s">
        <v>4127</v>
      </c>
      <c r="F836" t="s">
        <v>4126</v>
      </c>
      <c r="G836" s="9" t="s">
        <v>482</v>
      </c>
      <c r="H836" t="s">
        <v>481</v>
      </c>
      <c r="I836" t="s">
        <v>13</v>
      </c>
      <c r="J836" s="2">
        <v>8430</v>
      </c>
    </row>
    <row r="837" spans="1:10" hidden="1" x14ac:dyDescent="0.25">
      <c r="A837" t="s">
        <v>3339</v>
      </c>
      <c r="C837" t="s">
        <v>4064</v>
      </c>
      <c r="D837" t="s">
        <v>4104</v>
      </c>
      <c r="E837" t="s">
        <v>4127</v>
      </c>
      <c r="F837" t="s">
        <v>4126</v>
      </c>
      <c r="G837" s="9" t="s">
        <v>483</v>
      </c>
      <c r="H837" t="s">
        <v>481</v>
      </c>
      <c r="I837" t="s">
        <v>49</v>
      </c>
      <c r="J837" s="2">
        <v>8430</v>
      </c>
    </row>
    <row r="838" spans="1:10" hidden="1" x14ac:dyDescent="0.25">
      <c r="A838" t="s">
        <v>3340</v>
      </c>
      <c r="C838" t="s">
        <v>4064</v>
      </c>
      <c r="D838" t="s">
        <v>4104</v>
      </c>
      <c r="E838" t="s">
        <v>4127</v>
      </c>
      <c r="F838" t="s">
        <v>4126</v>
      </c>
      <c r="G838" s="9" t="s">
        <v>484</v>
      </c>
      <c r="H838" t="s">
        <v>481</v>
      </c>
      <c r="I838" t="s">
        <v>62</v>
      </c>
      <c r="J838" s="2">
        <v>8430</v>
      </c>
    </row>
    <row r="839" spans="1:10" hidden="1" x14ac:dyDescent="0.25">
      <c r="A839" t="s">
        <v>3341</v>
      </c>
      <c r="C839" t="s">
        <v>4074</v>
      </c>
      <c r="D839" t="s">
        <v>4113</v>
      </c>
      <c r="F839" t="s">
        <v>4126</v>
      </c>
      <c r="G839" s="9" t="s">
        <v>528</v>
      </c>
      <c r="H839" t="s">
        <v>527</v>
      </c>
      <c r="I839" t="s">
        <v>13</v>
      </c>
      <c r="J839" s="2">
        <v>7517</v>
      </c>
    </row>
    <row r="840" spans="1:10" hidden="1" x14ac:dyDescent="0.25">
      <c r="A840" t="s">
        <v>3342</v>
      </c>
      <c r="C840" t="s">
        <v>4074</v>
      </c>
      <c r="D840" t="s">
        <v>4113</v>
      </c>
      <c r="F840" t="s">
        <v>4126</v>
      </c>
      <c r="G840" s="9" t="s">
        <v>529</v>
      </c>
      <c r="H840" t="s">
        <v>527</v>
      </c>
      <c r="I840" t="s">
        <v>320</v>
      </c>
      <c r="J840" s="2">
        <v>7517</v>
      </c>
    </row>
    <row r="841" spans="1:10" hidden="1" x14ac:dyDescent="0.25">
      <c r="A841" t="s">
        <v>3343</v>
      </c>
      <c r="C841" t="s">
        <v>4064</v>
      </c>
      <c r="D841" t="s">
        <v>4104</v>
      </c>
      <c r="E841" t="s">
        <v>4127</v>
      </c>
      <c r="F841" t="s">
        <v>4126</v>
      </c>
      <c r="G841" s="9" t="s">
        <v>604</v>
      </c>
      <c r="H841" t="s">
        <v>603</v>
      </c>
      <c r="I841" t="s">
        <v>13</v>
      </c>
      <c r="J841" s="2">
        <v>5933</v>
      </c>
    </row>
    <row r="842" spans="1:10" hidden="1" x14ac:dyDescent="0.25">
      <c r="A842" t="s">
        <v>3344</v>
      </c>
      <c r="C842" t="s">
        <v>4064</v>
      </c>
      <c r="D842" t="s">
        <v>4104</v>
      </c>
      <c r="E842" t="s">
        <v>4127</v>
      </c>
      <c r="F842" t="s">
        <v>4126</v>
      </c>
      <c r="G842" s="9" t="s">
        <v>65</v>
      </c>
      <c r="H842" t="s">
        <v>603</v>
      </c>
      <c r="I842" t="s">
        <v>64</v>
      </c>
      <c r="J842" s="2">
        <v>5933</v>
      </c>
    </row>
    <row r="843" spans="1:10" hidden="1" x14ac:dyDescent="0.25">
      <c r="A843" t="s">
        <v>3345</v>
      </c>
      <c r="C843" t="s">
        <v>4064</v>
      </c>
      <c r="D843" t="s">
        <v>4104</v>
      </c>
      <c r="E843" t="s">
        <v>4127</v>
      </c>
      <c r="F843" t="s">
        <v>4126</v>
      </c>
      <c r="G843" s="9" t="s">
        <v>605</v>
      </c>
      <c r="H843" t="s">
        <v>603</v>
      </c>
      <c r="I843" t="s">
        <v>8</v>
      </c>
      <c r="J843" s="2">
        <v>5933</v>
      </c>
    </row>
    <row r="844" spans="1:10" hidden="1" x14ac:dyDescent="0.25">
      <c r="A844" t="s">
        <v>3346</v>
      </c>
      <c r="C844" t="s">
        <v>4064</v>
      </c>
      <c r="D844" t="s">
        <v>4104</v>
      </c>
      <c r="E844" t="s">
        <v>4127</v>
      </c>
      <c r="F844" t="s">
        <v>4126</v>
      </c>
      <c r="G844" s="9" t="s">
        <v>606</v>
      </c>
      <c r="H844" t="s">
        <v>603</v>
      </c>
      <c r="I844" t="s">
        <v>62</v>
      </c>
      <c r="J844" s="2">
        <v>5933</v>
      </c>
    </row>
    <row r="845" spans="1:10" hidden="1" x14ac:dyDescent="0.25">
      <c r="A845" t="s">
        <v>3347</v>
      </c>
      <c r="C845" t="s">
        <v>4074</v>
      </c>
      <c r="D845" t="s">
        <v>4113</v>
      </c>
      <c r="F845" t="s">
        <v>4126</v>
      </c>
      <c r="G845" s="9" t="s">
        <v>616</v>
      </c>
      <c r="H845" t="s">
        <v>615</v>
      </c>
      <c r="I845" t="s">
        <v>13</v>
      </c>
      <c r="J845" s="2">
        <v>5870</v>
      </c>
    </row>
    <row r="846" spans="1:10" hidden="1" x14ac:dyDescent="0.25">
      <c r="A846" t="s">
        <v>3348</v>
      </c>
      <c r="C846" t="s">
        <v>4074</v>
      </c>
      <c r="D846" t="s">
        <v>4113</v>
      </c>
      <c r="F846" t="s">
        <v>4126</v>
      </c>
      <c r="G846" s="9" t="s">
        <v>617</v>
      </c>
      <c r="H846" t="s">
        <v>615</v>
      </c>
      <c r="I846" t="s">
        <v>320</v>
      </c>
      <c r="J846" s="2">
        <v>5870</v>
      </c>
    </row>
    <row r="847" spans="1:10" hidden="1" x14ac:dyDescent="0.25">
      <c r="A847" t="s">
        <v>3349</v>
      </c>
      <c r="C847" t="s">
        <v>4064</v>
      </c>
      <c r="D847" t="s">
        <v>4104</v>
      </c>
      <c r="E847" t="s">
        <v>4127</v>
      </c>
      <c r="F847" t="s">
        <v>4126</v>
      </c>
      <c r="G847" s="9" t="s">
        <v>702</v>
      </c>
      <c r="H847" t="s">
        <v>701</v>
      </c>
      <c r="I847" t="s">
        <v>13</v>
      </c>
      <c r="J847" s="2">
        <v>5065</v>
      </c>
    </row>
    <row r="848" spans="1:10" hidden="1" x14ac:dyDescent="0.25">
      <c r="A848" t="s">
        <v>3350</v>
      </c>
      <c r="C848" t="s">
        <v>4064</v>
      </c>
      <c r="D848" t="s">
        <v>4104</v>
      </c>
      <c r="E848" t="s">
        <v>4127</v>
      </c>
      <c r="F848" t="s">
        <v>4126</v>
      </c>
      <c r="G848" s="9" t="s">
        <v>703</v>
      </c>
      <c r="H848" t="s">
        <v>701</v>
      </c>
      <c r="I848" t="s">
        <v>64</v>
      </c>
      <c r="J848" s="2">
        <v>5065</v>
      </c>
    </row>
    <row r="849" spans="1:10" hidden="1" x14ac:dyDescent="0.25">
      <c r="A849" t="s">
        <v>3351</v>
      </c>
      <c r="C849" t="s">
        <v>4064</v>
      </c>
      <c r="D849" t="s">
        <v>4104</v>
      </c>
      <c r="E849" t="s">
        <v>4127</v>
      </c>
      <c r="F849" t="s">
        <v>4126</v>
      </c>
      <c r="G849" s="9" t="s">
        <v>704</v>
      </c>
      <c r="H849" t="s">
        <v>701</v>
      </c>
      <c r="I849" t="s">
        <v>64</v>
      </c>
      <c r="J849" s="2">
        <v>5065</v>
      </c>
    </row>
    <row r="850" spans="1:10" hidden="1" x14ac:dyDescent="0.25">
      <c r="A850" t="s">
        <v>3352</v>
      </c>
      <c r="C850" t="s">
        <v>4064</v>
      </c>
      <c r="D850" t="s">
        <v>4104</v>
      </c>
      <c r="E850" t="s">
        <v>4127</v>
      </c>
      <c r="F850" t="s">
        <v>4126</v>
      </c>
      <c r="G850" s="9" t="s">
        <v>705</v>
      </c>
      <c r="H850" t="s">
        <v>701</v>
      </c>
      <c r="I850" t="s">
        <v>49</v>
      </c>
      <c r="J850" s="2">
        <v>5065</v>
      </c>
    </row>
    <row r="851" spans="1:10" hidden="1" x14ac:dyDescent="0.25">
      <c r="A851" t="s">
        <v>3353</v>
      </c>
      <c r="C851" t="s">
        <v>4064</v>
      </c>
      <c r="D851" t="s">
        <v>4104</v>
      </c>
      <c r="E851" t="s">
        <v>4127</v>
      </c>
      <c r="F851" t="s">
        <v>4126</v>
      </c>
      <c r="G851" s="9" t="s">
        <v>706</v>
      </c>
      <c r="H851" t="s">
        <v>701</v>
      </c>
      <c r="I851" t="s">
        <v>8</v>
      </c>
      <c r="J851" s="2">
        <v>5065</v>
      </c>
    </row>
    <row r="852" spans="1:10" hidden="1" x14ac:dyDescent="0.25">
      <c r="A852" t="s">
        <v>3354</v>
      </c>
      <c r="C852" t="s">
        <v>4074</v>
      </c>
      <c r="D852" t="s">
        <v>4113</v>
      </c>
      <c r="F852" t="s">
        <v>4126</v>
      </c>
      <c r="G852" s="9" t="s">
        <v>880</v>
      </c>
      <c r="H852" t="s">
        <v>879</v>
      </c>
      <c r="I852" t="s">
        <v>37</v>
      </c>
      <c r="J852" s="2">
        <v>4335</v>
      </c>
    </row>
    <row r="853" spans="1:10" hidden="1" x14ac:dyDescent="0.25">
      <c r="A853" t="s">
        <v>3355</v>
      </c>
      <c r="C853" t="s">
        <v>4074</v>
      </c>
      <c r="D853" t="s">
        <v>4113</v>
      </c>
      <c r="F853" t="s">
        <v>4126</v>
      </c>
      <c r="G853" s="9" t="s">
        <v>881</v>
      </c>
      <c r="H853" t="s">
        <v>879</v>
      </c>
      <c r="I853" t="s">
        <v>320</v>
      </c>
      <c r="J853" s="2">
        <v>4335</v>
      </c>
    </row>
    <row r="854" spans="1:10" hidden="1" x14ac:dyDescent="0.25">
      <c r="A854" t="s">
        <v>3356</v>
      </c>
      <c r="C854" t="s">
        <v>4074</v>
      </c>
      <c r="D854" t="s">
        <v>4113</v>
      </c>
      <c r="F854" t="s">
        <v>4126</v>
      </c>
      <c r="G854" s="9" t="s">
        <v>882</v>
      </c>
      <c r="H854" t="s">
        <v>879</v>
      </c>
      <c r="I854" t="s">
        <v>207</v>
      </c>
      <c r="J854" s="2">
        <v>4335</v>
      </c>
    </row>
    <row r="855" spans="1:10" hidden="1" x14ac:dyDescent="0.25">
      <c r="A855" t="s">
        <v>3357</v>
      </c>
      <c r="C855" t="s">
        <v>4064</v>
      </c>
      <c r="D855" t="s">
        <v>4104</v>
      </c>
      <c r="E855" t="s">
        <v>4127</v>
      </c>
      <c r="F855" t="s">
        <v>4126</v>
      </c>
      <c r="G855" s="9" t="s">
        <v>918</v>
      </c>
      <c r="H855" t="s">
        <v>917</v>
      </c>
      <c r="I855" t="s">
        <v>13</v>
      </c>
      <c r="J855" s="2">
        <v>4175</v>
      </c>
    </row>
    <row r="856" spans="1:10" hidden="1" x14ac:dyDescent="0.25">
      <c r="A856" t="s">
        <v>3358</v>
      </c>
      <c r="C856" t="s">
        <v>4064</v>
      </c>
      <c r="D856" t="s">
        <v>4104</v>
      </c>
      <c r="E856" t="s">
        <v>4127</v>
      </c>
      <c r="F856" t="s">
        <v>4126</v>
      </c>
      <c r="G856" s="9" t="s">
        <v>919</v>
      </c>
      <c r="H856" t="s">
        <v>917</v>
      </c>
      <c r="I856" t="s">
        <v>47</v>
      </c>
      <c r="J856" s="2">
        <v>4175</v>
      </c>
    </row>
    <row r="857" spans="1:10" hidden="1" x14ac:dyDescent="0.25">
      <c r="A857" t="s">
        <v>3359</v>
      </c>
      <c r="C857" t="s">
        <v>4064</v>
      </c>
      <c r="D857" t="s">
        <v>4104</v>
      </c>
      <c r="E857" t="s">
        <v>4127</v>
      </c>
      <c r="F857" t="s">
        <v>4126</v>
      </c>
      <c r="G857" s="9" t="s">
        <v>920</v>
      </c>
      <c r="H857" t="s">
        <v>917</v>
      </c>
      <c r="I857" t="s">
        <v>49</v>
      </c>
      <c r="J857" s="2">
        <v>4175</v>
      </c>
    </row>
    <row r="858" spans="1:10" hidden="1" x14ac:dyDescent="0.25">
      <c r="A858" t="s">
        <v>3360</v>
      </c>
      <c r="C858" t="s">
        <v>4064</v>
      </c>
      <c r="D858" t="s">
        <v>4104</v>
      </c>
      <c r="E858" t="s">
        <v>4127</v>
      </c>
      <c r="F858" t="s">
        <v>4126</v>
      </c>
      <c r="G858" s="9" t="s">
        <v>921</v>
      </c>
      <c r="H858" t="s">
        <v>917</v>
      </c>
      <c r="I858" t="s">
        <v>8</v>
      </c>
      <c r="J858" s="2">
        <v>4175</v>
      </c>
    </row>
    <row r="859" spans="1:10" hidden="1" x14ac:dyDescent="0.25">
      <c r="A859" t="s">
        <v>3361</v>
      </c>
      <c r="C859" t="s">
        <v>4064</v>
      </c>
      <c r="D859" t="s">
        <v>4104</v>
      </c>
      <c r="E859" t="s">
        <v>4127</v>
      </c>
      <c r="F859" t="s">
        <v>4126</v>
      </c>
      <c r="G859" s="9" t="s">
        <v>922</v>
      </c>
      <c r="H859" t="s">
        <v>917</v>
      </c>
      <c r="I859" t="s">
        <v>62</v>
      </c>
      <c r="J859" s="2">
        <v>4175</v>
      </c>
    </row>
    <row r="860" spans="1:10" hidden="1" x14ac:dyDescent="0.25">
      <c r="A860" t="s">
        <v>3362</v>
      </c>
      <c r="C860" t="s">
        <v>4064</v>
      </c>
      <c r="D860" t="s">
        <v>4104</v>
      </c>
      <c r="E860" t="s">
        <v>4127</v>
      </c>
      <c r="F860" t="s">
        <v>4126</v>
      </c>
      <c r="G860" s="9" t="s">
        <v>924</v>
      </c>
      <c r="H860" t="s">
        <v>923</v>
      </c>
      <c r="I860" t="s">
        <v>13</v>
      </c>
      <c r="J860" s="2">
        <v>4164</v>
      </c>
    </row>
    <row r="861" spans="1:10" hidden="1" x14ac:dyDescent="0.25">
      <c r="A861" t="s">
        <v>3363</v>
      </c>
      <c r="C861" t="s">
        <v>4064</v>
      </c>
      <c r="D861" t="s">
        <v>4104</v>
      </c>
      <c r="E861" t="s">
        <v>4127</v>
      </c>
      <c r="F861" t="s">
        <v>4126</v>
      </c>
      <c r="G861" s="9" t="s">
        <v>925</v>
      </c>
      <c r="H861" t="s">
        <v>923</v>
      </c>
      <c r="I861" t="s">
        <v>47</v>
      </c>
      <c r="J861" s="2">
        <v>4164</v>
      </c>
    </row>
    <row r="862" spans="1:10" hidden="1" x14ac:dyDescent="0.25">
      <c r="A862" t="s">
        <v>3364</v>
      </c>
      <c r="C862" t="s">
        <v>4064</v>
      </c>
      <c r="D862" t="s">
        <v>4104</v>
      </c>
      <c r="E862" t="s">
        <v>4127</v>
      </c>
      <c r="F862" t="s">
        <v>4126</v>
      </c>
      <c r="G862" s="9" t="s">
        <v>926</v>
      </c>
      <c r="H862" t="s">
        <v>923</v>
      </c>
      <c r="I862" t="s">
        <v>64</v>
      </c>
      <c r="J862" s="2">
        <v>4164</v>
      </c>
    </row>
    <row r="863" spans="1:10" hidden="1" x14ac:dyDescent="0.25">
      <c r="A863" t="s">
        <v>3365</v>
      </c>
      <c r="C863" t="s">
        <v>4064</v>
      </c>
      <c r="D863" t="s">
        <v>4104</v>
      </c>
      <c r="E863" t="s">
        <v>4127</v>
      </c>
      <c r="F863" t="s">
        <v>4126</v>
      </c>
      <c r="G863" s="9" t="s">
        <v>927</v>
      </c>
      <c r="H863" t="s">
        <v>923</v>
      </c>
      <c r="I863" t="s">
        <v>62</v>
      </c>
      <c r="J863" s="2">
        <v>4164</v>
      </c>
    </row>
    <row r="864" spans="1:10" hidden="1" x14ac:dyDescent="0.25">
      <c r="A864" t="s">
        <v>3366</v>
      </c>
      <c r="C864" t="s">
        <v>4064</v>
      </c>
      <c r="D864" t="s">
        <v>4104</v>
      </c>
      <c r="E864" t="s">
        <v>4127</v>
      </c>
      <c r="F864" t="s">
        <v>4126</v>
      </c>
      <c r="G864" s="9" t="s">
        <v>592</v>
      </c>
      <c r="H864" t="s">
        <v>923</v>
      </c>
      <c r="I864" t="s">
        <v>10</v>
      </c>
      <c r="J864" s="2">
        <v>4164</v>
      </c>
    </row>
    <row r="865" spans="1:10" hidden="1" x14ac:dyDescent="0.25">
      <c r="A865" t="s">
        <v>3367</v>
      </c>
      <c r="C865" t="s">
        <v>4074</v>
      </c>
      <c r="D865" t="s">
        <v>4113</v>
      </c>
      <c r="F865" t="s">
        <v>4126</v>
      </c>
      <c r="G865" s="9" t="s">
        <v>931</v>
      </c>
      <c r="H865" t="s">
        <v>930</v>
      </c>
      <c r="I865" t="s">
        <v>37</v>
      </c>
      <c r="J865" s="2">
        <v>4152</v>
      </c>
    </row>
    <row r="866" spans="1:10" hidden="1" x14ac:dyDescent="0.25">
      <c r="A866" t="s">
        <v>3368</v>
      </c>
      <c r="C866" t="s">
        <v>4074</v>
      </c>
      <c r="D866" t="s">
        <v>4113</v>
      </c>
      <c r="F866" t="s">
        <v>4126</v>
      </c>
      <c r="G866" s="9" t="s">
        <v>932</v>
      </c>
      <c r="H866" t="s">
        <v>930</v>
      </c>
      <c r="I866" t="s">
        <v>320</v>
      </c>
      <c r="J866" s="2">
        <v>4152</v>
      </c>
    </row>
    <row r="867" spans="1:10" hidden="1" x14ac:dyDescent="0.25">
      <c r="A867" t="s">
        <v>3369</v>
      </c>
      <c r="C867" t="s">
        <v>4064</v>
      </c>
      <c r="D867" t="s">
        <v>4104</v>
      </c>
      <c r="E867" t="s">
        <v>4127</v>
      </c>
      <c r="F867" t="s">
        <v>4126</v>
      </c>
      <c r="G867" s="9" t="s">
        <v>1139</v>
      </c>
      <c r="H867" t="s">
        <v>1138</v>
      </c>
      <c r="I867" t="s">
        <v>13</v>
      </c>
      <c r="J867" s="2">
        <v>3358</v>
      </c>
    </row>
    <row r="868" spans="1:10" hidden="1" x14ac:dyDescent="0.25">
      <c r="A868" t="s">
        <v>3370</v>
      </c>
      <c r="C868" t="s">
        <v>4064</v>
      </c>
      <c r="D868" t="s">
        <v>4104</v>
      </c>
      <c r="E868" t="s">
        <v>4127</v>
      </c>
      <c r="F868" t="s">
        <v>4126</v>
      </c>
      <c r="G868" s="9" t="s">
        <v>1140</v>
      </c>
      <c r="H868" t="s">
        <v>1138</v>
      </c>
      <c r="I868" t="s">
        <v>47</v>
      </c>
      <c r="J868" s="2">
        <v>3358</v>
      </c>
    </row>
    <row r="869" spans="1:10" hidden="1" x14ac:dyDescent="0.25">
      <c r="A869" t="s">
        <v>3371</v>
      </c>
      <c r="C869" t="s">
        <v>4064</v>
      </c>
      <c r="D869" t="s">
        <v>4104</v>
      </c>
      <c r="E869" t="s">
        <v>4127</v>
      </c>
      <c r="F869" t="s">
        <v>4126</v>
      </c>
      <c r="G869" s="9" t="s">
        <v>1141</v>
      </c>
      <c r="H869" t="s">
        <v>1138</v>
      </c>
      <c r="I869" t="s">
        <v>49</v>
      </c>
      <c r="J869" s="2">
        <v>3358</v>
      </c>
    </row>
    <row r="870" spans="1:10" hidden="1" x14ac:dyDescent="0.25">
      <c r="A870" t="s">
        <v>3372</v>
      </c>
      <c r="C870" t="s">
        <v>4064</v>
      </c>
      <c r="D870" t="s">
        <v>4104</v>
      </c>
      <c r="E870" t="s">
        <v>4127</v>
      </c>
      <c r="F870" t="s">
        <v>4126</v>
      </c>
      <c r="G870" s="9" t="s">
        <v>1142</v>
      </c>
      <c r="H870" t="s">
        <v>1138</v>
      </c>
      <c r="I870" t="s">
        <v>8</v>
      </c>
      <c r="J870" s="2">
        <v>3358</v>
      </c>
    </row>
    <row r="871" spans="1:10" hidden="1" x14ac:dyDescent="0.25">
      <c r="A871" t="s">
        <v>3373</v>
      </c>
      <c r="C871" t="s">
        <v>4064</v>
      </c>
      <c r="D871" t="s">
        <v>4104</v>
      </c>
      <c r="E871" t="s">
        <v>4127</v>
      </c>
      <c r="F871" t="s">
        <v>4126</v>
      </c>
      <c r="G871" s="9" t="s">
        <v>1143</v>
      </c>
      <c r="H871" t="s">
        <v>1138</v>
      </c>
      <c r="I871" t="s">
        <v>62</v>
      </c>
      <c r="J871" s="2">
        <v>3358</v>
      </c>
    </row>
    <row r="872" spans="1:10" hidden="1" x14ac:dyDescent="0.25">
      <c r="A872" t="s">
        <v>3374</v>
      </c>
      <c r="C872" t="s">
        <v>4064</v>
      </c>
      <c r="D872" t="s">
        <v>4104</v>
      </c>
      <c r="E872" t="s">
        <v>4127</v>
      </c>
      <c r="F872" t="s">
        <v>4126</v>
      </c>
      <c r="G872" s="9" t="s">
        <v>1536</v>
      </c>
      <c r="H872" t="s">
        <v>1535</v>
      </c>
      <c r="I872" t="s">
        <v>13</v>
      </c>
      <c r="J872" s="2">
        <v>2165</v>
      </c>
    </row>
    <row r="873" spans="1:10" hidden="1" x14ac:dyDescent="0.25">
      <c r="A873" t="s">
        <v>3375</v>
      </c>
      <c r="C873" t="s">
        <v>4064</v>
      </c>
      <c r="D873" t="s">
        <v>4104</v>
      </c>
      <c r="E873" t="s">
        <v>4127</v>
      </c>
      <c r="F873" t="s">
        <v>4126</v>
      </c>
      <c r="G873" s="9" t="s">
        <v>1537</v>
      </c>
      <c r="H873" t="s">
        <v>1535</v>
      </c>
      <c r="I873" t="s">
        <v>49</v>
      </c>
      <c r="J873" s="2">
        <v>2165</v>
      </c>
    </row>
    <row r="874" spans="1:10" hidden="1" x14ac:dyDescent="0.25">
      <c r="A874" t="s">
        <v>3376</v>
      </c>
      <c r="C874" t="s">
        <v>4064</v>
      </c>
      <c r="D874" t="s">
        <v>4104</v>
      </c>
      <c r="E874" t="s">
        <v>4127</v>
      </c>
      <c r="F874" t="s">
        <v>4126</v>
      </c>
      <c r="G874" s="9" t="s">
        <v>1538</v>
      </c>
      <c r="H874" t="s">
        <v>1535</v>
      </c>
      <c r="I874" t="s">
        <v>49</v>
      </c>
      <c r="J874" s="2">
        <v>2165</v>
      </c>
    </row>
    <row r="875" spans="1:10" hidden="1" x14ac:dyDescent="0.25">
      <c r="A875" t="s">
        <v>3377</v>
      </c>
      <c r="C875" t="s">
        <v>4064</v>
      </c>
      <c r="D875" t="s">
        <v>4104</v>
      </c>
      <c r="E875" t="s">
        <v>4127</v>
      </c>
      <c r="F875" t="s">
        <v>4126</v>
      </c>
      <c r="G875" s="9" t="s">
        <v>1727</v>
      </c>
      <c r="H875" t="s">
        <v>1726</v>
      </c>
      <c r="I875" t="s">
        <v>47</v>
      </c>
      <c r="J875" s="2">
        <v>1848</v>
      </c>
    </row>
    <row r="876" spans="1:10" hidden="1" x14ac:dyDescent="0.25">
      <c r="A876" t="s">
        <v>3378</v>
      </c>
      <c r="C876" t="s">
        <v>4064</v>
      </c>
      <c r="D876" t="s">
        <v>4104</v>
      </c>
      <c r="E876" t="s">
        <v>4127</v>
      </c>
      <c r="F876" t="s">
        <v>4126</v>
      </c>
      <c r="G876" s="9" t="s">
        <v>1728</v>
      </c>
      <c r="H876" t="s">
        <v>1726</v>
      </c>
      <c r="I876" t="s">
        <v>64</v>
      </c>
      <c r="J876" s="2">
        <v>1848</v>
      </c>
    </row>
    <row r="877" spans="1:10" hidden="1" x14ac:dyDescent="0.25">
      <c r="A877" t="s">
        <v>3379</v>
      </c>
      <c r="C877" t="s">
        <v>4075</v>
      </c>
      <c r="D877" t="s">
        <v>4109</v>
      </c>
      <c r="F877" t="s">
        <v>4126</v>
      </c>
      <c r="G877" s="9" t="s">
        <v>1932</v>
      </c>
      <c r="H877" t="s">
        <v>1931</v>
      </c>
      <c r="I877" t="s">
        <v>37</v>
      </c>
      <c r="J877" s="2">
        <v>1357</v>
      </c>
    </row>
    <row r="878" spans="1:10" hidden="1" x14ac:dyDescent="0.25">
      <c r="A878" t="s">
        <v>3380</v>
      </c>
      <c r="C878" t="s">
        <v>4075</v>
      </c>
      <c r="D878" t="s">
        <v>4109</v>
      </c>
      <c r="F878" t="s">
        <v>4126</v>
      </c>
      <c r="G878" s="9" t="s">
        <v>1570</v>
      </c>
      <c r="H878" t="s">
        <v>1931</v>
      </c>
      <c r="I878" t="s">
        <v>2467</v>
      </c>
      <c r="J878" s="2">
        <v>1357</v>
      </c>
    </row>
    <row r="879" spans="1:10" hidden="1" x14ac:dyDescent="0.25">
      <c r="A879" t="s">
        <v>3381</v>
      </c>
      <c r="C879" t="s">
        <v>4075</v>
      </c>
      <c r="D879" t="s">
        <v>4109</v>
      </c>
      <c r="F879" t="s">
        <v>4126</v>
      </c>
      <c r="G879" s="9" t="s">
        <v>1569</v>
      </c>
      <c r="H879" t="s">
        <v>1931</v>
      </c>
      <c r="I879" t="s">
        <v>28</v>
      </c>
      <c r="J879" s="2">
        <v>1357</v>
      </c>
    </row>
    <row r="880" spans="1:10" hidden="1" x14ac:dyDescent="0.25">
      <c r="A880" t="s">
        <v>3382</v>
      </c>
      <c r="C880" t="s">
        <v>4075</v>
      </c>
      <c r="D880" t="s">
        <v>4109</v>
      </c>
      <c r="F880" t="s">
        <v>4126</v>
      </c>
      <c r="G880" s="9" t="s">
        <v>1569</v>
      </c>
      <c r="H880" t="s">
        <v>1931</v>
      </c>
      <c r="I880" t="s">
        <v>297</v>
      </c>
      <c r="J880" s="2">
        <v>1357</v>
      </c>
    </row>
    <row r="881" spans="1:10" hidden="1" x14ac:dyDescent="0.25">
      <c r="A881" t="s">
        <v>3383</v>
      </c>
      <c r="C881" t="s">
        <v>4064</v>
      </c>
      <c r="D881" t="s">
        <v>4104</v>
      </c>
      <c r="E881" t="s">
        <v>4127</v>
      </c>
      <c r="F881" t="s">
        <v>4126</v>
      </c>
      <c r="G881" s="9" t="s">
        <v>1934</v>
      </c>
      <c r="H881" t="s">
        <v>1933</v>
      </c>
      <c r="I881" t="s">
        <v>64</v>
      </c>
      <c r="J881" s="2">
        <v>1351</v>
      </c>
    </row>
    <row r="882" spans="1:10" hidden="1" x14ac:dyDescent="0.25">
      <c r="A882" t="s">
        <v>3384</v>
      </c>
      <c r="C882" t="s">
        <v>4075</v>
      </c>
      <c r="D882" t="s">
        <v>4109</v>
      </c>
      <c r="F882" t="s">
        <v>4126</v>
      </c>
      <c r="G882" s="9" t="s">
        <v>1936</v>
      </c>
      <c r="H882" t="s">
        <v>4100</v>
      </c>
      <c r="I882" t="s">
        <v>28</v>
      </c>
      <c r="J882" s="2">
        <v>1351</v>
      </c>
    </row>
    <row r="883" spans="1:10" hidden="1" x14ac:dyDescent="0.25">
      <c r="A883" t="s">
        <v>3385</v>
      </c>
      <c r="C883" t="s">
        <v>4075</v>
      </c>
      <c r="D883" t="s">
        <v>4109</v>
      </c>
      <c r="F883" t="s">
        <v>4126</v>
      </c>
      <c r="G883" s="9" t="s">
        <v>1451</v>
      </c>
      <c r="H883" t="s">
        <v>1935</v>
      </c>
      <c r="I883" t="s">
        <v>28</v>
      </c>
      <c r="J883" s="2">
        <v>1351</v>
      </c>
    </row>
    <row r="884" spans="1:10" hidden="1" x14ac:dyDescent="0.25">
      <c r="A884" t="s">
        <v>3386</v>
      </c>
      <c r="C884" t="s">
        <v>4077</v>
      </c>
      <c r="D884" t="s">
        <v>4114</v>
      </c>
      <c r="F884" t="s">
        <v>4126</v>
      </c>
      <c r="G884" s="9" t="s">
        <v>2027</v>
      </c>
      <c r="H884" t="s">
        <v>2026</v>
      </c>
      <c r="I884" t="s">
        <v>257</v>
      </c>
      <c r="J884" s="2">
        <v>1188</v>
      </c>
    </row>
    <row r="885" spans="1:10" hidden="1" x14ac:dyDescent="0.25">
      <c r="A885" t="s">
        <v>3387</v>
      </c>
      <c r="C885" t="s">
        <v>4077</v>
      </c>
      <c r="D885" t="s">
        <v>4114</v>
      </c>
      <c r="F885" t="s">
        <v>4126</v>
      </c>
      <c r="G885" s="9" t="s">
        <v>2027</v>
      </c>
      <c r="H885" t="s">
        <v>2026</v>
      </c>
      <c r="I885" t="s">
        <v>28</v>
      </c>
      <c r="J885" s="2">
        <v>1188</v>
      </c>
    </row>
    <row r="886" spans="1:10" hidden="1" x14ac:dyDescent="0.25">
      <c r="A886" t="s">
        <v>3388</v>
      </c>
      <c r="C886" t="s">
        <v>4084</v>
      </c>
      <c r="D886" t="s">
        <v>4105</v>
      </c>
      <c r="F886" t="s">
        <v>4126</v>
      </c>
      <c r="G886" s="9" t="s">
        <v>2029</v>
      </c>
      <c r="H886" t="s">
        <v>2028</v>
      </c>
      <c r="I886" t="s">
        <v>946</v>
      </c>
      <c r="J886" s="2">
        <v>1180</v>
      </c>
    </row>
    <row r="887" spans="1:10" hidden="1" x14ac:dyDescent="0.25">
      <c r="A887" t="s">
        <v>3389</v>
      </c>
      <c r="C887" t="s">
        <v>4084</v>
      </c>
      <c r="D887" t="s">
        <v>4105</v>
      </c>
      <c r="F887" t="s">
        <v>4126</v>
      </c>
      <c r="G887" s="9" t="s">
        <v>2030</v>
      </c>
      <c r="H887" t="s">
        <v>2028</v>
      </c>
      <c r="I887" t="s">
        <v>343</v>
      </c>
      <c r="J887" s="2">
        <v>1180</v>
      </c>
    </row>
    <row r="888" spans="1:10" hidden="1" x14ac:dyDescent="0.25">
      <c r="A888" t="s">
        <v>3390</v>
      </c>
      <c r="C888" t="s">
        <v>4084</v>
      </c>
      <c r="D888" t="s">
        <v>4105</v>
      </c>
      <c r="F888" t="s">
        <v>4126</v>
      </c>
      <c r="G888" s="9" t="s">
        <v>2031</v>
      </c>
      <c r="H888" t="s">
        <v>2028</v>
      </c>
      <c r="I888" t="s">
        <v>343</v>
      </c>
      <c r="J888" s="2">
        <v>1180</v>
      </c>
    </row>
    <row r="889" spans="1:10" hidden="1" x14ac:dyDescent="0.25">
      <c r="A889" t="s">
        <v>3391</v>
      </c>
      <c r="C889" t="s">
        <v>4084</v>
      </c>
      <c r="D889" t="s">
        <v>4105</v>
      </c>
      <c r="F889" t="s">
        <v>4126</v>
      </c>
      <c r="G889" s="9" t="s">
        <v>2033</v>
      </c>
      <c r="H889" t="s">
        <v>2032</v>
      </c>
      <c r="I889" t="s">
        <v>343</v>
      </c>
      <c r="J889" s="2">
        <v>1179</v>
      </c>
    </row>
    <row r="890" spans="1:10" hidden="1" x14ac:dyDescent="0.25">
      <c r="A890" t="s">
        <v>3392</v>
      </c>
      <c r="C890" t="s">
        <v>4077</v>
      </c>
      <c r="D890" t="s">
        <v>4114</v>
      </c>
      <c r="F890" t="s">
        <v>4126</v>
      </c>
      <c r="G890" s="9" t="s">
        <v>2035</v>
      </c>
      <c r="H890" t="s">
        <v>2034</v>
      </c>
      <c r="I890" t="s">
        <v>37</v>
      </c>
      <c r="J890" s="2">
        <v>1179</v>
      </c>
    </row>
    <row r="891" spans="1:10" hidden="1" x14ac:dyDescent="0.25">
      <c r="A891" t="s">
        <v>3393</v>
      </c>
      <c r="C891" t="s">
        <v>4064</v>
      </c>
      <c r="D891" t="s">
        <v>4104</v>
      </c>
      <c r="E891" t="s">
        <v>4127</v>
      </c>
      <c r="F891" t="s">
        <v>4126</v>
      </c>
      <c r="G891" s="9" t="s">
        <v>2088</v>
      </c>
      <c r="H891" t="s">
        <v>2087</v>
      </c>
      <c r="I891" t="s">
        <v>343</v>
      </c>
      <c r="J891" s="2">
        <v>1064</v>
      </c>
    </row>
    <row r="892" spans="1:10" hidden="1" x14ac:dyDescent="0.25">
      <c r="A892" t="s">
        <v>3394</v>
      </c>
      <c r="C892" t="s">
        <v>4077</v>
      </c>
      <c r="D892" t="s">
        <v>4114</v>
      </c>
      <c r="F892" t="s">
        <v>4126</v>
      </c>
      <c r="G892" s="9" t="s">
        <v>804</v>
      </c>
      <c r="H892" t="s">
        <v>803</v>
      </c>
      <c r="I892" t="s">
        <v>556</v>
      </c>
      <c r="J892" s="2">
        <v>4713</v>
      </c>
    </row>
    <row r="893" spans="1:10" hidden="1" x14ac:dyDescent="0.25">
      <c r="A893" t="s">
        <v>3395</v>
      </c>
      <c r="C893" t="s">
        <v>4077</v>
      </c>
      <c r="D893" t="s">
        <v>4114</v>
      </c>
      <c r="F893" t="s">
        <v>4126</v>
      </c>
      <c r="G893" s="9" t="s">
        <v>805</v>
      </c>
      <c r="H893" t="s">
        <v>803</v>
      </c>
      <c r="I893" t="s">
        <v>2467</v>
      </c>
      <c r="J893" s="2">
        <v>4713</v>
      </c>
    </row>
    <row r="894" spans="1:10" hidden="1" x14ac:dyDescent="0.25">
      <c r="A894" t="s">
        <v>3396</v>
      </c>
      <c r="C894" t="s">
        <v>4077</v>
      </c>
      <c r="D894" t="s">
        <v>4114</v>
      </c>
      <c r="F894" t="s">
        <v>4126</v>
      </c>
      <c r="G894" s="9" t="s">
        <v>806</v>
      </c>
      <c r="H894" t="s">
        <v>803</v>
      </c>
      <c r="I894" t="s">
        <v>257</v>
      </c>
      <c r="J894" s="2">
        <v>4713</v>
      </c>
    </row>
    <row r="895" spans="1:10" hidden="1" x14ac:dyDescent="0.25">
      <c r="A895" t="s">
        <v>3397</v>
      </c>
      <c r="C895" t="s">
        <v>4077</v>
      </c>
      <c r="D895" t="s">
        <v>4114</v>
      </c>
      <c r="F895" t="s">
        <v>4126</v>
      </c>
      <c r="G895" s="9" t="s">
        <v>1200</v>
      </c>
      <c r="H895" t="s">
        <v>1199</v>
      </c>
      <c r="I895" t="s">
        <v>61</v>
      </c>
      <c r="J895" s="2">
        <v>3258</v>
      </c>
    </row>
    <row r="896" spans="1:10" hidden="1" x14ac:dyDescent="0.25">
      <c r="A896" t="s">
        <v>3398</v>
      </c>
      <c r="C896" t="s">
        <v>4077</v>
      </c>
      <c r="D896" t="s">
        <v>4114</v>
      </c>
      <c r="F896" t="s">
        <v>4126</v>
      </c>
      <c r="G896" s="9" t="s">
        <v>1327</v>
      </c>
      <c r="H896" t="s">
        <v>1326</v>
      </c>
      <c r="I896" t="s">
        <v>556</v>
      </c>
      <c r="J896" s="2">
        <v>2790</v>
      </c>
    </row>
    <row r="897" spans="1:10" hidden="1" x14ac:dyDescent="0.25">
      <c r="A897" t="s">
        <v>3399</v>
      </c>
      <c r="C897" t="s">
        <v>4077</v>
      </c>
      <c r="D897" t="s">
        <v>4114</v>
      </c>
      <c r="F897" t="s">
        <v>4126</v>
      </c>
      <c r="G897" s="9" t="s">
        <v>1261</v>
      </c>
      <c r="H897" t="s">
        <v>1326</v>
      </c>
      <c r="I897" t="s">
        <v>30</v>
      </c>
      <c r="J897" s="2">
        <v>2790</v>
      </c>
    </row>
    <row r="898" spans="1:10" hidden="1" x14ac:dyDescent="0.25">
      <c r="A898" t="s">
        <v>3400</v>
      </c>
      <c r="C898" t="s">
        <v>4077</v>
      </c>
      <c r="D898" t="s">
        <v>4114</v>
      </c>
      <c r="F898" t="s">
        <v>4126</v>
      </c>
      <c r="G898" s="9" t="s">
        <v>1329</v>
      </c>
      <c r="H898" t="s">
        <v>1326</v>
      </c>
      <c r="I898" t="s">
        <v>1328</v>
      </c>
      <c r="J898" s="2">
        <v>2790</v>
      </c>
    </row>
    <row r="899" spans="1:10" hidden="1" x14ac:dyDescent="0.25">
      <c r="A899" t="s">
        <v>3401</v>
      </c>
      <c r="C899" t="s">
        <v>4077</v>
      </c>
      <c r="D899" t="s">
        <v>4114</v>
      </c>
      <c r="F899" t="s">
        <v>4126</v>
      </c>
      <c r="G899" s="9" t="s">
        <v>1330</v>
      </c>
      <c r="H899" t="s">
        <v>1326</v>
      </c>
      <c r="I899" t="s">
        <v>1328</v>
      </c>
      <c r="J899" s="2">
        <v>2790</v>
      </c>
    </row>
    <row r="900" spans="1:10" hidden="1" x14ac:dyDescent="0.25">
      <c r="A900" t="s">
        <v>3402</v>
      </c>
      <c r="C900" t="s">
        <v>4077</v>
      </c>
      <c r="D900" t="s">
        <v>4114</v>
      </c>
      <c r="F900" t="s">
        <v>4126</v>
      </c>
      <c r="G900" s="9" t="s">
        <v>1345</v>
      </c>
      <c r="H900" t="s">
        <v>1344</v>
      </c>
      <c r="I900" t="s">
        <v>37</v>
      </c>
      <c r="J900" s="2">
        <v>2774</v>
      </c>
    </row>
    <row r="901" spans="1:10" hidden="1" x14ac:dyDescent="0.25">
      <c r="A901" t="s">
        <v>3403</v>
      </c>
      <c r="C901" t="s">
        <v>4077</v>
      </c>
      <c r="D901" t="s">
        <v>4114</v>
      </c>
      <c r="F901" t="s">
        <v>4126</v>
      </c>
      <c r="G901" s="9" t="s">
        <v>1626</v>
      </c>
      <c r="H901" t="s">
        <v>1625</v>
      </c>
      <c r="I901" t="s">
        <v>28</v>
      </c>
      <c r="J901" s="2">
        <v>1992</v>
      </c>
    </row>
    <row r="902" spans="1:10" hidden="1" x14ac:dyDescent="0.25">
      <c r="A902" t="s">
        <v>3404</v>
      </c>
      <c r="C902" t="s">
        <v>4077</v>
      </c>
      <c r="D902" t="s">
        <v>4114</v>
      </c>
      <c r="F902" t="s">
        <v>4126</v>
      </c>
      <c r="G902" s="9" t="s">
        <v>1627</v>
      </c>
      <c r="H902" t="s">
        <v>1625</v>
      </c>
      <c r="I902" t="s">
        <v>28</v>
      </c>
      <c r="J902" s="2">
        <v>1992</v>
      </c>
    </row>
    <row r="903" spans="1:10" hidden="1" x14ac:dyDescent="0.25">
      <c r="A903" t="s">
        <v>3405</v>
      </c>
      <c r="C903" t="s">
        <v>4077</v>
      </c>
      <c r="D903" t="s">
        <v>4114</v>
      </c>
      <c r="F903" t="s">
        <v>4126</v>
      </c>
      <c r="G903" s="9" t="s">
        <v>1645</v>
      </c>
      <c r="H903" t="s">
        <v>1644</v>
      </c>
      <c r="I903" t="s">
        <v>2467</v>
      </c>
      <c r="J903" s="2">
        <v>1971</v>
      </c>
    </row>
    <row r="904" spans="1:10" hidden="1" x14ac:dyDescent="0.25">
      <c r="A904" t="s">
        <v>3406</v>
      </c>
      <c r="C904" t="s">
        <v>4077</v>
      </c>
      <c r="D904" t="s">
        <v>4114</v>
      </c>
      <c r="F904" t="s">
        <v>4126</v>
      </c>
      <c r="G904" s="9" t="s">
        <v>1739</v>
      </c>
      <c r="H904" t="s">
        <v>1738</v>
      </c>
      <c r="I904" t="s">
        <v>28</v>
      </c>
      <c r="J904" s="2">
        <v>1832</v>
      </c>
    </row>
    <row r="905" spans="1:10" hidden="1" x14ac:dyDescent="0.25">
      <c r="A905" t="s">
        <v>3407</v>
      </c>
      <c r="C905" t="s">
        <v>4077</v>
      </c>
      <c r="D905" t="s">
        <v>4114</v>
      </c>
      <c r="F905" t="s">
        <v>4126</v>
      </c>
      <c r="G905" s="9" t="s">
        <v>1758</v>
      </c>
      <c r="H905" t="s">
        <v>1757</v>
      </c>
      <c r="I905" t="s">
        <v>28</v>
      </c>
      <c r="J905" s="2">
        <v>1785</v>
      </c>
    </row>
    <row r="906" spans="1:10" hidden="1" x14ac:dyDescent="0.25">
      <c r="A906" t="s">
        <v>3408</v>
      </c>
      <c r="C906" t="s">
        <v>4077</v>
      </c>
      <c r="D906" t="s">
        <v>4114</v>
      </c>
      <c r="F906" t="s">
        <v>4126</v>
      </c>
      <c r="G906" s="9" t="s">
        <v>1759</v>
      </c>
      <c r="H906" t="s">
        <v>1757</v>
      </c>
      <c r="I906" t="s">
        <v>28</v>
      </c>
      <c r="J906" s="2">
        <v>1785</v>
      </c>
    </row>
    <row r="907" spans="1:10" hidden="1" x14ac:dyDescent="0.25">
      <c r="A907" t="s">
        <v>3409</v>
      </c>
      <c r="C907" t="s">
        <v>4077</v>
      </c>
      <c r="D907" t="s">
        <v>4114</v>
      </c>
      <c r="F907" t="s">
        <v>4126</v>
      </c>
      <c r="G907" s="9" t="s">
        <v>1799</v>
      </c>
      <c r="H907" t="s">
        <v>1798</v>
      </c>
      <c r="I907" t="s">
        <v>30</v>
      </c>
      <c r="J907" s="2">
        <v>1689</v>
      </c>
    </row>
    <row r="908" spans="1:10" hidden="1" x14ac:dyDescent="0.25">
      <c r="A908" t="s">
        <v>3410</v>
      </c>
      <c r="C908" t="s">
        <v>4077</v>
      </c>
      <c r="D908" t="s">
        <v>4114</v>
      </c>
      <c r="F908" t="s">
        <v>4126</v>
      </c>
      <c r="G908" s="9" t="s">
        <v>1800</v>
      </c>
      <c r="H908" t="s">
        <v>1798</v>
      </c>
      <c r="I908" t="s">
        <v>30</v>
      </c>
      <c r="J908" s="2">
        <v>1689</v>
      </c>
    </row>
    <row r="909" spans="1:10" hidden="1" x14ac:dyDescent="0.25">
      <c r="A909" t="s">
        <v>3411</v>
      </c>
      <c r="C909" t="s">
        <v>4077</v>
      </c>
      <c r="D909" t="s">
        <v>4114</v>
      </c>
      <c r="F909" t="s">
        <v>4126</v>
      </c>
      <c r="G909" s="9" t="s">
        <v>92</v>
      </c>
      <c r="H909" t="s">
        <v>2475</v>
      </c>
      <c r="I909" t="s">
        <v>2467</v>
      </c>
      <c r="J909" s="2">
        <v>43617</v>
      </c>
    </row>
    <row r="910" spans="1:10" hidden="1" x14ac:dyDescent="0.25">
      <c r="A910" t="s">
        <v>3412</v>
      </c>
      <c r="C910" t="s">
        <v>4077</v>
      </c>
      <c r="D910" t="s">
        <v>4114</v>
      </c>
      <c r="F910" t="s">
        <v>4126</v>
      </c>
      <c r="G910" s="9" t="s">
        <v>93</v>
      </c>
      <c r="H910" t="s">
        <v>2475</v>
      </c>
      <c r="I910" t="s">
        <v>28</v>
      </c>
      <c r="J910" s="2">
        <v>43617</v>
      </c>
    </row>
    <row r="911" spans="1:10" hidden="1" x14ac:dyDescent="0.25">
      <c r="A911" t="s">
        <v>3413</v>
      </c>
      <c r="C911" t="s">
        <v>4077</v>
      </c>
      <c r="D911" t="s">
        <v>4114</v>
      </c>
      <c r="F911" t="s">
        <v>4126</v>
      </c>
      <c r="G911" s="9" t="s">
        <v>94</v>
      </c>
      <c r="H911" t="s">
        <v>2475</v>
      </c>
      <c r="I911" t="s">
        <v>30</v>
      </c>
      <c r="J911" s="2">
        <v>43617</v>
      </c>
    </row>
    <row r="912" spans="1:10" hidden="1" x14ac:dyDescent="0.25">
      <c r="A912" t="s">
        <v>3414</v>
      </c>
      <c r="C912" t="s">
        <v>4077</v>
      </c>
      <c r="D912" t="s">
        <v>4114</v>
      </c>
      <c r="F912" t="s">
        <v>4126</v>
      </c>
      <c r="G912" s="9" t="s">
        <v>522</v>
      </c>
      <c r="H912" t="s">
        <v>2476</v>
      </c>
      <c r="I912" t="s">
        <v>521</v>
      </c>
      <c r="J912" s="2">
        <v>7541</v>
      </c>
    </row>
    <row r="913" spans="1:10" hidden="1" x14ac:dyDescent="0.25">
      <c r="A913" t="s">
        <v>3415</v>
      </c>
      <c r="C913" t="s">
        <v>4077</v>
      </c>
      <c r="D913" t="s">
        <v>4114</v>
      </c>
      <c r="F913" t="s">
        <v>4126</v>
      </c>
      <c r="G913" s="9" t="s">
        <v>523</v>
      </c>
      <c r="H913" t="s">
        <v>2476</v>
      </c>
      <c r="I913" t="s">
        <v>61</v>
      </c>
      <c r="J913" s="2">
        <v>7541</v>
      </c>
    </row>
    <row r="914" spans="1:10" hidden="1" x14ac:dyDescent="0.25">
      <c r="A914" t="s">
        <v>3416</v>
      </c>
      <c r="C914" t="s">
        <v>4077</v>
      </c>
      <c r="D914" t="s">
        <v>4114</v>
      </c>
      <c r="F914" t="s">
        <v>4126</v>
      </c>
      <c r="G914" s="9" t="s">
        <v>557</v>
      </c>
      <c r="H914" t="s">
        <v>2477</v>
      </c>
      <c r="I914" t="s">
        <v>556</v>
      </c>
      <c r="J914" s="2">
        <v>6697</v>
      </c>
    </row>
    <row r="915" spans="1:10" hidden="1" x14ac:dyDescent="0.25">
      <c r="A915" t="s">
        <v>3417</v>
      </c>
      <c r="C915" t="s">
        <v>4077</v>
      </c>
      <c r="D915" t="s">
        <v>4114</v>
      </c>
      <c r="F915" t="s">
        <v>4126</v>
      </c>
      <c r="G915" s="9" t="s">
        <v>558</v>
      </c>
      <c r="H915" t="s">
        <v>2477</v>
      </c>
      <c r="I915" t="s">
        <v>556</v>
      </c>
      <c r="J915" s="2">
        <v>6697</v>
      </c>
    </row>
    <row r="916" spans="1:10" hidden="1" x14ac:dyDescent="0.25">
      <c r="A916" t="s">
        <v>3418</v>
      </c>
      <c r="C916" t="s">
        <v>4077</v>
      </c>
      <c r="D916" t="s">
        <v>4114</v>
      </c>
      <c r="F916" t="s">
        <v>4126</v>
      </c>
      <c r="G916" s="9" t="s">
        <v>792</v>
      </c>
      <c r="H916" t="s">
        <v>2478</v>
      </c>
      <c r="I916" t="s">
        <v>37</v>
      </c>
      <c r="J916" s="2">
        <v>4752</v>
      </c>
    </row>
    <row r="917" spans="1:10" hidden="1" x14ac:dyDescent="0.25">
      <c r="A917" t="s">
        <v>3419</v>
      </c>
      <c r="C917" t="s">
        <v>4077</v>
      </c>
      <c r="D917" t="s">
        <v>4114</v>
      </c>
      <c r="F917" t="s">
        <v>4126</v>
      </c>
      <c r="G917" s="9" t="s">
        <v>793</v>
      </c>
      <c r="H917" t="s">
        <v>2478</v>
      </c>
      <c r="I917" t="s">
        <v>37</v>
      </c>
      <c r="J917" s="2">
        <v>4752</v>
      </c>
    </row>
    <row r="918" spans="1:10" hidden="1" x14ac:dyDescent="0.25">
      <c r="A918" t="s">
        <v>3420</v>
      </c>
      <c r="C918" t="s">
        <v>4077</v>
      </c>
      <c r="D918" t="s">
        <v>4114</v>
      </c>
      <c r="F918" t="s">
        <v>4126</v>
      </c>
      <c r="G918" s="9" t="s">
        <v>794</v>
      </c>
      <c r="H918" t="s">
        <v>2478</v>
      </c>
      <c r="I918" t="s">
        <v>37</v>
      </c>
      <c r="J918" s="2">
        <v>4752</v>
      </c>
    </row>
    <row r="919" spans="1:10" hidden="1" x14ac:dyDescent="0.25">
      <c r="A919" t="s">
        <v>3421</v>
      </c>
      <c r="C919" t="s">
        <v>4077</v>
      </c>
      <c r="D919" t="s">
        <v>4114</v>
      </c>
      <c r="F919" t="s">
        <v>4126</v>
      </c>
      <c r="G919" s="9" t="s">
        <v>1083</v>
      </c>
      <c r="H919" t="s">
        <v>2479</v>
      </c>
      <c r="I919" t="s">
        <v>37</v>
      </c>
      <c r="J919" s="2">
        <v>3556</v>
      </c>
    </row>
    <row r="920" spans="1:10" hidden="1" x14ac:dyDescent="0.25">
      <c r="A920" t="s">
        <v>3422</v>
      </c>
      <c r="C920" t="s">
        <v>4077</v>
      </c>
      <c r="D920" t="s">
        <v>4114</v>
      </c>
      <c r="F920" t="s">
        <v>4126</v>
      </c>
      <c r="G920" s="9" t="s">
        <v>1084</v>
      </c>
      <c r="H920" t="s">
        <v>2479</v>
      </c>
      <c r="I920" t="s">
        <v>37</v>
      </c>
      <c r="J920" s="2">
        <v>3556</v>
      </c>
    </row>
    <row r="921" spans="1:10" hidden="1" x14ac:dyDescent="0.25">
      <c r="A921" t="s">
        <v>3423</v>
      </c>
      <c r="C921" t="s">
        <v>4077</v>
      </c>
      <c r="D921" t="s">
        <v>4114</v>
      </c>
      <c r="F921" t="s">
        <v>4126</v>
      </c>
      <c r="G921" s="9" t="s">
        <v>1249</v>
      </c>
      <c r="H921" t="s">
        <v>2480</v>
      </c>
      <c r="I921" t="s">
        <v>37</v>
      </c>
      <c r="J921" s="2">
        <v>3079</v>
      </c>
    </row>
    <row r="922" spans="1:10" hidden="1" x14ac:dyDescent="0.25">
      <c r="A922" t="s">
        <v>3424</v>
      </c>
      <c r="C922" t="s">
        <v>4077</v>
      </c>
      <c r="D922" t="s">
        <v>4114</v>
      </c>
      <c r="F922" t="s">
        <v>4126</v>
      </c>
      <c r="G922" s="9" t="s">
        <v>1822</v>
      </c>
      <c r="H922" t="s">
        <v>2481</v>
      </c>
      <c r="I922" t="s">
        <v>556</v>
      </c>
      <c r="J922" s="2">
        <v>1636</v>
      </c>
    </row>
    <row r="923" spans="1:10" hidden="1" x14ac:dyDescent="0.25">
      <c r="A923" t="s">
        <v>3425</v>
      </c>
      <c r="C923" t="s">
        <v>4077</v>
      </c>
      <c r="D923" t="s">
        <v>4114</v>
      </c>
      <c r="F923" t="s">
        <v>4126</v>
      </c>
      <c r="G923" s="9" t="s">
        <v>1823</v>
      </c>
      <c r="H923" t="s">
        <v>2481</v>
      </c>
      <c r="I923" t="s">
        <v>556</v>
      </c>
      <c r="J923" s="2">
        <v>1636</v>
      </c>
    </row>
    <row r="924" spans="1:10" hidden="1" x14ac:dyDescent="0.25">
      <c r="A924" t="s">
        <v>3426</v>
      </c>
      <c r="C924" t="s">
        <v>4077</v>
      </c>
      <c r="D924" t="s">
        <v>4114</v>
      </c>
      <c r="F924" t="s">
        <v>4126</v>
      </c>
      <c r="G924" s="9" t="s">
        <v>1885</v>
      </c>
      <c r="H924" t="s">
        <v>2482</v>
      </c>
      <c r="I924" t="s">
        <v>37</v>
      </c>
      <c r="J924" s="2">
        <v>1487</v>
      </c>
    </row>
    <row r="925" spans="1:10" hidden="1" x14ac:dyDescent="0.25">
      <c r="A925" t="s">
        <v>3427</v>
      </c>
      <c r="C925" t="s">
        <v>4077</v>
      </c>
      <c r="D925" t="s">
        <v>4114</v>
      </c>
      <c r="F925" t="s">
        <v>4126</v>
      </c>
      <c r="G925" s="9" t="s">
        <v>1886</v>
      </c>
      <c r="H925" t="s">
        <v>2482</v>
      </c>
      <c r="I925" t="s">
        <v>2467</v>
      </c>
      <c r="J925" s="2">
        <v>1487</v>
      </c>
    </row>
    <row r="926" spans="1:10" hidden="1" x14ac:dyDescent="0.25">
      <c r="A926" t="s">
        <v>3428</v>
      </c>
      <c r="C926" t="s">
        <v>4077</v>
      </c>
      <c r="D926" t="s">
        <v>4114</v>
      </c>
      <c r="F926" t="s">
        <v>4126</v>
      </c>
      <c r="G926" s="9" t="s">
        <v>2001</v>
      </c>
      <c r="H926" t="s">
        <v>2483</v>
      </c>
      <c r="I926" t="s">
        <v>37</v>
      </c>
      <c r="J926" s="2">
        <v>1260</v>
      </c>
    </row>
    <row r="927" spans="1:10" hidden="1" x14ac:dyDescent="0.25">
      <c r="A927" t="s">
        <v>3429</v>
      </c>
      <c r="C927" t="s">
        <v>4077</v>
      </c>
      <c r="D927" t="s">
        <v>4114</v>
      </c>
      <c r="F927" t="s">
        <v>4126</v>
      </c>
      <c r="G927" s="9" t="s">
        <v>2046</v>
      </c>
      <c r="H927" t="s">
        <v>2484</v>
      </c>
      <c r="I927" t="s">
        <v>2467</v>
      </c>
      <c r="J927" s="2">
        <v>1131</v>
      </c>
    </row>
    <row r="928" spans="1:10" hidden="1" x14ac:dyDescent="0.25">
      <c r="A928" t="s">
        <v>3430</v>
      </c>
      <c r="B928" t="s">
        <v>4058</v>
      </c>
      <c r="C928" t="s">
        <v>4077</v>
      </c>
      <c r="D928" t="s">
        <v>4114</v>
      </c>
      <c r="F928" t="s">
        <v>4126</v>
      </c>
      <c r="G928" s="9" t="s">
        <v>1261</v>
      </c>
      <c r="H928" t="s">
        <v>1260</v>
      </c>
      <c r="I928" t="s">
        <v>30</v>
      </c>
      <c r="J928" s="2">
        <v>3010</v>
      </c>
    </row>
    <row r="929" spans="1:10" hidden="1" x14ac:dyDescent="0.25">
      <c r="A929" t="s">
        <v>3431</v>
      </c>
      <c r="C929" t="s">
        <v>4077</v>
      </c>
      <c r="D929" t="s">
        <v>4114</v>
      </c>
      <c r="F929" t="s">
        <v>4126</v>
      </c>
      <c r="G929" s="9" t="s">
        <v>1262</v>
      </c>
      <c r="H929" t="s">
        <v>1260</v>
      </c>
      <c r="I929" t="s">
        <v>30</v>
      </c>
      <c r="J929" s="2">
        <v>3010</v>
      </c>
    </row>
    <row r="930" spans="1:10" hidden="1" x14ac:dyDescent="0.25">
      <c r="A930" t="s">
        <v>3432</v>
      </c>
      <c r="C930" t="s">
        <v>4082</v>
      </c>
      <c r="D930" t="s">
        <v>4115</v>
      </c>
      <c r="F930" t="s">
        <v>4126</v>
      </c>
      <c r="G930" s="9" t="s">
        <v>38</v>
      </c>
      <c r="H930" t="s">
        <v>36</v>
      </c>
      <c r="I930" t="s">
        <v>37</v>
      </c>
      <c r="J930" s="2">
        <v>65424</v>
      </c>
    </row>
    <row r="931" spans="1:10" hidden="1" x14ac:dyDescent="0.25">
      <c r="A931" t="s">
        <v>3433</v>
      </c>
      <c r="C931" t="s">
        <v>4082</v>
      </c>
      <c r="D931" t="s">
        <v>4115</v>
      </c>
      <c r="F931" t="s">
        <v>4126</v>
      </c>
      <c r="G931" s="9" t="s">
        <v>39</v>
      </c>
      <c r="H931" t="s">
        <v>36</v>
      </c>
      <c r="I931" t="s">
        <v>37</v>
      </c>
      <c r="J931" s="2">
        <v>65424</v>
      </c>
    </row>
    <row r="932" spans="1:10" hidden="1" x14ac:dyDescent="0.25">
      <c r="A932" t="s">
        <v>3434</v>
      </c>
      <c r="C932" t="s">
        <v>4082</v>
      </c>
      <c r="D932" t="s">
        <v>4115</v>
      </c>
      <c r="F932" t="s">
        <v>4126</v>
      </c>
      <c r="G932" s="9" t="s">
        <v>40</v>
      </c>
      <c r="H932" t="s">
        <v>36</v>
      </c>
      <c r="I932" t="s">
        <v>37</v>
      </c>
      <c r="J932" s="2">
        <v>65424</v>
      </c>
    </row>
    <row r="933" spans="1:10" hidden="1" x14ac:dyDescent="0.25">
      <c r="A933" t="s">
        <v>3435</v>
      </c>
      <c r="C933" t="s">
        <v>4082</v>
      </c>
      <c r="D933" t="s">
        <v>4115</v>
      </c>
      <c r="F933" t="s">
        <v>4126</v>
      </c>
      <c r="G933" s="9" t="s">
        <v>41</v>
      </c>
      <c r="H933" t="s">
        <v>36</v>
      </c>
      <c r="I933" t="s">
        <v>37</v>
      </c>
      <c r="J933" s="2">
        <v>65424</v>
      </c>
    </row>
    <row r="934" spans="1:10" hidden="1" x14ac:dyDescent="0.25">
      <c r="A934" t="s">
        <v>3436</v>
      </c>
      <c r="C934" t="s">
        <v>4082</v>
      </c>
      <c r="D934" t="s">
        <v>4115</v>
      </c>
      <c r="F934" t="s">
        <v>4126</v>
      </c>
      <c r="G934" s="9" t="s">
        <v>42</v>
      </c>
      <c r="H934" t="s">
        <v>36</v>
      </c>
      <c r="I934" t="s">
        <v>37</v>
      </c>
      <c r="J934" s="2">
        <v>65424</v>
      </c>
    </row>
    <row r="935" spans="1:10" hidden="1" x14ac:dyDescent="0.25">
      <c r="A935" t="s">
        <v>3437</v>
      </c>
      <c r="C935" t="s">
        <v>4082</v>
      </c>
      <c r="D935" t="s">
        <v>4115</v>
      </c>
      <c r="F935" t="s">
        <v>4126</v>
      </c>
      <c r="G935" s="9" t="s">
        <v>1468</v>
      </c>
      <c r="H935" t="s">
        <v>1466</v>
      </c>
      <c r="I935" t="s">
        <v>1467</v>
      </c>
      <c r="J935" s="2">
        <v>2344</v>
      </c>
    </row>
    <row r="936" spans="1:10" hidden="1" x14ac:dyDescent="0.25">
      <c r="A936" t="s">
        <v>3438</v>
      </c>
      <c r="C936" t="s">
        <v>4082</v>
      </c>
      <c r="D936" t="s">
        <v>4115</v>
      </c>
      <c r="F936" t="s">
        <v>4126</v>
      </c>
      <c r="G936" s="9" t="s">
        <v>1470</v>
      </c>
      <c r="H936" t="s">
        <v>1466</v>
      </c>
      <c r="I936" t="s">
        <v>1469</v>
      </c>
      <c r="J936" s="2">
        <v>2344</v>
      </c>
    </row>
    <row r="937" spans="1:10" hidden="1" x14ac:dyDescent="0.25">
      <c r="A937" t="s">
        <v>3439</v>
      </c>
      <c r="C937" t="s">
        <v>4082</v>
      </c>
      <c r="D937" t="s">
        <v>4115</v>
      </c>
      <c r="F937" t="s">
        <v>4126</v>
      </c>
      <c r="G937" s="9" t="s">
        <v>1472</v>
      </c>
      <c r="H937" t="s">
        <v>1466</v>
      </c>
      <c r="I937" t="s">
        <v>1471</v>
      </c>
      <c r="J937" s="2">
        <v>2344</v>
      </c>
    </row>
    <row r="938" spans="1:10" hidden="1" x14ac:dyDescent="0.25">
      <c r="A938" t="s">
        <v>3440</v>
      </c>
      <c r="C938" t="s">
        <v>4082</v>
      </c>
      <c r="D938" t="s">
        <v>4115</v>
      </c>
      <c r="F938" t="s">
        <v>4126</v>
      </c>
      <c r="G938" s="9" t="s">
        <v>1522</v>
      </c>
      <c r="H938" t="s">
        <v>1521</v>
      </c>
      <c r="I938" t="s">
        <v>1467</v>
      </c>
      <c r="J938" s="2">
        <v>2214</v>
      </c>
    </row>
    <row r="939" spans="1:10" hidden="1" x14ac:dyDescent="0.25">
      <c r="A939" t="s">
        <v>3441</v>
      </c>
      <c r="C939" t="s">
        <v>4082</v>
      </c>
      <c r="D939" t="s">
        <v>4115</v>
      </c>
      <c r="F939" t="s">
        <v>4126</v>
      </c>
      <c r="G939" s="9" t="s">
        <v>1591</v>
      </c>
      <c r="H939" t="s">
        <v>1590</v>
      </c>
      <c r="I939" t="s">
        <v>45</v>
      </c>
      <c r="J939" s="2">
        <v>2106</v>
      </c>
    </row>
    <row r="940" spans="1:10" hidden="1" x14ac:dyDescent="0.25">
      <c r="A940" t="s">
        <v>3442</v>
      </c>
      <c r="C940" t="s">
        <v>4082</v>
      </c>
      <c r="D940" t="s">
        <v>4115</v>
      </c>
      <c r="F940" t="s">
        <v>4126</v>
      </c>
      <c r="G940" s="9" t="s">
        <v>1592</v>
      </c>
      <c r="H940" t="s">
        <v>1590</v>
      </c>
      <c r="I940" t="s">
        <v>45</v>
      </c>
      <c r="J940" s="2">
        <v>2106</v>
      </c>
    </row>
    <row r="941" spans="1:10" hidden="1" x14ac:dyDescent="0.25">
      <c r="A941" t="s">
        <v>3443</v>
      </c>
      <c r="C941" t="s">
        <v>4082</v>
      </c>
      <c r="D941" t="s">
        <v>4115</v>
      </c>
      <c r="F941" t="s">
        <v>4126</v>
      </c>
      <c r="G941" s="9" t="s">
        <v>1723</v>
      </c>
      <c r="H941" t="s">
        <v>1722</v>
      </c>
      <c r="I941" t="s">
        <v>45</v>
      </c>
      <c r="J941" s="2">
        <v>1860</v>
      </c>
    </row>
    <row r="942" spans="1:10" hidden="1" x14ac:dyDescent="0.25">
      <c r="A942" t="s">
        <v>3444</v>
      </c>
      <c r="C942" t="s">
        <v>4083</v>
      </c>
      <c r="D942" t="s">
        <v>4116</v>
      </c>
      <c r="F942" t="s">
        <v>4126</v>
      </c>
      <c r="G942" s="9" t="s">
        <v>24</v>
      </c>
      <c r="H942" t="s">
        <v>22</v>
      </c>
      <c r="I942" t="s">
        <v>23</v>
      </c>
      <c r="J942" s="2">
        <v>105272</v>
      </c>
    </row>
    <row r="943" spans="1:10" hidden="1" x14ac:dyDescent="0.25">
      <c r="A943" t="s">
        <v>3445</v>
      </c>
      <c r="C943" t="s">
        <v>4083</v>
      </c>
      <c r="D943" t="s">
        <v>4116</v>
      </c>
      <c r="F943" t="s">
        <v>4126</v>
      </c>
      <c r="G943" s="9" t="s">
        <v>25</v>
      </c>
      <c r="H943" t="s">
        <v>22</v>
      </c>
      <c r="I943" t="s">
        <v>23</v>
      </c>
      <c r="J943" s="2">
        <v>105272</v>
      </c>
    </row>
    <row r="944" spans="1:10" hidden="1" x14ac:dyDescent="0.25">
      <c r="A944" t="s">
        <v>3446</v>
      </c>
      <c r="C944" t="s">
        <v>4083</v>
      </c>
      <c r="D944" t="s">
        <v>4116</v>
      </c>
      <c r="F944" t="s">
        <v>4126</v>
      </c>
      <c r="G944" s="9" t="s">
        <v>415</v>
      </c>
      <c r="H944" t="s">
        <v>414</v>
      </c>
      <c r="I944" t="s">
        <v>23</v>
      </c>
      <c r="J944" s="2">
        <v>9569</v>
      </c>
    </row>
    <row r="945" spans="1:10" hidden="1" x14ac:dyDescent="0.25">
      <c r="A945" t="s">
        <v>3447</v>
      </c>
      <c r="C945" t="s">
        <v>4083</v>
      </c>
      <c r="D945" t="s">
        <v>4116</v>
      </c>
      <c r="F945" t="s">
        <v>4126</v>
      </c>
      <c r="G945" s="9" t="s">
        <v>416</v>
      </c>
      <c r="H945" t="s">
        <v>414</v>
      </c>
      <c r="I945" t="s">
        <v>23</v>
      </c>
      <c r="J945" s="2">
        <v>9569</v>
      </c>
    </row>
    <row r="946" spans="1:10" hidden="1" x14ac:dyDescent="0.25">
      <c r="A946" t="s">
        <v>3448</v>
      </c>
      <c r="C946" t="s">
        <v>4083</v>
      </c>
      <c r="D946" t="s">
        <v>4116</v>
      </c>
      <c r="F946" t="s">
        <v>4126</v>
      </c>
      <c r="G946" s="9" t="s">
        <v>417</v>
      </c>
      <c r="H946" t="s">
        <v>414</v>
      </c>
      <c r="I946" t="s">
        <v>23</v>
      </c>
      <c r="J946" s="2">
        <v>9569</v>
      </c>
    </row>
    <row r="947" spans="1:10" hidden="1" x14ac:dyDescent="0.25">
      <c r="A947" t="s">
        <v>3449</v>
      </c>
      <c r="C947" t="s">
        <v>4083</v>
      </c>
      <c r="D947" t="s">
        <v>4116</v>
      </c>
      <c r="F947" t="s">
        <v>4126</v>
      </c>
      <c r="G947" s="9" t="s">
        <v>1730</v>
      </c>
      <c r="H947" t="s">
        <v>1729</v>
      </c>
      <c r="I947" t="s">
        <v>23</v>
      </c>
      <c r="J947" s="2">
        <v>1844</v>
      </c>
    </row>
    <row r="948" spans="1:10" hidden="1" x14ac:dyDescent="0.25">
      <c r="A948" t="s">
        <v>3450</v>
      </c>
      <c r="C948" t="s">
        <v>4083</v>
      </c>
      <c r="D948" t="s">
        <v>4116</v>
      </c>
      <c r="F948" t="s">
        <v>4126</v>
      </c>
      <c r="G948" s="9" t="s">
        <v>1731</v>
      </c>
      <c r="H948" t="s">
        <v>1729</v>
      </c>
      <c r="I948" t="s">
        <v>23</v>
      </c>
      <c r="J948" s="2">
        <v>1844</v>
      </c>
    </row>
    <row r="949" spans="1:10" hidden="1" x14ac:dyDescent="0.25">
      <c r="A949" t="s">
        <v>3451</v>
      </c>
      <c r="C949" t="s">
        <v>4083</v>
      </c>
      <c r="D949" t="s">
        <v>4116</v>
      </c>
      <c r="F949" t="s">
        <v>4126</v>
      </c>
      <c r="G949" s="9" t="s">
        <v>1732</v>
      </c>
      <c r="H949" t="s">
        <v>1729</v>
      </c>
      <c r="I949" t="s">
        <v>23</v>
      </c>
      <c r="J949" s="2">
        <v>1844</v>
      </c>
    </row>
    <row r="950" spans="1:10" hidden="1" x14ac:dyDescent="0.25">
      <c r="A950" t="s">
        <v>3452</v>
      </c>
      <c r="C950" t="s">
        <v>4083</v>
      </c>
      <c r="D950" t="s">
        <v>4116</v>
      </c>
      <c r="F950" t="s">
        <v>4126</v>
      </c>
      <c r="G950" s="9" t="s">
        <v>1733</v>
      </c>
      <c r="H950" t="s">
        <v>1729</v>
      </c>
      <c r="I950" t="s">
        <v>23</v>
      </c>
      <c r="J950" s="2">
        <v>1844</v>
      </c>
    </row>
    <row r="951" spans="1:10" hidden="1" x14ac:dyDescent="0.25">
      <c r="A951" t="s">
        <v>3453</v>
      </c>
      <c r="C951" t="s">
        <v>4066</v>
      </c>
      <c r="D951" t="s">
        <v>4103</v>
      </c>
      <c r="F951" t="s">
        <v>4126</v>
      </c>
      <c r="G951" s="9" t="s">
        <v>236</v>
      </c>
      <c r="H951" t="s">
        <v>234</v>
      </c>
      <c r="I951" t="s">
        <v>235</v>
      </c>
      <c r="J951" s="2">
        <v>19319</v>
      </c>
    </row>
    <row r="952" spans="1:10" hidden="1" x14ac:dyDescent="0.25">
      <c r="A952" t="s">
        <v>3454</v>
      </c>
      <c r="C952" t="s">
        <v>4066</v>
      </c>
      <c r="D952" t="s">
        <v>4103</v>
      </c>
      <c r="F952" t="s">
        <v>4126</v>
      </c>
      <c r="G952" s="9" t="s">
        <v>237</v>
      </c>
      <c r="H952" t="s">
        <v>234</v>
      </c>
      <c r="I952" t="s">
        <v>235</v>
      </c>
      <c r="J952" s="2">
        <v>19319</v>
      </c>
    </row>
    <row r="953" spans="1:10" hidden="1" x14ac:dyDescent="0.25">
      <c r="A953" t="s">
        <v>3455</v>
      </c>
      <c r="C953" t="s">
        <v>4066</v>
      </c>
      <c r="D953" t="s">
        <v>4103</v>
      </c>
      <c r="F953" t="s">
        <v>4126</v>
      </c>
      <c r="G953" s="9" t="s">
        <v>281</v>
      </c>
      <c r="H953" t="s">
        <v>280</v>
      </c>
      <c r="I953" t="s">
        <v>235</v>
      </c>
      <c r="J953" s="2">
        <v>14265</v>
      </c>
    </row>
    <row r="954" spans="1:10" hidden="1" x14ac:dyDescent="0.25">
      <c r="A954" t="s">
        <v>3456</v>
      </c>
      <c r="C954" t="s">
        <v>4066</v>
      </c>
      <c r="D954" t="s">
        <v>4103</v>
      </c>
      <c r="F954" t="s">
        <v>4126</v>
      </c>
      <c r="G954" s="9" t="s">
        <v>663</v>
      </c>
      <c r="H954" t="s">
        <v>662</v>
      </c>
      <c r="I954" t="s">
        <v>235</v>
      </c>
      <c r="J954" s="2">
        <v>5226</v>
      </c>
    </row>
    <row r="955" spans="1:10" hidden="1" x14ac:dyDescent="0.25">
      <c r="A955" t="s">
        <v>3457</v>
      </c>
      <c r="C955" t="s">
        <v>4071</v>
      </c>
      <c r="D955" t="s">
        <v>2126</v>
      </c>
      <c r="F955" t="s">
        <v>4126</v>
      </c>
      <c r="G955" s="9" t="s">
        <v>470</v>
      </c>
      <c r="H955" t="s">
        <v>469</v>
      </c>
      <c r="I955" t="s">
        <v>57</v>
      </c>
      <c r="J955" s="2">
        <v>8668</v>
      </c>
    </row>
    <row r="956" spans="1:10" hidden="1" x14ac:dyDescent="0.25">
      <c r="A956" t="s">
        <v>3458</v>
      </c>
      <c r="C956" t="s">
        <v>4071</v>
      </c>
      <c r="D956" t="s">
        <v>2126</v>
      </c>
      <c r="F956" t="s">
        <v>4126</v>
      </c>
      <c r="G956" s="9" t="s">
        <v>471</v>
      </c>
      <c r="H956" t="s">
        <v>469</v>
      </c>
      <c r="I956" t="s">
        <v>57</v>
      </c>
      <c r="J956" s="2">
        <v>8668</v>
      </c>
    </row>
    <row r="957" spans="1:10" hidden="1" x14ac:dyDescent="0.25">
      <c r="A957" t="s">
        <v>3459</v>
      </c>
      <c r="C957" t="s">
        <v>4071</v>
      </c>
      <c r="D957" t="s">
        <v>2126</v>
      </c>
      <c r="F957" t="s">
        <v>4126</v>
      </c>
      <c r="G957" s="9" t="s">
        <v>1868</v>
      </c>
      <c r="H957" t="s">
        <v>1867</v>
      </c>
      <c r="I957" t="s">
        <v>57</v>
      </c>
      <c r="J957" s="2">
        <v>1538</v>
      </c>
    </row>
    <row r="958" spans="1:10" hidden="1" x14ac:dyDescent="0.25">
      <c r="A958" t="s">
        <v>3460</v>
      </c>
      <c r="C958" t="s">
        <v>4071</v>
      </c>
      <c r="D958" t="s">
        <v>2126</v>
      </c>
      <c r="F958" t="s">
        <v>4126</v>
      </c>
      <c r="G958" s="9" t="s">
        <v>1869</v>
      </c>
      <c r="H958" t="s">
        <v>1867</v>
      </c>
      <c r="I958" t="s">
        <v>202</v>
      </c>
      <c r="J958" s="2">
        <v>1538</v>
      </c>
    </row>
    <row r="959" spans="1:10" hidden="1" x14ac:dyDescent="0.25">
      <c r="A959" t="s">
        <v>3461</v>
      </c>
      <c r="C959" t="s">
        <v>4092</v>
      </c>
      <c r="D959" t="s">
        <v>4117</v>
      </c>
      <c r="F959" t="s">
        <v>4126</v>
      </c>
      <c r="G959" s="9" t="s">
        <v>2060</v>
      </c>
      <c r="H959" t="s">
        <v>2059</v>
      </c>
      <c r="I959" t="s">
        <v>57</v>
      </c>
      <c r="J959" s="2">
        <v>1114</v>
      </c>
    </row>
    <row r="960" spans="1:10" hidden="1" x14ac:dyDescent="0.25">
      <c r="A960" t="s">
        <v>3462</v>
      </c>
      <c r="C960" t="s">
        <v>4074</v>
      </c>
      <c r="D960" t="s">
        <v>4113</v>
      </c>
      <c r="F960" t="s">
        <v>4126</v>
      </c>
      <c r="G960" s="9" t="s">
        <v>563</v>
      </c>
      <c r="H960" t="s">
        <v>1493</v>
      </c>
      <c r="I960" t="s">
        <v>13</v>
      </c>
      <c r="J960" s="2">
        <v>2287</v>
      </c>
    </row>
    <row r="961" spans="1:10" hidden="1" x14ac:dyDescent="0.25">
      <c r="A961" t="s">
        <v>3463</v>
      </c>
      <c r="C961" t="s">
        <v>4093</v>
      </c>
      <c r="D961" t="s">
        <v>4118</v>
      </c>
      <c r="F961" t="s">
        <v>4126</v>
      </c>
      <c r="G961" s="9" t="s">
        <v>1906</v>
      </c>
      <c r="H961" t="s">
        <v>1904</v>
      </c>
      <c r="I961" t="s">
        <v>1905</v>
      </c>
      <c r="J961" s="2">
        <v>1412</v>
      </c>
    </row>
    <row r="962" spans="1:10" hidden="1" x14ac:dyDescent="0.25">
      <c r="A962" t="s">
        <v>3464</v>
      </c>
      <c r="C962" t="s">
        <v>4093</v>
      </c>
      <c r="D962" t="s">
        <v>4118</v>
      </c>
      <c r="F962" t="s">
        <v>4126</v>
      </c>
      <c r="G962" s="9" t="s">
        <v>1907</v>
      </c>
      <c r="H962" t="s">
        <v>1904</v>
      </c>
      <c r="I962" t="s">
        <v>1171</v>
      </c>
      <c r="J962" s="2">
        <v>1412</v>
      </c>
    </row>
    <row r="963" spans="1:10" hidden="1" x14ac:dyDescent="0.25">
      <c r="A963" t="s">
        <v>3465</v>
      </c>
      <c r="C963" t="s">
        <v>4093</v>
      </c>
      <c r="D963" t="s">
        <v>4118</v>
      </c>
      <c r="F963" t="s">
        <v>4126</v>
      </c>
      <c r="G963" s="9" t="s">
        <v>1909</v>
      </c>
      <c r="H963" t="s">
        <v>1904</v>
      </c>
      <c r="I963" t="s">
        <v>1908</v>
      </c>
      <c r="J963" s="2">
        <v>1412</v>
      </c>
    </row>
    <row r="964" spans="1:10" hidden="1" x14ac:dyDescent="0.25">
      <c r="A964" t="s">
        <v>3466</v>
      </c>
      <c r="C964" t="s">
        <v>4074</v>
      </c>
      <c r="D964" t="s">
        <v>4113</v>
      </c>
      <c r="F964" t="s">
        <v>4126</v>
      </c>
      <c r="G964" s="9" t="s">
        <v>6</v>
      </c>
      <c r="H964" t="s">
        <v>4</v>
      </c>
      <c r="I964" t="s">
        <v>5</v>
      </c>
      <c r="J964" s="2">
        <v>358146</v>
      </c>
    </row>
    <row r="965" spans="1:10" hidden="1" x14ac:dyDescent="0.25">
      <c r="A965" t="s">
        <v>3467</v>
      </c>
      <c r="C965" t="s">
        <v>4074</v>
      </c>
      <c r="D965" t="s">
        <v>4113</v>
      </c>
      <c r="F965" t="s">
        <v>4126</v>
      </c>
      <c r="G965" s="9" t="s">
        <v>7</v>
      </c>
      <c r="H965" t="s">
        <v>4</v>
      </c>
      <c r="I965" t="s">
        <v>5</v>
      </c>
      <c r="J965" s="2">
        <v>358146</v>
      </c>
    </row>
    <row r="966" spans="1:10" hidden="1" x14ac:dyDescent="0.25">
      <c r="A966" t="s">
        <v>3468</v>
      </c>
      <c r="C966" t="s">
        <v>4074</v>
      </c>
      <c r="D966" t="s">
        <v>4113</v>
      </c>
      <c r="F966" t="s">
        <v>4126</v>
      </c>
      <c r="G966" s="9" t="s">
        <v>14</v>
      </c>
      <c r="H966" t="s">
        <v>12</v>
      </c>
      <c r="I966" t="s">
        <v>13</v>
      </c>
      <c r="J966" s="2">
        <v>193847</v>
      </c>
    </row>
    <row r="967" spans="1:10" hidden="1" x14ac:dyDescent="0.25">
      <c r="A967" t="s">
        <v>3469</v>
      </c>
      <c r="C967" t="s">
        <v>4074</v>
      </c>
      <c r="D967" t="s">
        <v>4113</v>
      </c>
      <c r="F967" t="s">
        <v>4126</v>
      </c>
      <c r="G967" s="9" t="s">
        <v>15</v>
      </c>
      <c r="H967" t="s">
        <v>12</v>
      </c>
      <c r="I967" t="s">
        <v>10</v>
      </c>
      <c r="J967" s="2">
        <v>193847</v>
      </c>
    </row>
    <row r="968" spans="1:10" hidden="1" x14ac:dyDescent="0.25">
      <c r="A968" t="s">
        <v>3470</v>
      </c>
      <c r="C968" t="s">
        <v>4074</v>
      </c>
      <c r="D968" t="s">
        <v>4113</v>
      </c>
      <c r="F968" t="s">
        <v>4126</v>
      </c>
      <c r="G968" s="9" t="s">
        <v>17</v>
      </c>
      <c r="H968" t="s">
        <v>16</v>
      </c>
      <c r="I968" t="s">
        <v>13</v>
      </c>
      <c r="J968" s="2">
        <v>168926</v>
      </c>
    </row>
    <row r="969" spans="1:10" hidden="1" x14ac:dyDescent="0.25">
      <c r="A969" t="s">
        <v>3471</v>
      </c>
      <c r="C969" t="s">
        <v>4074</v>
      </c>
      <c r="D969" t="s">
        <v>4113</v>
      </c>
      <c r="F969" t="s">
        <v>4126</v>
      </c>
      <c r="G969" s="9" t="s">
        <v>18</v>
      </c>
      <c r="H969" t="s">
        <v>16</v>
      </c>
      <c r="I969" t="s">
        <v>10</v>
      </c>
      <c r="J969" s="2">
        <v>168926</v>
      </c>
    </row>
    <row r="970" spans="1:10" hidden="1" x14ac:dyDescent="0.25">
      <c r="A970" t="s">
        <v>3472</v>
      </c>
      <c r="C970" t="s">
        <v>4074</v>
      </c>
      <c r="D970" t="s">
        <v>4113</v>
      </c>
      <c r="F970" t="s">
        <v>4126</v>
      </c>
      <c r="G970" s="9" t="s">
        <v>20</v>
      </c>
      <c r="H970" t="s">
        <v>19</v>
      </c>
      <c r="I970" t="s">
        <v>13</v>
      </c>
      <c r="J970" s="2">
        <v>152560</v>
      </c>
    </row>
    <row r="971" spans="1:10" hidden="1" x14ac:dyDescent="0.25">
      <c r="A971" t="s">
        <v>3473</v>
      </c>
      <c r="C971" t="s">
        <v>4074</v>
      </c>
      <c r="D971" t="s">
        <v>4113</v>
      </c>
      <c r="F971" t="s">
        <v>4126</v>
      </c>
      <c r="G971" s="9" t="s">
        <v>32</v>
      </c>
      <c r="H971" t="s">
        <v>31</v>
      </c>
      <c r="I971" t="s">
        <v>13</v>
      </c>
      <c r="J971" s="2">
        <v>82594</v>
      </c>
    </row>
    <row r="972" spans="1:10" hidden="1" x14ac:dyDescent="0.25">
      <c r="A972" t="s">
        <v>3474</v>
      </c>
      <c r="C972" t="s">
        <v>4074</v>
      </c>
      <c r="D972" t="s">
        <v>4113</v>
      </c>
      <c r="F972" t="s">
        <v>4126</v>
      </c>
      <c r="G972" s="9" t="s">
        <v>33</v>
      </c>
      <c r="H972" t="s">
        <v>31</v>
      </c>
      <c r="I972" t="s">
        <v>10</v>
      </c>
      <c r="J972" s="2">
        <v>82594</v>
      </c>
    </row>
    <row r="973" spans="1:10" hidden="1" x14ac:dyDescent="0.25">
      <c r="A973" t="s">
        <v>3475</v>
      </c>
      <c r="C973" t="s">
        <v>4074</v>
      </c>
      <c r="D973" t="s">
        <v>4113</v>
      </c>
      <c r="F973" t="s">
        <v>4126</v>
      </c>
      <c r="G973" s="9" t="s">
        <v>44</v>
      </c>
      <c r="H973" t="s">
        <v>43</v>
      </c>
      <c r="I973" t="s">
        <v>10</v>
      </c>
      <c r="J973" s="2">
        <v>64154</v>
      </c>
    </row>
    <row r="974" spans="1:10" hidden="1" x14ac:dyDescent="0.25">
      <c r="A974" t="s">
        <v>3476</v>
      </c>
      <c r="C974" t="s">
        <v>4074</v>
      </c>
      <c r="D974" t="s">
        <v>4113</v>
      </c>
      <c r="F974" t="s">
        <v>4126</v>
      </c>
      <c r="G974" s="9" t="s">
        <v>81</v>
      </c>
      <c r="H974" t="s">
        <v>80</v>
      </c>
      <c r="I974" t="s">
        <v>10</v>
      </c>
      <c r="J974" s="2">
        <v>48308</v>
      </c>
    </row>
    <row r="975" spans="1:10" hidden="1" x14ac:dyDescent="0.25">
      <c r="A975" t="s">
        <v>3477</v>
      </c>
      <c r="C975" t="s">
        <v>4074</v>
      </c>
      <c r="D975" t="s">
        <v>4113</v>
      </c>
      <c r="F975" t="s">
        <v>4126</v>
      </c>
      <c r="G975" s="9" t="s">
        <v>84</v>
      </c>
      <c r="H975" t="s">
        <v>83</v>
      </c>
      <c r="I975" t="s">
        <v>13</v>
      </c>
      <c r="J975" s="2">
        <v>46936</v>
      </c>
    </row>
    <row r="976" spans="1:10" hidden="1" x14ac:dyDescent="0.25">
      <c r="A976" t="s">
        <v>3478</v>
      </c>
      <c r="C976" t="s">
        <v>4074</v>
      </c>
      <c r="D976" t="s">
        <v>4113</v>
      </c>
      <c r="F976" t="s">
        <v>4126</v>
      </c>
      <c r="G976" s="9" t="s">
        <v>85</v>
      </c>
      <c r="H976" t="s">
        <v>83</v>
      </c>
      <c r="I976" t="s">
        <v>13</v>
      </c>
      <c r="J976" s="2">
        <v>46936</v>
      </c>
    </row>
    <row r="977" spans="1:10" hidden="1" x14ac:dyDescent="0.25">
      <c r="A977" t="s">
        <v>3479</v>
      </c>
      <c r="C977" t="s">
        <v>4074</v>
      </c>
      <c r="D977" t="s">
        <v>4113</v>
      </c>
      <c r="F977" t="s">
        <v>4126</v>
      </c>
      <c r="G977" s="9" t="s">
        <v>86</v>
      </c>
      <c r="H977" t="s">
        <v>83</v>
      </c>
      <c r="I977" t="s">
        <v>37</v>
      </c>
      <c r="J977" s="2">
        <v>46936</v>
      </c>
    </row>
    <row r="978" spans="1:10" hidden="1" x14ac:dyDescent="0.25">
      <c r="A978" t="s">
        <v>3480</v>
      </c>
      <c r="C978" t="s">
        <v>4074</v>
      </c>
      <c r="D978" t="s">
        <v>4113</v>
      </c>
      <c r="F978" t="s">
        <v>4126</v>
      </c>
      <c r="G978" s="9" t="s">
        <v>87</v>
      </c>
      <c r="H978" t="s">
        <v>83</v>
      </c>
      <c r="I978" t="s">
        <v>5</v>
      </c>
      <c r="J978" s="2">
        <v>46936</v>
      </c>
    </row>
    <row r="979" spans="1:10" hidden="1" x14ac:dyDescent="0.25">
      <c r="A979" t="s">
        <v>3481</v>
      </c>
      <c r="C979" t="s">
        <v>4074</v>
      </c>
      <c r="D979" t="s">
        <v>4113</v>
      </c>
      <c r="F979" t="s">
        <v>4126</v>
      </c>
      <c r="G979" s="9" t="s">
        <v>88</v>
      </c>
      <c r="H979" t="s">
        <v>83</v>
      </c>
      <c r="I979" t="s">
        <v>10</v>
      </c>
      <c r="J979" s="2">
        <v>46936</v>
      </c>
    </row>
    <row r="980" spans="1:10" hidden="1" x14ac:dyDescent="0.25">
      <c r="A980" t="s">
        <v>3482</v>
      </c>
      <c r="C980" t="s">
        <v>4074</v>
      </c>
      <c r="D980" t="s">
        <v>4113</v>
      </c>
      <c r="F980" t="s">
        <v>4126</v>
      </c>
      <c r="G980" s="9" t="s">
        <v>90</v>
      </c>
      <c r="H980" t="s">
        <v>83</v>
      </c>
      <c r="I980" t="s">
        <v>89</v>
      </c>
      <c r="J980" s="2">
        <v>46936</v>
      </c>
    </row>
    <row r="981" spans="1:10" hidden="1" x14ac:dyDescent="0.25">
      <c r="A981" t="s">
        <v>3483</v>
      </c>
      <c r="C981" t="s">
        <v>4074</v>
      </c>
      <c r="D981" t="s">
        <v>4113</v>
      </c>
      <c r="F981" t="s">
        <v>4126</v>
      </c>
      <c r="G981" s="9" t="s">
        <v>103</v>
      </c>
      <c r="H981" t="s">
        <v>102</v>
      </c>
      <c r="I981" t="s">
        <v>13</v>
      </c>
      <c r="J981" s="2">
        <v>40160</v>
      </c>
    </row>
    <row r="982" spans="1:10" hidden="1" x14ac:dyDescent="0.25">
      <c r="A982" t="s">
        <v>3484</v>
      </c>
      <c r="C982" t="s">
        <v>4074</v>
      </c>
      <c r="D982" t="s">
        <v>4113</v>
      </c>
      <c r="F982" t="s">
        <v>4126</v>
      </c>
      <c r="G982" s="9" t="s">
        <v>104</v>
      </c>
      <c r="H982" t="s">
        <v>102</v>
      </c>
      <c r="I982" t="s">
        <v>13</v>
      </c>
      <c r="J982" s="2">
        <v>40160</v>
      </c>
    </row>
    <row r="983" spans="1:10" hidden="1" x14ac:dyDescent="0.25">
      <c r="A983" t="s">
        <v>3485</v>
      </c>
      <c r="C983" t="s">
        <v>4074</v>
      </c>
      <c r="D983" t="s">
        <v>4113</v>
      </c>
      <c r="F983" t="s">
        <v>4126</v>
      </c>
      <c r="G983" s="9" t="s">
        <v>105</v>
      </c>
      <c r="H983" t="s">
        <v>102</v>
      </c>
      <c r="I983" t="s">
        <v>13</v>
      </c>
      <c r="J983" s="2">
        <v>40160</v>
      </c>
    </row>
    <row r="984" spans="1:10" hidden="1" x14ac:dyDescent="0.25">
      <c r="A984" t="s">
        <v>3486</v>
      </c>
      <c r="C984" t="s">
        <v>4074</v>
      </c>
      <c r="D984" t="s">
        <v>4113</v>
      </c>
      <c r="F984" t="s">
        <v>4126</v>
      </c>
      <c r="G984" s="9" t="s">
        <v>106</v>
      </c>
      <c r="H984" t="s">
        <v>102</v>
      </c>
      <c r="I984" t="s">
        <v>10</v>
      </c>
      <c r="J984" s="2">
        <v>40160</v>
      </c>
    </row>
    <row r="985" spans="1:10" hidden="1" x14ac:dyDescent="0.25">
      <c r="A985" t="s">
        <v>3487</v>
      </c>
      <c r="C985" t="s">
        <v>4074</v>
      </c>
      <c r="D985" t="s">
        <v>4113</v>
      </c>
      <c r="F985" t="s">
        <v>4126</v>
      </c>
      <c r="G985" s="9" t="s">
        <v>108</v>
      </c>
      <c r="H985" t="s">
        <v>107</v>
      </c>
      <c r="I985" t="s">
        <v>37</v>
      </c>
      <c r="J985" s="2">
        <v>40037</v>
      </c>
    </row>
    <row r="986" spans="1:10" hidden="1" x14ac:dyDescent="0.25">
      <c r="A986" t="s">
        <v>3488</v>
      </c>
      <c r="C986" t="s">
        <v>4074</v>
      </c>
      <c r="D986" t="s">
        <v>4113</v>
      </c>
      <c r="F986" t="s">
        <v>4126</v>
      </c>
      <c r="G986" s="9" t="s">
        <v>119</v>
      </c>
      <c r="H986" t="s">
        <v>118</v>
      </c>
      <c r="I986" t="s">
        <v>13</v>
      </c>
      <c r="J986" s="2">
        <v>38083</v>
      </c>
    </row>
    <row r="987" spans="1:10" hidden="1" x14ac:dyDescent="0.25">
      <c r="A987" t="s">
        <v>3489</v>
      </c>
      <c r="C987" t="s">
        <v>4074</v>
      </c>
      <c r="D987" t="s">
        <v>4113</v>
      </c>
      <c r="F987" t="s">
        <v>4126</v>
      </c>
      <c r="G987" s="9" t="s">
        <v>121</v>
      </c>
      <c r="H987" t="s">
        <v>120</v>
      </c>
      <c r="I987" t="s">
        <v>13</v>
      </c>
      <c r="J987" s="2">
        <v>35762</v>
      </c>
    </row>
    <row r="988" spans="1:10" hidden="1" x14ac:dyDescent="0.25">
      <c r="A988" t="s">
        <v>3490</v>
      </c>
      <c r="C988" t="s">
        <v>4074</v>
      </c>
      <c r="D988" t="s">
        <v>4113</v>
      </c>
      <c r="F988" t="s">
        <v>4126</v>
      </c>
      <c r="G988" s="9" t="s">
        <v>122</v>
      </c>
      <c r="H988" t="s">
        <v>120</v>
      </c>
      <c r="I988" t="s">
        <v>10</v>
      </c>
      <c r="J988" s="2">
        <v>35762</v>
      </c>
    </row>
    <row r="989" spans="1:10" hidden="1" x14ac:dyDescent="0.25">
      <c r="A989" t="s">
        <v>3491</v>
      </c>
      <c r="C989" t="s">
        <v>4074</v>
      </c>
      <c r="D989" t="s">
        <v>4113</v>
      </c>
      <c r="F989" t="s">
        <v>4126</v>
      </c>
      <c r="G989" s="9" t="s">
        <v>145</v>
      </c>
      <c r="H989" t="s">
        <v>144</v>
      </c>
      <c r="I989" t="s">
        <v>10</v>
      </c>
      <c r="J989" s="2">
        <v>34154</v>
      </c>
    </row>
    <row r="990" spans="1:10" hidden="1" x14ac:dyDescent="0.25">
      <c r="A990" t="s">
        <v>3492</v>
      </c>
      <c r="C990" t="s">
        <v>4074</v>
      </c>
      <c r="D990" t="s">
        <v>4113</v>
      </c>
      <c r="F990" t="s">
        <v>4126</v>
      </c>
      <c r="G990" s="9" t="s">
        <v>164</v>
      </c>
      <c r="H990" t="s">
        <v>163</v>
      </c>
      <c r="I990" t="s">
        <v>13</v>
      </c>
      <c r="J990" s="2">
        <v>29486</v>
      </c>
    </row>
    <row r="991" spans="1:10" hidden="1" x14ac:dyDescent="0.25">
      <c r="A991" t="s">
        <v>3493</v>
      </c>
      <c r="C991" t="s">
        <v>4074</v>
      </c>
      <c r="D991" t="s">
        <v>4113</v>
      </c>
      <c r="F991" t="s">
        <v>4126</v>
      </c>
      <c r="G991" s="9" t="s">
        <v>165</v>
      </c>
      <c r="H991" t="s">
        <v>163</v>
      </c>
      <c r="I991" t="s">
        <v>10</v>
      </c>
      <c r="J991" s="2">
        <v>29486</v>
      </c>
    </row>
    <row r="992" spans="1:10" hidden="1" x14ac:dyDescent="0.25">
      <c r="A992" t="s">
        <v>3494</v>
      </c>
      <c r="C992" t="s">
        <v>4074</v>
      </c>
      <c r="D992" t="s">
        <v>4113</v>
      </c>
      <c r="F992" t="s">
        <v>4126</v>
      </c>
      <c r="G992" s="9" t="s">
        <v>174</v>
      </c>
      <c r="H992" t="s">
        <v>173</v>
      </c>
      <c r="I992" t="s">
        <v>10</v>
      </c>
      <c r="J992" s="2">
        <v>28304</v>
      </c>
    </row>
    <row r="993" spans="1:10" hidden="1" x14ac:dyDescent="0.25">
      <c r="A993" t="s">
        <v>3495</v>
      </c>
      <c r="C993" t="s">
        <v>4074</v>
      </c>
      <c r="D993" t="s">
        <v>4113</v>
      </c>
      <c r="F993" t="s">
        <v>4126</v>
      </c>
      <c r="G993" s="9" t="s">
        <v>177</v>
      </c>
      <c r="H993" t="s">
        <v>175</v>
      </c>
      <c r="I993" t="s">
        <v>176</v>
      </c>
      <c r="J993" s="2">
        <v>28125</v>
      </c>
    </row>
    <row r="994" spans="1:10" hidden="1" x14ac:dyDescent="0.25">
      <c r="A994" t="s">
        <v>3496</v>
      </c>
      <c r="C994" t="s">
        <v>4074</v>
      </c>
      <c r="D994" t="s">
        <v>4113</v>
      </c>
      <c r="F994" t="s">
        <v>4126</v>
      </c>
      <c r="G994" s="9" t="s">
        <v>178</v>
      </c>
      <c r="H994" t="s">
        <v>175</v>
      </c>
      <c r="I994" t="s">
        <v>10</v>
      </c>
      <c r="J994" s="2">
        <v>28125</v>
      </c>
    </row>
    <row r="995" spans="1:10" hidden="1" x14ac:dyDescent="0.25">
      <c r="A995" t="s">
        <v>3497</v>
      </c>
      <c r="C995" t="s">
        <v>4074</v>
      </c>
      <c r="D995" t="s">
        <v>4113</v>
      </c>
      <c r="F995" t="s">
        <v>4126</v>
      </c>
      <c r="G995" s="9" t="s">
        <v>180</v>
      </c>
      <c r="H995" t="s">
        <v>179</v>
      </c>
      <c r="I995" t="s">
        <v>10</v>
      </c>
      <c r="J995" s="2">
        <v>28072</v>
      </c>
    </row>
    <row r="996" spans="1:10" hidden="1" x14ac:dyDescent="0.25">
      <c r="A996" t="s">
        <v>3498</v>
      </c>
      <c r="C996" t="s">
        <v>4074</v>
      </c>
      <c r="D996" t="s">
        <v>4113</v>
      </c>
      <c r="F996" t="s">
        <v>4126</v>
      </c>
      <c r="G996" s="9" t="s">
        <v>191</v>
      </c>
      <c r="H996" t="s">
        <v>190</v>
      </c>
      <c r="I996" t="s">
        <v>13</v>
      </c>
      <c r="J996" s="2">
        <v>23751</v>
      </c>
    </row>
    <row r="997" spans="1:10" hidden="1" x14ac:dyDescent="0.25">
      <c r="A997" t="s">
        <v>3499</v>
      </c>
      <c r="C997" t="s">
        <v>4074</v>
      </c>
      <c r="D997" t="s">
        <v>4113</v>
      </c>
      <c r="F997" t="s">
        <v>4126</v>
      </c>
      <c r="G997" s="9" t="s">
        <v>208</v>
      </c>
      <c r="H997" t="s">
        <v>206</v>
      </c>
      <c r="I997" t="s">
        <v>207</v>
      </c>
      <c r="J997" s="2">
        <v>21103</v>
      </c>
    </row>
    <row r="998" spans="1:10" hidden="1" x14ac:dyDescent="0.25">
      <c r="A998" t="s">
        <v>3500</v>
      </c>
      <c r="C998" t="s">
        <v>4074</v>
      </c>
      <c r="D998" t="s">
        <v>4113</v>
      </c>
      <c r="F998" t="s">
        <v>4126</v>
      </c>
      <c r="G998" s="9" t="s">
        <v>210</v>
      </c>
      <c r="H998" t="s">
        <v>209</v>
      </c>
      <c r="I998" t="s">
        <v>10</v>
      </c>
      <c r="J998" s="2">
        <v>20892</v>
      </c>
    </row>
    <row r="999" spans="1:10" hidden="1" x14ac:dyDescent="0.25">
      <c r="A999" t="s">
        <v>3501</v>
      </c>
      <c r="C999" t="s">
        <v>4074</v>
      </c>
      <c r="D999" t="s">
        <v>4113</v>
      </c>
      <c r="F999" t="s">
        <v>4126</v>
      </c>
      <c r="G999" s="9" t="s">
        <v>214</v>
      </c>
      <c r="H999" t="s">
        <v>213</v>
      </c>
      <c r="I999" t="s">
        <v>13</v>
      </c>
      <c r="J999" s="2">
        <v>20778</v>
      </c>
    </row>
    <row r="1000" spans="1:10" hidden="1" x14ac:dyDescent="0.25">
      <c r="A1000" t="s">
        <v>3502</v>
      </c>
      <c r="C1000" t="s">
        <v>4074</v>
      </c>
      <c r="D1000" t="s">
        <v>4113</v>
      </c>
      <c r="F1000" t="s">
        <v>4126</v>
      </c>
      <c r="G1000" s="9" t="s">
        <v>230</v>
      </c>
      <c r="H1000" t="s">
        <v>229</v>
      </c>
      <c r="I1000" t="s">
        <v>10</v>
      </c>
      <c r="J1000" s="2">
        <v>19546</v>
      </c>
    </row>
    <row r="1001" spans="1:10" hidden="1" x14ac:dyDescent="0.25">
      <c r="A1001" t="s">
        <v>3503</v>
      </c>
      <c r="C1001" t="s">
        <v>4074</v>
      </c>
      <c r="D1001" t="s">
        <v>4113</v>
      </c>
      <c r="F1001" t="s">
        <v>4126</v>
      </c>
      <c r="G1001" s="9" t="s">
        <v>245</v>
      </c>
      <c r="H1001" t="s">
        <v>244</v>
      </c>
      <c r="I1001" t="s">
        <v>13</v>
      </c>
      <c r="J1001" s="2">
        <v>18715</v>
      </c>
    </row>
    <row r="1002" spans="1:10" hidden="1" x14ac:dyDescent="0.25">
      <c r="A1002" t="s">
        <v>3504</v>
      </c>
      <c r="C1002" t="s">
        <v>4074</v>
      </c>
      <c r="D1002" t="s">
        <v>4113</v>
      </c>
      <c r="F1002" t="s">
        <v>4126</v>
      </c>
      <c r="G1002" s="9" t="s">
        <v>253</v>
      </c>
      <c r="H1002" t="s">
        <v>252</v>
      </c>
      <c r="I1002" t="s">
        <v>10</v>
      </c>
      <c r="J1002" s="2">
        <v>17584</v>
      </c>
    </row>
    <row r="1003" spans="1:10" hidden="1" x14ac:dyDescent="0.25">
      <c r="A1003" t="s">
        <v>3505</v>
      </c>
      <c r="C1003" t="s">
        <v>4074</v>
      </c>
      <c r="D1003" t="s">
        <v>4113</v>
      </c>
      <c r="F1003" t="s">
        <v>4126</v>
      </c>
      <c r="G1003" s="9" t="s">
        <v>255</v>
      </c>
      <c r="H1003" t="s">
        <v>254</v>
      </c>
      <c r="I1003" t="s">
        <v>13</v>
      </c>
      <c r="J1003" s="2">
        <v>17399</v>
      </c>
    </row>
    <row r="1004" spans="1:10" hidden="1" x14ac:dyDescent="0.25">
      <c r="A1004" t="s">
        <v>3506</v>
      </c>
      <c r="C1004" t="s">
        <v>4074</v>
      </c>
      <c r="D1004" t="s">
        <v>4113</v>
      </c>
      <c r="F1004" t="s">
        <v>4126</v>
      </c>
      <c r="G1004" s="9" t="s">
        <v>260</v>
      </c>
      <c r="H1004" t="s">
        <v>259</v>
      </c>
      <c r="I1004" t="s">
        <v>13</v>
      </c>
      <c r="J1004" s="2">
        <v>17010</v>
      </c>
    </row>
    <row r="1005" spans="1:10" hidden="1" x14ac:dyDescent="0.25">
      <c r="A1005" t="s">
        <v>3507</v>
      </c>
      <c r="C1005" t="s">
        <v>4074</v>
      </c>
      <c r="D1005" t="s">
        <v>4113</v>
      </c>
      <c r="F1005" t="s">
        <v>4126</v>
      </c>
      <c r="G1005" s="9" t="s">
        <v>268</v>
      </c>
      <c r="H1005" t="s">
        <v>267</v>
      </c>
      <c r="I1005" t="s">
        <v>13</v>
      </c>
      <c r="J1005" s="2">
        <v>15877</v>
      </c>
    </row>
    <row r="1006" spans="1:10" hidden="1" x14ac:dyDescent="0.25">
      <c r="A1006" t="s">
        <v>3508</v>
      </c>
      <c r="C1006" t="s">
        <v>4074</v>
      </c>
      <c r="D1006" t="s">
        <v>4113</v>
      </c>
      <c r="F1006" t="s">
        <v>4126</v>
      </c>
      <c r="G1006" s="9" t="s">
        <v>272</v>
      </c>
      <c r="H1006" t="s">
        <v>271</v>
      </c>
      <c r="I1006" t="s">
        <v>176</v>
      </c>
      <c r="J1006" s="2">
        <v>15049</v>
      </c>
    </row>
    <row r="1007" spans="1:10" hidden="1" x14ac:dyDescent="0.25">
      <c r="A1007" t="s">
        <v>3509</v>
      </c>
      <c r="C1007" t="s">
        <v>4074</v>
      </c>
      <c r="D1007" t="s">
        <v>4113</v>
      </c>
      <c r="F1007" t="s">
        <v>4126</v>
      </c>
      <c r="G1007" s="9" t="s">
        <v>274</v>
      </c>
      <c r="H1007" t="s">
        <v>273</v>
      </c>
      <c r="I1007" t="s">
        <v>10</v>
      </c>
      <c r="J1007" s="2">
        <v>14833</v>
      </c>
    </row>
    <row r="1008" spans="1:10" hidden="1" x14ac:dyDescent="0.25">
      <c r="A1008" t="s">
        <v>3510</v>
      </c>
      <c r="C1008" t="s">
        <v>4074</v>
      </c>
      <c r="D1008" t="s">
        <v>4113</v>
      </c>
      <c r="F1008" t="s">
        <v>4126</v>
      </c>
      <c r="G1008" s="9" t="s">
        <v>278</v>
      </c>
      <c r="H1008" t="s">
        <v>277</v>
      </c>
      <c r="I1008" t="s">
        <v>13</v>
      </c>
      <c r="J1008" s="2">
        <v>14401</v>
      </c>
    </row>
    <row r="1009" spans="1:10" hidden="1" x14ac:dyDescent="0.25">
      <c r="A1009" t="s">
        <v>3511</v>
      </c>
      <c r="C1009" t="s">
        <v>4074</v>
      </c>
      <c r="D1009" t="s">
        <v>4113</v>
      </c>
      <c r="F1009" t="s">
        <v>4126</v>
      </c>
      <c r="G1009" s="9" t="s">
        <v>279</v>
      </c>
      <c r="H1009" t="s">
        <v>277</v>
      </c>
      <c r="I1009" t="s">
        <v>13</v>
      </c>
      <c r="J1009" s="2">
        <v>14401</v>
      </c>
    </row>
    <row r="1010" spans="1:10" hidden="1" x14ac:dyDescent="0.25">
      <c r="A1010" t="s">
        <v>3512</v>
      </c>
      <c r="C1010" t="s">
        <v>4074</v>
      </c>
      <c r="D1010" t="s">
        <v>4113</v>
      </c>
      <c r="F1010" t="s">
        <v>4126</v>
      </c>
      <c r="G1010" s="9" t="s">
        <v>283</v>
      </c>
      <c r="H1010" t="s">
        <v>282</v>
      </c>
      <c r="I1010" t="s">
        <v>13</v>
      </c>
      <c r="J1010" s="2">
        <v>14156</v>
      </c>
    </row>
    <row r="1011" spans="1:10" hidden="1" x14ac:dyDescent="0.25">
      <c r="A1011" t="s">
        <v>3513</v>
      </c>
      <c r="C1011" t="s">
        <v>4074</v>
      </c>
      <c r="D1011" t="s">
        <v>4113</v>
      </c>
      <c r="F1011" t="s">
        <v>4126</v>
      </c>
      <c r="G1011" s="9" t="s">
        <v>284</v>
      </c>
      <c r="H1011" t="s">
        <v>282</v>
      </c>
      <c r="I1011" t="s">
        <v>13</v>
      </c>
      <c r="J1011" s="2">
        <v>14156</v>
      </c>
    </row>
    <row r="1012" spans="1:10" hidden="1" x14ac:dyDescent="0.25">
      <c r="A1012" t="s">
        <v>3514</v>
      </c>
      <c r="C1012" t="s">
        <v>4074</v>
      </c>
      <c r="D1012" t="s">
        <v>4113</v>
      </c>
      <c r="F1012" t="s">
        <v>4126</v>
      </c>
      <c r="G1012" s="9" t="s">
        <v>285</v>
      </c>
      <c r="H1012" t="s">
        <v>282</v>
      </c>
      <c r="I1012" t="s">
        <v>10</v>
      </c>
      <c r="J1012" s="2">
        <v>14156</v>
      </c>
    </row>
    <row r="1013" spans="1:10" hidden="1" x14ac:dyDescent="0.25">
      <c r="A1013" t="s">
        <v>3515</v>
      </c>
      <c r="C1013" t="s">
        <v>4074</v>
      </c>
      <c r="D1013" t="s">
        <v>4113</v>
      </c>
      <c r="F1013" t="s">
        <v>4126</v>
      </c>
      <c r="G1013" s="9" t="s">
        <v>286</v>
      </c>
      <c r="H1013" t="s">
        <v>282</v>
      </c>
      <c r="I1013" t="s">
        <v>202</v>
      </c>
      <c r="J1013" s="2">
        <v>14156</v>
      </c>
    </row>
    <row r="1014" spans="1:10" hidden="1" x14ac:dyDescent="0.25">
      <c r="A1014" t="s">
        <v>3516</v>
      </c>
      <c r="C1014" t="s">
        <v>4074</v>
      </c>
      <c r="D1014" t="s">
        <v>4113</v>
      </c>
      <c r="F1014" t="s">
        <v>4126</v>
      </c>
      <c r="G1014" s="9" t="s">
        <v>293</v>
      </c>
      <c r="H1014" t="s">
        <v>292</v>
      </c>
      <c r="I1014" t="s">
        <v>13</v>
      </c>
      <c r="J1014" s="2">
        <v>13724</v>
      </c>
    </row>
    <row r="1015" spans="1:10" hidden="1" x14ac:dyDescent="0.25">
      <c r="A1015" t="s">
        <v>3517</v>
      </c>
      <c r="C1015" t="s">
        <v>4074</v>
      </c>
      <c r="D1015" t="s">
        <v>4113</v>
      </c>
      <c r="F1015" t="s">
        <v>4126</v>
      </c>
      <c r="G1015" s="9" t="s">
        <v>300</v>
      </c>
      <c r="H1015" t="s">
        <v>299</v>
      </c>
      <c r="I1015" t="s">
        <v>13</v>
      </c>
      <c r="J1015" s="2">
        <v>12575</v>
      </c>
    </row>
    <row r="1016" spans="1:10" hidden="1" x14ac:dyDescent="0.25">
      <c r="A1016" t="s">
        <v>3518</v>
      </c>
      <c r="C1016" t="s">
        <v>4074</v>
      </c>
      <c r="D1016" t="s">
        <v>4113</v>
      </c>
      <c r="F1016" t="s">
        <v>4126</v>
      </c>
      <c r="G1016" s="9" t="s">
        <v>301</v>
      </c>
      <c r="H1016" t="s">
        <v>299</v>
      </c>
      <c r="I1016" t="s">
        <v>10</v>
      </c>
      <c r="J1016" s="2">
        <v>12575</v>
      </c>
    </row>
    <row r="1017" spans="1:10" hidden="1" x14ac:dyDescent="0.25">
      <c r="A1017" t="s">
        <v>3519</v>
      </c>
      <c r="C1017" t="s">
        <v>4074</v>
      </c>
      <c r="D1017" t="s">
        <v>4113</v>
      </c>
      <c r="F1017" t="s">
        <v>4126</v>
      </c>
      <c r="G1017" s="9" t="s">
        <v>303</v>
      </c>
      <c r="H1017" t="s">
        <v>302</v>
      </c>
      <c r="I1017" t="s">
        <v>5</v>
      </c>
      <c r="J1017" s="2">
        <v>12539</v>
      </c>
    </row>
    <row r="1018" spans="1:10" hidden="1" x14ac:dyDescent="0.25">
      <c r="A1018" t="s">
        <v>3520</v>
      </c>
      <c r="C1018" t="s">
        <v>4074</v>
      </c>
      <c r="D1018" t="s">
        <v>4113</v>
      </c>
      <c r="F1018" t="s">
        <v>4126</v>
      </c>
      <c r="G1018" s="9" t="s">
        <v>304</v>
      </c>
      <c r="H1018" t="s">
        <v>302</v>
      </c>
      <c r="I1018" t="s">
        <v>5</v>
      </c>
      <c r="J1018" s="2">
        <v>12539</v>
      </c>
    </row>
    <row r="1019" spans="1:10" hidden="1" x14ac:dyDescent="0.25">
      <c r="A1019" t="s">
        <v>3521</v>
      </c>
      <c r="C1019" t="s">
        <v>4074</v>
      </c>
      <c r="D1019" t="s">
        <v>4113</v>
      </c>
      <c r="F1019" t="s">
        <v>4126</v>
      </c>
      <c r="G1019" s="9" t="s">
        <v>306</v>
      </c>
      <c r="H1019" t="s">
        <v>305</v>
      </c>
      <c r="I1019" t="s">
        <v>13</v>
      </c>
      <c r="J1019" s="2">
        <v>12284</v>
      </c>
    </row>
    <row r="1020" spans="1:10" hidden="1" x14ac:dyDescent="0.25">
      <c r="A1020" t="s">
        <v>3522</v>
      </c>
      <c r="C1020" t="s">
        <v>4074</v>
      </c>
      <c r="D1020" t="s">
        <v>4113</v>
      </c>
      <c r="F1020" t="s">
        <v>4126</v>
      </c>
      <c r="G1020" s="9" t="s">
        <v>309</v>
      </c>
      <c r="H1020" t="s">
        <v>308</v>
      </c>
      <c r="I1020" t="s">
        <v>13</v>
      </c>
      <c r="J1020" s="2">
        <v>11833</v>
      </c>
    </row>
    <row r="1021" spans="1:10" hidden="1" x14ac:dyDescent="0.25">
      <c r="A1021" t="s">
        <v>3523</v>
      </c>
      <c r="C1021" t="s">
        <v>4074</v>
      </c>
      <c r="D1021" t="s">
        <v>4113</v>
      </c>
      <c r="F1021" t="s">
        <v>4126</v>
      </c>
      <c r="G1021" s="9" t="s">
        <v>310</v>
      </c>
      <c r="H1021" t="s">
        <v>308</v>
      </c>
      <c r="I1021" t="s">
        <v>13</v>
      </c>
      <c r="J1021" s="2">
        <v>11833</v>
      </c>
    </row>
    <row r="1022" spans="1:10" hidden="1" x14ac:dyDescent="0.25">
      <c r="A1022" t="s">
        <v>3524</v>
      </c>
      <c r="C1022" t="s">
        <v>4074</v>
      </c>
      <c r="D1022" t="s">
        <v>4113</v>
      </c>
      <c r="F1022" t="s">
        <v>4126</v>
      </c>
      <c r="G1022" s="9" t="s">
        <v>311</v>
      </c>
      <c r="H1022" t="s">
        <v>308</v>
      </c>
      <c r="I1022" t="s">
        <v>10</v>
      </c>
      <c r="J1022" s="2">
        <v>11833</v>
      </c>
    </row>
    <row r="1023" spans="1:10" hidden="1" x14ac:dyDescent="0.25">
      <c r="A1023" t="s">
        <v>3525</v>
      </c>
      <c r="C1023" t="s">
        <v>4074</v>
      </c>
      <c r="D1023" t="s">
        <v>4113</v>
      </c>
      <c r="F1023" t="s">
        <v>4126</v>
      </c>
      <c r="G1023" s="9" t="s">
        <v>313</v>
      </c>
      <c r="H1023" t="s">
        <v>312</v>
      </c>
      <c r="I1023" t="s">
        <v>10</v>
      </c>
      <c r="J1023" s="2">
        <v>11789</v>
      </c>
    </row>
    <row r="1024" spans="1:10" hidden="1" x14ac:dyDescent="0.25">
      <c r="A1024" t="s">
        <v>3526</v>
      </c>
      <c r="C1024" t="s">
        <v>4074</v>
      </c>
      <c r="D1024" t="s">
        <v>4113</v>
      </c>
      <c r="F1024" t="s">
        <v>4126</v>
      </c>
      <c r="G1024" s="9" t="s">
        <v>318</v>
      </c>
      <c r="H1024" t="s">
        <v>317</v>
      </c>
      <c r="I1024" t="s">
        <v>13</v>
      </c>
      <c r="J1024" s="2">
        <v>11664</v>
      </c>
    </row>
    <row r="1025" spans="1:10" hidden="1" x14ac:dyDescent="0.25">
      <c r="A1025" t="s">
        <v>3527</v>
      </c>
      <c r="C1025" t="s">
        <v>4074</v>
      </c>
      <c r="D1025" t="s">
        <v>4113</v>
      </c>
      <c r="F1025" t="s">
        <v>4126</v>
      </c>
      <c r="G1025" s="9" t="s">
        <v>319</v>
      </c>
      <c r="H1025" t="s">
        <v>317</v>
      </c>
      <c r="I1025" t="s">
        <v>5</v>
      </c>
      <c r="J1025" s="2">
        <v>11664</v>
      </c>
    </row>
    <row r="1026" spans="1:10" hidden="1" x14ac:dyDescent="0.25">
      <c r="A1026" t="s">
        <v>3528</v>
      </c>
      <c r="C1026" t="s">
        <v>4074</v>
      </c>
      <c r="D1026" t="s">
        <v>4113</v>
      </c>
      <c r="F1026" t="s">
        <v>4126</v>
      </c>
      <c r="G1026" s="9" t="s">
        <v>321</v>
      </c>
      <c r="H1026" t="s">
        <v>317</v>
      </c>
      <c r="I1026" t="s">
        <v>320</v>
      </c>
      <c r="J1026" s="2">
        <v>11664</v>
      </c>
    </row>
    <row r="1027" spans="1:10" hidden="1" x14ac:dyDescent="0.25">
      <c r="A1027" t="s">
        <v>3529</v>
      </c>
      <c r="C1027" t="s">
        <v>4074</v>
      </c>
      <c r="D1027" t="s">
        <v>4113</v>
      </c>
      <c r="F1027" t="s">
        <v>4126</v>
      </c>
      <c r="G1027" s="9" t="s">
        <v>322</v>
      </c>
      <c r="H1027" t="s">
        <v>317</v>
      </c>
      <c r="I1027" t="s">
        <v>207</v>
      </c>
      <c r="J1027" s="2">
        <v>11664</v>
      </c>
    </row>
    <row r="1028" spans="1:10" hidden="1" x14ac:dyDescent="0.25">
      <c r="A1028" t="s">
        <v>3530</v>
      </c>
      <c r="C1028" t="s">
        <v>4074</v>
      </c>
      <c r="D1028" t="s">
        <v>4113</v>
      </c>
      <c r="F1028" t="s">
        <v>4126</v>
      </c>
      <c r="G1028" s="9" t="s">
        <v>324</v>
      </c>
      <c r="H1028" t="s">
        <v>323</v>
      </c>
      <c r="I1028" t="s">
        <v>13</v>
      </c>
      <c r="J1028" s="2">
        <v>11648</v>
      </c>
    </row>
    <row r="1029" spans="1:10" hidden="1" x14ac:dyDescent="0.25">
      <c r="A1029" t="s">
        <v>3531</v>
      </c>
      <c r="C1029" t="s">
        <v>4074</v>
      </c>
      <c r="D1029" t="s">
        <v>4113</v>
      </c>
      <c r="F1029" t="s">
        <v>4126</v>
      </c>
      <c r="G1029" s="9" t="s">
        <v>326</v>
      </c>
      <c r="H1029" t="s">
        <v>325</v>
      </c>
      <c r="I1029" t="s">
        <v>13</v>
      </c>
      <c r="J1029" s="2">
        <v>11594</v>
      </c>
    </row>
    <row r="1030" spans="1:10" hidden="1" x14ac:dyDescent="0.25">
      <c r="A1030" t="s">
        <v>3532</v>
      </c>
      <c r="C1030" t="s">
        <v>4074</v>
      </c>
      <c r="D1030" t="s">
        <v>4113</v>
      </c>
      <c r="F1030" t="s">
        <v>4126</v>
      </c>
      <c r="G1030" s="9" t="s">
        <v>335</v>
      </c>
      <c r="H1030" t="s">
        <v>334</v>
      </c>
      <c r="I1030" t="s">
        <v>320</v>
      </c>
      <c r="J1030" s="2">
        <v>11052</v>
      </c>
    </row>
    <row r="1031" spans="1:10" hidden="1" x14ac:dyDescent="0.25">
      <c r="A1031" t="s">
        <v>3533</v>
      </c>
      <c r="C1031" t="s">
        <v>4074</v>
      </c>
      <c r="D1031" t="s">
        <v>4113</v>
      </c>
      <c r="F1031" t="s">
        <v>4126</v>
      </c>
      <c r="G1031" s="9" t="s">
        <v>336</v>
      </c>
      <c r="H1031" t="s">
        <v>334</v>
      </c>
      <c r="I1031" t="s">
        <v>320</v>
      </c>
      <c r="J1031" s="2">
        <v>11052</v>
      </c>
    </row>
    <row r="1032" spans="1:10" hidden="1" x14ac:dyDescent="0.25">
      <c r="A1032" t="s">
        <v>3534</v>
      </c>
      <c r="C1032" t="s">
        <v>4074</v>
      </c>
      <c r="D1032" t="s">
        <v>4113</v>
      </c>
      <c r="F1032" t="s">
        <v>4126</v>
      </c>
      <c r="G1032" s="9" t="s">
        <v>337</v>
      </c>
      <c r="H1032" t="s">
        <v>334</v>
      </c>
      <c r="I1032" t="s">
        <v>10</v>
      </c>
      <c r="J1032" s="2">
        <v>11052</v>
      </c>
    </row>
    <row r="1033" spans="1:10" hidden="1" x14ac:dyDescent="0.25">
      <c r="A1033" t="s">
        <v>3535</v>
      </c>
      <c r="C1033" t="s">
        <v>4074</v>
      </c>
      <c r="D1033" t="s">
        <v>4113</v>
      </c>
      <c r="F1033" t="s">
        <v>4126</v>
      </c>
      <c r="G1033" s="9" t="s">
        <v>350</v>
      </c>
      <c r="H1033" t="s">
        <v>349</v>
      </c>
      <c r="I1033" t="s">
        <v>320</v>
      </c>
      <c r="J1033" s="2">
        <v>10682</v>
      </c>
    </row>
    <row r="1034" spans="1:10" hidden="1" x14ac:dyDescent="0.25">
      <c r="A1034" t="s">
        <v>3536</v>
      </c>
      <c r="C1034" t="s">
        <v>4074</v>
      </c>
      <c r="D1034" t="s">
        <v>4113</v>
      </c>
      <c r="F1034" t="s">
        <v>4126</v>
      </c>
      <c r="G1034" s="9" t="s">
        <v>351</v>
      </c>
      <c r="H1034" t="s">
        <v>349</v>
      </c>
      <c r="I1034" t="s">
        <v>320</v>
      </c>
      <c r="J1034" s="2">
        <v>10682</v>
      </c>
    </row>
    <row r="1035" spans="1:10" hidden="1" x14ac:dyDescent="0.25">
      <c r="A1035" t="s">
        <v>3537</v>
      </c>
      <c r="C1035" t="s">
        <v>4074</v>
      </c>
      <c r="D1035" t="s">
        <v>4113</v>
      </c>
      <c r="F1035" t="s">
        <v>4126</v>
      </c>
      <c r="G1035" s="9" t="s">
        <v>355</v>
      </c>
      <c r="H1035" t="s">
        <v>354</v>
      </c>
      <c r="I1035" t="s">
        <v>89</v>
      </c>
      <c r="J1035" s="2">
        <v>10445</v>
      </c>
    </row>
    <row r="1036" spans="1:10" hidden="1" x14ac:dyDescent="0.25">
      <c r="A1036" t="s">
        <v>3538</v>
      </c>
      <c r="C1036" t="s">
        <v>4074</v>
      </c>
      <c r="D1036" t="s">
        <v>4113</v>
      </c>
      <c r="F1036" t="s">
        <v>4126</v>
      </c>
      <c r="G1036" s="9" t="s">
        <v>359</v>
      </c>
      <c r="H1036" t="s">
        <v>358</v>
      </c>
      <c r="I1036" t="s">
        <v>176</v>
      </c>
      <c r="J1036" s="2">
        <v>10387</v>
      </c>
    </row>
    <row r="1037" spans="1:10" hidden="1" x14ac:dyDescent="0.25">
      <c r="A1037" t="s">
        <v>3539</v>
      </c>
      <c r="C1037" t="s">
        <v>4074</v>
      </c>
      <c r="D1037" t="s">
        <v>4113</v>
      </c>
      <c r="F1037" t="s">
        <v>4126</v>
      </c>
      <c r="G1037" s="9" t="s">
        <v>360</v>
      </c>
      <c r="H1037" t="s">
        <v>358</v>
      </c>
      <c r="I1037" t="s">
        <v>10</v>
      </c>
      <c r="J1037" s="2">
        <v>10387</v>
      </c>
    </row>
    <row r="1038" spans="1:10" hidden="1" x14ac:dyDescent="0.25">
      <c r="A1038" t="s">
        <v>3540</v>
      </c>
      <c r="C1038" t="s">
        <v>4074</v>
      </c>
      <c r="D1038" t="s">
        <v>4113</v>
      </c>
      <c r="F1038" t="s">
        <v>4126</v>
      </c>
      <c r="G1038" s="9" t="s">
        <v>362</v>
      </c>
      <c r="H1038" t="s">
        <v>361</v>
      </c>
      <c r="I1038" t="s">
        <v>13</v>
      </c>
      <c r="J1038" s="2">
        <v>10385</v>
      </c>
    </row>
    <row r="1039" spans="1:10" hidden="1" x14ac:dyDescent="0.25">
      <c r="A1039" t="s">
        <v>3541</v>
      </c>
      <c r="C1039" t="s">
        <v>4074</v>
      </c>
      <c r="D1039" t="s">
        <v>4113</v>
      </c>
      <c r="F1039" t="s">
        <v>4126</v>
      </c>
      <c r="G1039" s="9" t="s">
        <v>367</v>
      </c>
      <c r="H1039" t="s">
        <v>366</v>
      </c>
      <c r="I1039" t="s">
        <v>176</v>
      </c>
      <c r="J1039" s="2">
        <v>10292</v>
      </c>
    </row>
    <row r="1040" spans="1:10" hidden="1" x14ac:dyDescent="0.25">
      <c r="A1040" t="s">
        <v>3542</v>
      </c>
      <c r="C1040" t="s">
        <v>4074</v>
      </c>
      <c r="D1040" t="s">
        <v>4113</v>
      </c>
      <c r="F1040" t="s">
        <v>4126</v>
      </c>
      <c r="G1040" s="9" t="s">
        <v>368</v>
      </c>
      <c r="H1040" t="s">
        <v>366</v>
      </c>
      <c r="I1040" t="s">
        <v>13</v>
      </c>
      <c r="J1040" s="2">
        <v>10292</v>
      </c>
    </row>
    <row r="1041" spans="1:10" hidden="1" x14ac:dyDescent="0.25">
      <c r="A1041" t="s">
        <v>3543</v>
      </c>
      <c r="C1041" t="s">
        <v>4074</v>
      </c>
      <c r="D1041" t="s">
        <v>4113</v>
      </c>
      <c r="F1041" t="s">
        <v>4126</v>
      </c>
      <c r="G1041" s="9" t="s">
        <v>369</v>
      </c>
      <c r="H1041" t="s">
        <v>366</v>
      </c>
      <c r="I1041" t="s">
        <v>5</v>
      </c>
      <c r="J1041" s="2">
        <v>10292</v>
      </c>
    </row>
    <row r="1042" spans="1:10" hidden="1" x14ac:dyDescent="0.25">
      <c r="A1042" t="s">
        <v>3544</v>
      </c>
      <c r="C1042" t="s">
        <v>4074</v>
      </c>
      <c r="D1042" t="s">
        <v>4113</v>
      </c>
      <c r="F1042" t="s">
        <v>4126</v>
      </c>
      <c r="G1042" s="9" t="s">
        <v>370</v>
      </c>
      <c r="H1042" t="s">
        <v>366</v>
      </c>
      <c r="I1042" t="s">
        <v>320</v>
      </c>
      <c r="J1042" s="2">
        <v>10292</v>
      </c>
    </row>
    <row r="1043" spans="1:10" hidden="1" x14ac:dyDescent="0.25">
      <c r="A1043" t="s">
        <v>3545</v>
      </c>
      <c r="C1043" t="s">
        <v>4074</v>
      </c>
      <c r="D1043" t="s">
        <v>4113</v>
      </c>
      <c r="F1043" t="s">
        <v>4126</v>
      </c>
      <c r="G1043" s="9" t="s">
        <v>372</v>
      </c>
      <c r="H1043" t="s">
        <v>371</v>
      </c>
      <c r="I1043" t="s">
        <v>37</v>
      </c>
      <c r="J1043" s="2">
        <v>10187</v>
      </c>
    </row>
    <row r="1044" spans="1:10" hidden="1" x14ac:dyDescent="0.25">
      <c r="A1044" t="s">
        <v>3546</v>
      </c>
      <c r="C1044" t="s">
        <v>4074</v>
      </c>
      <c r="D1044" t="s">
        <v>4113</v>
      </c>
      <c r="F1044" t="s">
        <v>4126</v>
      </c>
      <c r="G1044" s="9" t="s">
        <v>373</v>
      </c>
      <c r="H1044" t="s">
        <v>371</v>
      </c>
      <c r="I1044" t="s">
        <v>5</v>
      </c>
      <c r="J1044" s="2">
        <v>10187</v>
      </c>
    </row>
    <row r="1045" spans="1:10" hidden="1" x14ac:dyDescent="0.25">
      <c r="A1045" t="s">
        <v>3547</v>
      </c>
      <c r="C1045" t="s">
        <v>4074</v>
      </c>
      <c r="D1045" t="s">
        <v>4113</v>
      </c>
      <c r="F1045" t="s">
        <v>4126</v>
      </c>
      <c r="G1045" s="9" t="s">
        <v>374</v>
      </c>
      <c r="H1045" t="s">
        <v>371</v>
      </c>
      <c r="I1045" t="s">
        <v>5</v>
      </c>
      <c r="J1045" s="2">
        <v>10187</v>
      </c>
    </row>
    <row r="1046" spans="1:10" hidden="1" x14ac:dyDescent="0.25">
      <c r="A1046" t="s">
        <v>3548</v>
      </c>
      <c r="C1046" t="s">
        <v>4074</v>
      </c>
      <c r="D1046" t="s">
        <v>4113</v>
      </c>
      <c r="F1046" t="s">
        <v>4126</v>
      </c>
      <c r="G1046" s="9" t="s">
        <v>375</v>
      </c>
      <c r="H1046" t="s">
        <v>371</v>
      </c>
      <c r="I1046" t="s">
        <v>320</v>
      </c>
      <c r="J1046" s="2">
        <v>10187</v>
      </c>
    </row>
    <row r="1047" spans="1:10" hidden="1" x14ac:dyDescent="0.25">
      <c r="A1047" t="s">
        <v>3549</v>
      </c>
      <c r="C1047" t="s">
        <v>4074</v>
      </c>
      <c r="D1047" t="s">
        <v>4113</v>
      </c>
      <c r="F1047" t="s">
        <v>4126</v>
      </c>
      <c r="G1047" s="9" t="s">
        <v>376</v>
      </c>
      <c r="H1047" t="s">
        <v>371</v>
      </c>
      <c r="I1047" t="s">
        <v>89</v>
      </c>
      <c r="J1047" s="2">
        <v>10187</v>
      </c>
    </row>
    <row r="1048" spans="1:10" hidden="1" x14ac:dyDescent="0.25">
      <c r="A1048" t="s">
        <v>3550</v>
      </c>
      <c r="C1048" t="s">
        <v>4074</v>
      </c>
      <c r="D1048" t="s">
        <v>4113</v>
      </c>
      <c r="F1048" t="s">
        <v>4126</v>
      </c>
      <c r="G1048" s="9" t="s">
        <v>377</v>
      </c>
      <c r="H1048" t="s">
        <v>371</v>
      </c>
      <c r="I1048" t="s">
        <v>89</v>
      </c>
      <c r="J1048" s="2">
        <v>10187</v>
      </c>
    </row>
    <row r="1049" spans="1:10" hidden="1" x14ac:dyDescent="0.25">
      <c r="A1049" t="s">
        <v>3551</v>
      </c>
      <c r="C1049" t="s">
        <v>4074</v>
      </c>
      <c r="D1049" t="s">
        <v>4113</v>
      </c>
      <c r="F1049" t="s">
        <v>4126</v>
      </c>
      <c r="G1049" s="9" t="s">
        <v>382</v>
      </c>
      <c r="H1049" t="s">
        <v>381</v>
      </c>
      <c r="I1049" t="s">
        <v>13</v>
      </c>
      <c r="J1049" s="2">
        <v>9982</v>
      </c>
    </row>
    <row r="1050" spans="1:10" hidden="1" x14ac:dyDescent="0.25">
      <c r="A1050" t="s">
        <v>3552</v>
      </c>
      <c r="C1050" t="s">
        <v>4074</v>
      </c>
      <c r="D1050" t="s">
        <v>4113</v>
      </c>
      <c r="F1050" t="s">
        <v>4126</v>
      </c>
      <c r="G1050" s="9" t="s">
        <v>400</v>
      </c>
      <c r="H1050" t="s">
        <v>399</v>
      </c>
      <c r="I1050" t="s">
        <v>13</v>
      </c>
      <c r="J1050" s="2">
        <v>9718</v>
      </c>
    </row>
    <row r="1051" spans="1:10" hidden="1" x14ac:dyDescent="0.25">
      <c r="A1051" t="s">
        <v>3553</v>
      </c>
      <c r="C1051" t="s">
        <v>4074</v>
      </c>
      <c r="D1051" t="s">
        <v>4113</v>
      </c>
      <c r="F1051" t="s">
        <v>4126</v>
      </c>
      <c r="G1051" s="9" t="s">
        <v>404</v>
      </c>
      <c r="H1051" t="s">
        <v>403</v>
      </c>
      <c r="I1051" t="s">
        <v>13</v>
      </c>
      <c r="J1051" s="2">
        <v>9647</v>
      </c>
    </row>
    <row r="1052" spans="1:10" hidden="1" x14ac:dyDescent="0.25">
      <c r="A1052" t="s">
        <v>3554</v>
      </c>
      <c r="C1052" t="s">
        <v>4074</v>
      </c>
      <c r="D1052" t="s">
        <v>4113</v>
      </c>
      <c r="F1052" t="s">
        <v>4126</v>
      </c>
      <c r="G1052" s="9" t="s">
        <v>405</v>
      </c>
      <c r="H1052" t="s">
        <v>403</v>
      </c>
      <c r="I1052" t="s">
        <v>5</v>
      </c>
      <c r="J1052" s="2">
        <v>9647</v>
      </c>
    </row>
    <row r="1053" spans="1:10" hidden="1" x14ac:dyDescent="0.25">
      <c r="A1053" t="s">
        <v>3555</v>
      </c>
      <c r="C1053" t="s">
        <v>4074</v>
      </c>
      <c r="D1053" t="s">
        <v>4113</v>
      </c>
      <c r="F1053" t="s">
        <v>4126</v>
      </c>
      <c r="G1053" s="9" t="s">
        <v>406</v>
      </c>
      <c r="H1053" t="s">
        <v>403</v>
      </c>
      <c r="I1053" t="s">
        <v>320</v>
      </c>
      <c r="J1053" s="2">
        <v>9647</v>
      </c>
    </row>
    <row r="1054" spans="1:10" hidden="1" x14ac:dyDescent="0.25">
      <c r="A1054" t="s">
        <v>3556</v>
      </c>
      <c r="C1054" t="s">
        <v>4074</v>
      </c>
      <c r="D1054" t="s">
        <v>4113</v>
      </c>
      <c r="F1054" t="s">
        <v>4126</v>
      </c>
      <c r="G1054" s="9" t="s">
        <v>407</v>
      </c>
      <c r="H1054" t="s">
        <v>403</v>
      </c>
      <c r="I1054" t="s">
        <v>207</v>
      </c>
      <c r="J1054" s="2">
        <v>9647</v>
      </c>
    </row>
    <row r="1055" spans="1:10" hidden="1" x14ac:dyDescent="0.25">
      <c r="A1055" t="s">
        <v>3557</v>
      </c>
      <c r="C1055" t="s">
        <v>4074</v>
      </c>
      <c r="D1055" t="s">
        <v>4113</v>
      </c>
      <c r="F1055" t="s">
        <v>4126</v>
      </c>
      <c r="G1055" s="9" t="s">
        <v>413</v>
      </c>
      <c r="H1055" t="s">
        <v>412</v>
      </c>
      <c r="I1055" t="s">
        <v>13</v>
      </c>
      <c r="J1055" s="2">
        <v>9587</v>
      </c>
    </row>
    <row r="1056" spans="1:10" hidden="1" x14ac:dyDescent="0.25">
      <c r="A1056" t="s">
        <v>3558</v>
      </c>
      <c r="C1056" t="s">
        <v>4074</v>
      </c>
      <c r="D1056" t="s">
        <v>4113</v>
      </c>
      <c r="F1056" t="s">
        <v>4126</v>
      </c>
      <c r="G1056" s="9" t="s">
        <v>419</v>
      </c>
      <c r="H1056" t="s">
        <v>418</v>
      </c>
      <c r="I1056" t="s">
        <v>13</v>
      </c>
      <c r="J1056" s="2">
        <v>9564</v>
      </c>
    </row>
    <row r="1057" spans="1:10" hidden="1" x14ac:dyDescent="0.25">
      <c r="A1057" t="s">
        <v>3559</v>
      </c>
      <c r="C1057" t="s">
        <v>4074</v>
      </c>
      <c r="D1057" t="s">
        <v>4113</v>
      </c>
      <c r="F1057" t="s">
        <v>4126</v>
      </c>
      <c r="G1057" s="9" t="s">
        <v>420</v>
      </c>
      <c r="H1057" t="s">
        <v>418</v>
      </c>
      <c r="I1057" t="s">
        <v>37</v>
      </c>
      <c r="J1057" s="2">
        <v>9564</v>
      </c>
    </row>
    <row r="1058" spans="1:10" hidden="1" x14ac:dyDescent="0.25">
      <c r="A1058" t="s">
        <v>3560</v>
      </c>
      <c r="C1058" t="s">
        <v>4074</v>
      </c>
      <c r="D1058" t="s">
        <v>4113</v>
      </c>
      <c r="F1058" t="s">
        <v>4126</v>
      </c>
      <c r="G1058" s="9" t="s">
        <v>430</v>
      </c>
      <c r="H1058" t="s">
        <v>429</v>
      </c>
      <c r="I1058" t="s">
        <v>13</v>
      </c>
      <c r="J1058" s="2">
        <v>9327</v>
      </c>
    </row>
    <row r="1059" spans="1:10" hidden="1" x14ac:dyDescent="0.25">
      <c r="A1059" t="s">
        <v>3561</v>
      </c>
      <c r="C1059" t="s">
        <v>4074</v>
      </c>
      <c r="D1059" t="s">
        <v>4113</v>
      </c>
      <c r="F1059" t="s">
        <v>4126</v>
      </c>
      <c r="G1059" s="9" t="s">
        <v>431</v>
      </c>
      <c r="H1059" t="s">
        <v>429</v>
      </c>
      <c r="I1059" t="s">
        <v>13</v>
      </c>
      <c r="J1059" s="2">
        <v>9327</v>
      </c>
    </row>
    <row r="1060" spans="1:10" hidden="1" x14ac:dyDescent="0.25">
      <c r="A1060" t="s">
        <v>3562</v>
      </c>
      <c r="C1060" t="s">
        <v>4074</v>
      </c>
      <c r="D1060" t="s">
        <v>4113</v>
      </c>
      <c r="F1060" t="s">
        <v>4126</v>
      </c>
      <c r="G1060" s="9" t="s">
        <v>432</v>
      </c>
      <c r="H1060" t="s">
        <v>429</v>
      </c>
      <c r="I1060" t="s">
        <v>10</v>
      </c>
      <c r="J1060" s="2">
        <v>9327</v>
      </c>
    </row>
    <row r="1061" spans="1:10" hidden="1" x14ac:dyDescent="0.25">
      <c r="A1061" t="s">
        <v>3563</v>
      </c>
      <c r="C1061" t="s">
        <v>4074</v>
      </c>
      <c r="D1061" t="s">
        <v>4113</v>
      </c>
      <c r="F1061" t="s">
        <v>4126</v>
      </c>
      <c r="G1061" s="9" t="s">
        <v>447</v>
      </c>
      <c r="H1061" t="s">
        <v>446</v>
      </c>
      <c r="I1061" t="s">
        <v>13</v>
      </c>
      <c r="J1061" s="2">
        <v>9070</v>
      </c>
    </row>
    <row r="1062" spans="1:10" hidden="1" x14ac:dyDescent="0.25">
      <c r="A1062" t="s">
        <v>3564</v>
      </c>
      <c r="C1062" t="s">
        <v>4074</v>
      </c>
      <c r="D1062" t="s">
        <v>4113</v>
      </c>
      <c r="F1062" t="s">
        <v>4126</v>
      </c>
      <c r="G1062" s="9" t="s">
        <v>449</v>
      </c>
      <c r="H1062" t="s">
        <v>448</v>
      </c>
      <c r="I1062" t="s">
        <v>13</v>
      </c>
      <c r="J1062" s="2">
        <v>9066</v>
      </c>
    </row>
    <row r="1063" spans="1:10" hidden="1" x14ac:dyDescent="0.25">
      <c r="A1063" t="s">
        <v>3565</v>
      </c>
      <c r="C1063" t="s">
        <v>4074</v>
      </c>
      <c r="D1063" t="s">
        <v>4113</v>
      </c>
      <c r="F1063" t="s">
        <v>4126</v>
      </c>
      <c r="G1063" s="9" t="s">
        <v>450</v>
      </c>
      <c r="H1063" t="s">
        <v>448</v>
      </c>
      <c r="I1063" t="s">
        <v>320</v>
      </c>
      <c r="J1063" s="2">
        <v>9066</v>
      </c>
    </row>
    <row r="1064" spans="1:10" hidden="1" x14ac:dyDescent="0.25">
      <c r="A1064" t="s">
        <v>3566</v>
      </c>
      <c r="C1064" t="s">
        <v>4074</v>
      </c>
      <c r="D1064" t="s">
        <v>4113</v>
      </c>
      <c r="F1064" t="s">
        <v>4126</v>
      </c>
      <c r="G1064" s="9" t="s">
        <v>453</v>
      </c>
      <c r="H1064" t="s">
        <v>452</v>
      </c>
      <c r="I1064" t="s">
        <v>13</v>
      </c>
      <c r="J1064" s="2">
        <v>9022</v>
      </c>
    </row>
    <row r="1065" spans="1:10" hidden="1" x14ac:dyDescent="0.25">
      <c r="A1065" t="s">
        <v>3567</v>
      </c>
      <c r="C1065" t="s">
        <v>4074</v>
      </c>
      <c r="D1065" t="s">
        <v>4113</v>
      </c>
      <c r="F1065" t="s">
        <v>4126</v>
      </c>
      <c r="G1065" s="9" t="s">
        <v>455</v>
      </c>
      <c r="H1065" t="s">
        <v>454</v>
      </c>
      <c r="I1065" t="s">
        <v>13</v>
      </c>
      <c r="J1065" s="2">
        <v>8917</v>
      </c>
    </row>
    <row r="1066" spans="1:10" hidden="1" x14ac:dyDescent="0.25">
      <c r="A1066" t="s">
        <v>3568</v>
      </c>
      <c r="C1066" t="s">
        <v>4074</v>
      </c>
      <c r="D1066" t="s">
        <v>4113</v>
      </c>
      <c r="F1066" t="s">
        <v>4126</v>
      </c>
      <c r="G1066" s="9" t="s">
        <v>457</v>
      </c>
      <c r="H1066" t="s">
        <v>456</v>
      </c>
      <c r="I1066" t="s">
        <v>37</v>
      </c>
      <c r="J1066" s="2">
        <v>8911</v>
      </c>
    </row>
    <row r="1067" spans="1:10" hidden="1" x14ac:dyDescent="0.25">
      <c r="A1067" t="s">
        <v>3569</v>
      </c>
      <c r="C1067" t="s">
        <v>4074</v>
      </c>
      <c r="D1067" t="s">
        <v>4113</v>
      </c>
      <c r="F1067" t="s">
        <v>4126</v>
      </c>
      <c r="G1067" s="9" t="s">
        <v>458</v>
      </c>
      <c r="H1067" t="s">
        <v>456</v>
      </c>
      <c r="I1067" t="s">
        <v>320</v>
      </c>
      <c r="J1067" s="2">
        <v>8911</v>
      </c>
    </row>
    <row r="1068" spans="1:10" hidden="1" x14ac:dyDescent="0.25">
      <c r="A1068" t="s">
        <v>3570</v>
      </c>
      <c r="C1068" t="s">
        <v>4074</v>
      </c>
      <c r="D1068" t="s">
        <v>4113</v>
      </c>
      <c r="F1068" t="s">
        <v>4126</v>
      </c>
      <c r="G1068" s="9" t="s">
        <v>460</v>
      </c>
      <c r="H1068" t="s">
        <v>459</v>
      </c>
      <c r="I1068" t="s">
        <v>5</v>
      </c>
      <c r="J1068" s="2">
        <v>8880</v>
      </c>
    </row>
    <row r="1069" spans="1:10" hidden="1" x14ac:dyDescent="0.25">
      <c r="A1069" t="s">
        <v>3571</v>
      </c>
      <c r="C1069" t="s">
        <v>4074</v>
      </c>
      <c r="D1069" t="s">
        <v>4113</v>
      </c>
      <c r="F1069" t="s">
        <v>4126</v>
      </c>
      <c r="G1069" s="9" t="s">
        <v>461</v>
      </c>
      <c r="H1069" t="s">
        <v>459</v>
      </c>
      <c r="I1069" t="s">
        <v>320</v>
      </c>
      <c r="J1069" s="2">
        <v>8880</v>
      </c>
    </row>
    <row r="1070" spans="1:10" hidden="1" x14ac:dyDescent="0.25">
      <c r="A1070" t="s">
        <v>3572</v>
      </c>
      <c r="C1070" t="s">
        <v>4074</v>
      </c>
      <c r="D1070" t="s">
        <v>4113</v>
      </c>
      <c r="F1070" t="s">
        <v>4126</v>
      </c>
      <c r="G1070" s="9" t="s">
        <v>463</v>
      </c>
      <c r="H1070" t="s">
        <v>462</v>
      </c>
      <c r="I1070" t="s">
        <v>13</v>
      </c>
      <c r="J1070" s="2">
        <v>8782</v>
      </c>
    </row>
    <row r="1071" spans="1:10" hidden="1" x14ac:dyDescent="0.25">
      <c r="A1071" t="s">
        <v>3573</v>
      </c>
      <c r="C1071" t="s">
        <v>4074</v>
      </c>
      <c r="D1071" t="s">
        <v>4113</v>
      </c>
      <c r="F1071" t="s">
        <v>4126</v>
      </c>
      <c r="G1071" s="9" t="s">
        <v>465</v>
      </c>
      <c r="H1071" t="s">
        <v>464</v>
      </c>
      <c r="I1071" t="s">
        <v>13</v>
      </c>
      <c r="J1071" s="2">
        <v>8680</v>
      </c>
    </row>
    <row r="1072" spans="1:10" hidden="1" x14ac:dyDescent="0.25">
      <c r="A1072" t="s">
        <v>3574</v>
      </c>
      <c r="C1072" t="s">
        <v>4074</v>
      </c>
      <c r="D1072" t="s">
        <v>4113</v>
      </c>
      <c r="F1072" t="s">
        <v>4126</v>
      </c>
      <c r="G1072" s="9" t="s">
        <v>467</v>
      </c>
      <c r="H1072" t="s">
        <v>464</v>
      </c>
      <c r="I1072" t="s">
        <v>466</v>
      </c>
      <c r="J1072" s="2">
        <v>8680</v>
      </c>
    </row>
    <row r="1073" spans="1:10" hidden="1" x14ac:dyDescent="0.25">
      <c r="A1073" t="s">
        <v>3575</v>
      </c>
      <c r="C1073" t="s">
        <v>4074</v>
      </c>
      <c r="D1073" t="s">
        <v>4113</v>
      </c>
      <c r="F1073" t="s">
        <v>4126</v>
      </c>
      <c r="G1073" s="9" t="s">
        <v>468</v>
      </c>
      <c r="H1073" t="s">
        <v>464</v>
      </c>
      <c r="I1073" t="s">
        <v>10</v>
      </c>
      <c r="J1073" s="2">
        <v>8680</v>
      </c>
    </row>
    <row r="1074" spans="1:10" hidden="1" x14ac:dyDescent="0.25">
      <c r="A1074" t="s">
        <v>3576</v>
      </c>
      <c r="C1074" t="s">
        <v>4074</v>
      </c>
      <c r="D1074" t="s">
        <v>4113</v>
      </c>
      <c r="F1074" t="s">
        <v>4126</v>
      </c>
      <c r="G1074" s="9" t="s">
        <v>473</v>
      </c>
      <c r="H1074" t="s">
        <v>472</v>
      </c>
      <c r="I1074" t="s">
        <v>13</v>
      </c>
      <c r="J1074" s="2">
        <v>8667</v>
      </c>
    </row>
    <row r="1075" spans="1:10" hidden="1" x14ac:dyDescent="0.25">
      <c r="A1075" t="s">
        <v>3577</v>
      </c>
      <c r="C1075" t="s">
        <v>4074</v>
      </c>
      <c r="D1075" t="s">
        <v>4113</v>
      </c>
      <c r="F1075" t="s">
        <v>4126</v>
      </c>
      <c r="G1075" s="9" t="s">
        <v>477</v>
      </c>
      <c r="H1075" t="s">
        <v>476</v>
      </c>
      <c r="I1075" t="s">
        <v>13</v>
      </c>
      <c r="J1075" s="2">
        <v>8498</v>
      </c>
    </row>
    <row r="1076" spans="1:10" hidden="1" x14ac:dyDescent="0.25">
      <c r="A1076" t="s">
        <v>3578</v>
      </c>
      <c r="C1076" t="s">
        <v>4074</v>
      </c>
      <c r="D1076" t="s">
        <v>4113</v>
      </c>
      <c r="F1076" t="s">
        <v>4126</v>
      </c>
      <c r="G1076" s="9" t="s">
        <v>478</v>
      </c>
      <c r="H1076" t="s">
        <v>476</v>
      </c>
      <c r="I1076" t="s">
        <v>13</v>
      </c>
      <c r="J1076" s="2">
        <v>8498</v>
      </c>
    </row>
    <row r="1077" spans="1:10" hidden="1" x14ac:dyDescent="0.25">
      <c r="A1077" t="s">
        <v>3579</v>
      </c>
      <c r="C1077" t="s">
        <v>4074</v>
      </c>
      <c r="D1077" t="s">
        <v>4113</v>
      </c>
      <c r="F1077" t="s">
        <v>4126</v>
      </c>
      <c r="G1077" s="9" t="s">
        <v>479</v>
      </c>
      <c r="H1077" t="s">
        <v>476</v>
      </c>
      <c r="I1077" t="s">
        <v>10</v>
      </c>
      <c r="J1077" s="2">
        <v>8498</v>
      </c>
    </row>
    <row r="1078" spans="1:10" hidden="1" x14ac:dyDescent="0.25">
      <c r="A1078" t="s">
        <v>3580</v>
      </c>
      <c r="C1078" t="s">
        <v>4074</v>
      </c>
      <c r="D1078" t="s">
        <v>4113</v>
      </c>
      <c r="F1078" t="s">
        <v>4126</v>
      </c>
      <c r="G1078" s="9" t="s">
        <v>480</v>
      </c>
      <c r="H1078" t="s">
        <v>476</v>
      </c>
      <c r="I1078" t="s">
        <v>202</v>
      </c>
      <c r="J1078" s="2">
        <v>8498</v>
      </c>
    </row>
    <row r="1079" spans="1:10" hidden="1" x14ac:dyDescent="0.25">
      <c r="A1079" t="s">
        <v>3581</v>
      </c>
      <c r="C1079" t="s">
        <v>4074</v>
      </c>
      <c r="D1079" t="s">
        <v>4113</v>
      </c>
      <c r="F1079" t="s">
        <v>4126</v>
      </c>
      <c r="G1079" s="9" t="s">
        <v>486</v>
      </c>
      <c r="H1079" t="s">
        <v>485</v>
      </c>
      <c r="I1079" t="s">
        <v>13</v>
      </c>
      <c r="J1079" s="2">
        <v>8347</v>
      </c>
    </row>
    <row r="1080" spans="1:10" hidden="1" x14ac:dyDescent="0.25">
      <c r="A1080" t="s">
        <v>3582</v>
      </c>
      <c r="C1080" t="s">
        <v>4074</v>
      </c>
      <c r="D1080" t="s">
        <v>4113</v>
      </c>
      <c r="F1080" t="s">
        <v>4126</v>
      </c>
      <c r="G1080" s="9" t="s">
        <v>487</v>
      </c>
      <c r="H1080" t="s">
        <v>485</v>
      </c>
      <c r="I1080" t="s">
        <v>10</v>
      </c>
      <c r="J1080" s="2">
        <v>8347</v>
      </c>
    </row>
    <row r="1081" spans="1:10" hidden="1" x14ac:dyDescent="0.25">
      <c r="A1081" t="s">
        <v>3583</v>
      </c>
      <c r="C1081" t="s">
        <v>4074</v>
      </c>
      <c r="D1081" t="s">
        <v>4113</v>
      </c>
      <c r="F1081" t="s">
        <v>4126</v>
      </c>
      <c r="G1081" s="9" t="s">
        <v>489</v>
      </c>
      <c r="H1081" t="s">
        <v>488</v>
      </c>
      <c r="I1081" t="s">
        <v>207</v>
      </c>
      <c r="J1081" s="2">
        <v>8280</v>
      </c>
    </row>
    <row r="1082" spans="1:10" hidden="1" x14ac:dyDescent="0.25">
      <c r="A1082" t="s">
        <v>3584</v>
      </c>
      <c r="C1082" t="s">
        <v>4074</v>
      </c>
      <c r="D1082" t="s">
        <v>4113</v>
      </c>
      <c r="F1082" t="s">
        <v>4126</v>
      </c>
      <c r="G1082" s="9" t="s">
        <v>491</v>
      </c>
      <c r="H1082" t="s">
        <v>490</v>
      </c>
      <c r="I1082" t="s">
        <v>37</v>
      </c>
      <c r="J1082" s="2">
        <v>8218</v>
      </c>
    </row>
    <row r="1083" spans="1:10" hidden="1" x14ac:dyDescent="0.25">
      <c r="A1083" t="s">
        <v>3585</v>
      </c>
      <c r="C1083" t="s">
        <v>4074</v>
      </c>
      <c r="D1083" t="s">
        <v>4113</v>
      </c>
      <c r="F1083" t="s">
        <v>4126</v>
      </c>
      <c r="G1083" s="9" t="s">
        <v>496</v>
      </c>
      <c r="H1083" t="s">
        <v>495</v>
      </c>
      <c r="I1083" t="s">
        <v>320</v>
      </c>
      <c r="J1083" s="2">
        <v>7979</v>
      </c>
    </row>
    <row r="1084" spans="1:10" hidden="1" x14ac:dyDescent="0.25">
      <c r="A1084" t="s">
        <v>3586</v>
      </c>
      <c r="C1084" t="s">
        <v>4074</v>
      </c>
      <c r="D1084" t="s">
        <v>4113</v>
      </c>
      <c r="F1084" t="s">
        <v>4126</v>
      </c>
      <c r="G1084" s="9" t="s">
        <v>502</v>
      </c>
      <c r="H1084" t="s">
        <v>501</v>
      </c>
      <c r="I1084" t="s">
        <v>13</v>
      </c>
      <c r="J1084" s="2">
        <v>7880</v>
      </c>
    </row>
    <row r="1085" spans="1:10" hidden="1" x14ac:dyDescent="0.25">
      <c r="A1085" t="s">
        <v>3587</v>
      </c>
      <c r="C1085" t="s">
        <v>4074</v>
      </c>
      <c r="D1085" t="s">
        <v>4113</v>
      </c>
      <c r="F1085" t="s">
        <v>4126</v>
      </c>
      <c r="G1085" s="9" t="s">
        <v>503</v>
      </c>
      <c r="H1085" t="s">
        <v>501</v>
      </c>
      <c r="I1085" t="s">
        <v>89</v>
      </c>
      <c r="J1085" s="2">
        <v>7880</v>
      </c>
    </row>
    <row r="1086" spans="1:10" hidden="1" x14ac:dyDescent="0.25">
      <c r="A1086" t="s">
        <v>3588</v>
      </c>
      <c r="C1086" t="s">
        <v>4074</v>
      </c>
      <c r="D1086" t="s">
        <v>4113</v>
      </c>
      <c r="F1086" t="s">
        <v>4126</v>
      </c>
      <c r="G1086" s="9" t="s">
        <v>505</v>
      </c>
      <c r="H1086" t="s">
        <v>504</v>
      </c>
      <c r="I1086" t="s">
        <v>13</v>
      </c>
      <c r="J1086" s="2">
        <v>7861</v>
      </c>
    </row>
    <row r="1087" spans="1:10" hidden="1" x14ac:dyDescent="0.25">
      <c r="A1087" t="s">
        <v>3589</v>
      </c>
      <c r="C1087" t="s">
        <v>4074</v>
      </c>
      <c r="D1087" t="s">
        <v>4113</v>
      </c>
      <c r="F1087" t="s">
        <v>4126</v>
      </c>
      <c r="G1087" s="9" t="s">
        <v>516</v>
      </c>
      <c r="H1087" t="s">
        <v>515</v>
      </c>
      <c r="I1087" t="s">
        <v>13</v>
      </c>
      <c r="J1087" s="2">
        <v>7566</v>
      </c>
    </row>
    <row r="1088" spans="1:10" hidden="1" x14ac:dyDescent="0.25">
      <c r="A1088" t="s">
        <v>3590</v>
      </c>
      <c r="C1088" t="s">
        <v>4074</v>
      </c>
      <c r="D1088" t="s">
        <v>4113</v>
      </c>
      <c r="F1088" t="s">
        <v>4126</v>
      </c>
      <c r="G1088" s="9" t="s">
        <v>517</v>
      </c>
      <c r="H1088" t="s">
        <v>515</v>
      </c>
      <c r="I1088" t="s">
        <v>13</v>
      </c>
      <c r="J1088" s="2">
        <v>7566</v>
      </c>
    </row>
    <row r="1089" spans="1:10" hidden="1" x14ac:dyDescent="0.25">
      <c r="A1089" t="s">
        <v>3591</v>
      </c>
      <c r="C1089" t="s">
        <v>4074</v>
      </c>
      <c r="D1089" t="s">
        <v>4113</v>
      </c>
      <c r="F1089" t="s">
        <v>4126</v>
      </c>
      <c r="G1089" s="9" t="s">
        <v>525</v>
      </c>
      <c r="H1089" t="s">
        <v>524</v>
      </c>
      <c r="I1089" t="s">
        <v>13</v>
      </c>
      <c r="J1089" s="2">
        <v>7518</v>
      </c>
    </row>
    <row r="1090" spans="1:10" hidden="1" x14ac:dyDescent="0.25">
      <c r="A1090" t="s">
        <v>3592</v>
      </c>
      <c r="C1090" t="s">
        <v>4074</v>
      </c>
      <c r="D1090" t="s">
        <v>4113</v>
      </c>
      <c r="F1090" t="s">
        <v>4126</v>
      </c>
      <c r="G1090" s="9" t="s">
        <v>526</v>
      </c>
      <c r="H1090" t="s">
        <v>524</v>
      </c>
      <c r="I1090" t="s">
        <v>320</v>
      </c>
      <c r="J1090" s="2">
        <v>7518</v>
      </c>
    </row>
    <row r="1091" spans="1:10" hidden="1" x14ac:dyDescent="0.25">
      <c r="A1091" t="s">
        <v>3593</v>
      </c>
      <c r="C1091" t="s">
        <v>4074</v>
      </c>
      <c r="D1091" t="s">
        <v>4113</v>
      </c>
      <c r="F1091" t="s">
        <v>4126</v>
      </c>
      <c r="G1091" s="9" t="s">
        <v>531</v>
      </c>
      <c r="H1091" t="s">
        <v>530</v>
      </c>
      <c r="I1091" t="s">
        <v>13</v>
      </c>
      <c r="J1091" s="2">
        <v>7294</v>
      </c>
    </row>
    <row r="1092" spans="1:10" hidden="1" x14ac:dyDescent="0.25">
      <c r="A1092" t="s">
        <v>3594</v>
      </c>
      <c r="C1092" t="s">
        <v>4074</v>
      </c>
      <c r="D1092" t="s">
        <v>4113</v>
      </c>
      <c r="F1092" t="s">
        <v>4126</v>
      </c>
      <c r="G1092" s="9" t="s">
        <v>532</v>
      </c>
      <c r="H1092" t="s">
        <v>530</v>
      </c>
      <c r="I1092" t="s">
        <v>13</v>
      </c>
      <c r="J1092" s="2">
        <v>7294</v>
      </c>
    </row>
    <row r="1093" spans="1:10" hidden="1" x14ac:dyDescent="0.25">
      <c r="A1093" t="s">
        <v>3595</v>
      </c>
      <c r="C1093" t="s">
        <v>4074</v>
      </c>
      <c r="D1093" t="s">
        <v>4113</v>
      </c>
      <c r="F1093" t="s">
        <v>4126</v>
      </c>
      <c r="G1093" s="9" t="s">
        <v>534</v>
      </c>
      <c r="H1093" t="s">
        <v>533</v>
      </c>
      <c r="I1093" t="s">
        <v>13</v>
      </c>
      <c r="J1093" s="2">
        <v>7285</v>
      </c>
    </row>
    <row r="1094" spans="1:10" hidden="1" x14ac:dyDescent="0.25">
      <c r="A1094" t="s">
        <v>3596</v>
      </c>
      <c r="C1094" t="s">
        <v>4074</v>
      </c>
      <c r="D1094" t="s">
        <v>4113</v>
      </c>
      <c r="F1094" t="s">
        <v>4126</v>
      </c>
      <c r="G1094" s="9" t="s">
        <v>536</v>
      </c>
      <c r="H1094" t="s">
        <v>535</v>
      </c>
      <c r="I1094" t="s">
        <v>13</v>
      </c>
      <c r="J1094" s="2">
        <v>7217</v>
      </c>
    </row>
    <row r="1095" spans="1:10" hidden="1" x14ac:dyDescent="0.25">
      <c r="A1095" t="s">
        <v>3597</v>
      </c>
      <c r="C1095" t="s">
        <v>4074</v>
      </c>
      <c r="D1095" t="s">
        <v>4113</v>
      </c>
      <c r="F1095" t="s">
        <v>4126</v>
      </c>
      <c r="G1095" s="9" t="s">
        <v>537</v>
      </c>
      <c r="H1095" t="s">
        <v>535</v>
      </c>
      <c r="I1095" t="s">
        <v>89</v>
      </c>
      <c r="J1095" s="2">
        <v>7217</v>
      </c>
    </row>
    <row r="1096" spans="1:10" hidden="1" x14ac:dyDescent="0.25">
      <c r="A1096" t="s">
        <v>3598</v>
      </c>
      <c r="C1096" t="s">
        <v>4074</v>
      </c>
      <c r="D1096" t="s">
        <v>4113</v>
      </c>
      <c r="F1096" t="s">
        <v>4126</v>
      </c>
      <c r="G1096" s="9" t="s">
        <v>368</v>
      </c>
      <c r="H1096" t="s">
        <v>538</v>
      </c>
      <c r="I1096" t="s">
        <v>13</v>
      </c>
      <c r="J1096" s="2">
        <v>7212</v>
      </c>
    </row>
    <row r="1097" spans="1:10" hidden="1" x14ac:dyDescent="0.25">
      <c r="A1097" t="s">
        <v>3599</v>
      </c>
      <c r="C1097" t="s">
        <v>4074</v>
      </c>
      <c r="D1097" t="s">
        <v>4113</v>
      </c>
      <c r="F1097" t="s">
        <v>4126</v>
      </c>
      <c r="G1097" s="9" t="s">
        <v>539</v>
      </c>
      <c r="H1097" t="s">
        <v>538</v>
      </c>
      <c r="I1097" t="s">
        <v>89</v>
      </c>
      <c r="J1097" s="2">
        <v>7212</v>
      </c>
    </row>
    <row r="1098" spans="1:10" hidden="1" x14ac:dyDescent="0.25">
      <c r="A1098" t="s">
        <v>3600</v>
      </c>
      <c r="C1098" t="s">
        <v>4074</v>
      </c>
      <c r="D1098" t="s">
        <v>4113</v>
      </c>
      <c r="F1098" t="s">
        <v>4126</v>
      </c>
      <c r="G1098" s="9" t="s">
        <v>545</v>
      </c>
      <c r="H1098" t="s">
        <v>544</v>
      </c>
      <c r="I1098" t="s">
        <v>13</v>
      </c>
      <c r="J1098" s="2">
        <v>7028</v>
      </c>
    </row>
    <row r="1099" spans="1:10" hidden="1" x14ac:dyDescent="0.25">
      <c r="A1099" t="s">
        <v>3601</v>
      </c>
      <c r="C1099" t="s">
        <v>4074</v>
      </c>
      <c r="D1099" t="s">
        <v>4113</v>
      </c>
      <c r="F1099" t="s">
        <v>4126</v>
      </c>
      <c r="G1099" s="9" t="s">
        <v>550</v>
      </c>
      <c r="H1099" t="s">
        <v>549</v>
      </c>
      <c r="I1099" t="s">
        <v>207</v>
      </c>
      <c r="J1099" s="2">
        <v>6970</v>
      </c>
    </row>
    <row r="1100" spans="1:10" hidden="1" x14ac:dyDescent="0.25">
      <c r="A1100" t="s">
        <v>3602</v>
      </c>
      <c r="C1100" t="s">
        <v>4074</v>
      </c>
      <c r="D1100" t="s">
        <v>4113</v>
      </c>
      <c r="F1100" t="s">
        <v>4126</v>
      </c>
      <c r="G1100" s="9" t="s">
        <v>552</v>
      </c>
      <c r="H1100" t="s">
        <v>549</v>
      </c>
      <c r="I1100" t="s">
        <v>551</v>
      </c>
      <c r="J1100" s="2">
        <v>6970</v>
      </c>
    </row>
    <row r="1101" spans="1:10" hidden="1" x14ac:dyDescent="0.25">
      <c r="A1101" t="s">
        <v>3603</v>
      </c>
      <c r="C1101" t="s">
        <v>4074</v>
      </c>
      <c r="D1101" t="s">
        <v>4113</v>
      </c>
      <c r="F1101" t="s">
        <v>4126</v>
      </c>
      <c r="G1101" s="9" t="s">
        <v>552</v>
      </c>
      <c r="H1101" t="s">
        <v>549</v>
      </c>
      <c r="I1101" t="s">
        <v>553</v>
      </c>
      <c r="J1101" s="2">
        <v>6970</v>
      </c>
    </row>
    <row r="1102" spans="1:10" hidden="1" x14ac:dyDescent="0.25">
      <c r="A1102" t="s">
        <v>3604</v>
      </c>
      <c r="C1102" t="s">
        <v>4074</v>
      </c>
      <c r="D1102" t="s">
        <v>4113</v>
      </c>
      <c r="F1102" t="s">
        <v>4126</v>
      </c>
      <c r="G1102" s="9" t="s">
        <v>555</v>
      </c>
      <c r="H1102" t="s">
        <v>554</v>
      </c>
      <c r="I1102" t="s">
        <v>13</v>
      </c>
      <c r="J1102" s="2">
        <v>6741</v>
      </c>
    </row>
    <row r="1103" spans="1:10" hidden="1" x14ac:dyDescent="0.25">
      <c r="A1103" t="s">
        <v>3605</v>
      </c>
      <c r="C1103" t="s">
        <v>4074</v>
      </c>
      <c r="D1103" t="s">
        <v>4113</v>
      </c>
      <c r="F1103" t="s">
        <v>4126</v>
      </c>
      <c r="G1103" s="9" t="s">
        <v>563</v>
      </c>
      <c r="H1103" t="s">
        <v>562</v>
      </c>
      <c r="I1103" t="s">
        <v>13</v>
      </c>
      <c r="J1103" s="2">
        <v>6616</v>
      </c>
    </row>
    <row r="1104" spans="1:10" hidden="1" x14ac:dyDescent="0.25">
      <c r="A1104" t="s">
        <v>3606</v>
      </c>
      <c r="C1104" t="s">
        <v>4074</v>
      </c>
      <c r="D1104" t="s">
        <v>4113</v>
      </c>
      <c r="F1104" t="s">
        <v>4126</v>
      </c>
      <c r="G1104" s="9" t="s">
        <v>564</v>
      </c>
      <c r="H1104" t="s">
        <v>562</v>
      </c>
      <c r="I1104" t="s">
        <v>37</v>
      </c>
      <c r="J1104" s="2">
        <v>6616</v>
      </c>
    </row>
    <row r="1105" spans="1:10" hidden="1" x14ac:dyDescent="0.25">
      <c r="A1105" t="s">
        <v>3607</v>
      </c>
      <c r="C1105" t="s">
        <v>4074</v>
      </c>
      <c r="D1105" t="s">
        <v>4113</v>
      </c>
      <c r="F1105" t="s">
        <v>4126</v>
      </c>
      <c r="G1105" s="9" t="s">
        <v>565</v>
      </c>
      <c r="H1105" t="s">
        <v>562</v>
      </c>
      <c r="I1105" t="s">
        <v>320</v>
      </c>
      <c r="J1105" s="2">
        <v>6616</v>
      </c>
    </row>
    <row r="1106" spans="1:10" hidden="1" x14ac:dyDescent="0.25">
      <c r="A1106" t="s">
        <v>3608</v>
      </c>
      <c r="C1106" t="s">
        <v>4074</v>
      </c>
      <c r="D1106" t="s">
        <v>4113</v>
      </c>
      <c r="F1106" t="s">
        <v>4126</v>
      </c>
      <c r="G1106" s="9" t="s">
        <v>566</v>
      </c>
      <c r="H1106" t="s">
        <v>562</v>
      </c>
      <c r="I1106" t="s">
        <v>10</v>
      </c>
      <c r="J1106" s="2">
        <v>6616</v>
      </c>
    </row>
    <row r="1107" spans="1:10" hidden="1" x14ac:dyDescent="0.25">
      <c r="A1107" t="s">
        <v>3609</v>
      </c>
      <c r="C1107" t="s">
        <v>4074</v>
      </c>
      <c r="D1107" t="s">
        <v>4113</v>
      </c>
      <c r="F1107" t="s">
        <v>4126</v>
      </c>
      <c r="G1107" s="9" t="s">
        <v>571</v>
      </c>
      <c r="H1107" t="s">
        <v>570</v>
      </c>
      <c r="I1107" t="s">
        <v>13</v>
      </c>
      <c r="J1107" s="2">
        <v>6558</v>
      </c>
    </row>
    <row r="1108" spans="1:10" hidden="1" x14ac:dyDescent="0.25">
      <c r="A1108" t="s">
        <v>3610</v>
      </c>
      <c r="C1108" t="s">
        <v>4074</v>
      </c>
      <c r="D1108" t="s">
        <v>4113</v>
      </c>
      <c r="F1108" t="s">
        <v>4126</v>
      </c>
      <c r="G1108" s="9" t="s">
        <v>572</v>
      </c>
      <c r="H1108" t="s">
        <v>570</v>
      </c>
      <c r="I1108" t="s">
        <v>89</v>
      </c>
      <c r="J1108" s="2">
        <v>6558</v>
      </c>
    </row>
    <row r="1109" spans="1:10" hidden="1" x14ac:dyDescent="0.25">
      <c r="A1109" t="s">
        <v>3611</v>
      </c>
      <c r="C1109" t="s">
        <v>4074</v>
      </c>
      <c r="D1109" t="s">
        <v>4113</v>
      </c>
      <c r="F1109" t="s">
        <v>4126</v>
      </c>
      <c r="G1109" s="9" t="s">
        <v>575</v>
      </c>
      <c r="H1109" t="s">
        <v>574</v>
      </c>
      <c r="I1109" t="s">
        <v>13</v>
      </c>
      <c r="J1109" s="2">
        <v>6539</v>
      </c>
    </row>
    <row r="1110" spans="1:10" hidden="1" x14ac:dyDescent="0.25">
      <c r="A1110" t="s">
        <v>3612</v>
      </c>
      <c r="C1110" t="s">
        <v>4074</v>
      </c>
      <c r="D1110" t="s">
        <v>4113</v>
      </c>
      <c r="F1110" t="s">
        <v>4126</v>
      </c>
      <c r="G1110" s="9" t="s">
        <v>576</v>
      </c>
      <c r="H1110" t="s">
        <v>574</v>
      </c>
      <c r="I1110" t="s">
        <v>37</v>
      </c>
      <c r="J1110" s="2">
        <v>6539</v>
      </c>
    </row>
    <row r="1111" spans="1:10" hidden="1" x14ac:dyDescent="0.25">
      <c r="A1111" t="s">
        <v>3613</v>
      </c>
      <c r="C1111" t="s">
        <v>4074</v>
      </c>
      <c r="D1111" t="s">
        <v>4113</v>
      </c>
      <c r="F1111" t="s">
        <v>4126</v>
      </c>
      <c r="G1111" s="9" t="s">
        <v>121</v>
      </c>
      <c r="H1111" t="s">
        <v>583</v>
      </c>
      <c r="I1111" t="s">
        <v>13</v>
      </c>
      <c r="J1111" s="2">
        <v>6319</v>
      </c>
    </row>
    <row r="1112" spans="1:10" hidden="1" x14ac:dyDescent="0.25">
      <c r="A1112" t="s">
        <v>3614</v>
      </c>
      <c r="C1112" t="s">
        <v>4074</v>
      </c>
      <c r="D1112" t="s">
        <v>4113</v>
      </c>
      <c r="F1112" t="s">
        <v>4126</v>
      </c>
      <c r="G1112" s="9" t="s">
        <v>585</v>
      </c>
      <c r="H1112" t="s">
        <v>584</v>
      </c>
      <c r="I1112" t="s">
        <v>13</v>
      </c>
      <c r="J1112" s="2">
        <v>6317</v>
      </c>
    </row>
    <row r="1113" spans="1:10" hidden="1" x14ac:dyDescent="0.25">
      <c r="A1113" t="s">
        <v>3615</v>
      </c>
      <c r="C1113" t="s">
        <v>4074</v>
      </c>
      <c r="D1113" t="s">
        <v>4113</v>
      </c>
      <c r="F1113" t="s">
        <v>4126</v>
      </c>
      <c r="G1113" s="9" t="s">
        <v>595</v>
      </c>
      <c r="H1113" t="s">
        <v>594</v>
      </c>
      <c r="I1113" t="s">
        <v>13</v>
      </c>
      <c r="J1113" s="2">
        <v>6069</v>
      </c>
    </row>
    <row r="1114" spans="1:10" hidden="1" x14ac:dyDescent="0.25">
      <c r="A1114" t="s">
        <v>3616</v>
      </c>
      <c r="C1114" t="s">
        <v>4074</v>
      </c>
      <c r="D1114" t="s">
        <v>4113</v>
      </c>
      <c r="F1114" t="s">
        <v>4126</v>
      </c>
      <c r="G1114" s="9" t="s">
        <v>597</v>
      </c>
      <c r="H1114" t="s">
        <v>596</v>
      </c>
      <c r="I1114" t="s">
        <v>13</v>
      </c>
      <c r="J1114" s="2">
        <v>6067</v>
      </c>
    </row>
    <row r="1115" spans="1:10" hidden="1" x14ac:dyDescent="0.25">
      <c r="A1115" t="s">
        <v>3617</v>
      </c>
      <c r="C1115" t="s">
        <v>4074</v>
      </c>
      <c r="D1115" t="s">
        <v>4113</v>
      </c>
      <c r="F1115" t="s">
        <v>4126</v>
      </c>
      <c r="G1115" s="9" t="s">
        <v>598</v>
      </c>
      <c r="H1115" t="s">
        <v>596</v>
      </c>
      <c r="I1115" t="s">
        <v>37</v>
      </c>
      <c r="J1115" s="2">
        <v>6067</v>
      </c>
    </row>
    <row r="1116" spans="1:10" hidden="1" x14ac:dyDescent="0.25">
      <c r="A1116" t="s">
        <v>3618</v>
      </c>
      <c r="C1116" t="s">
        <v>4074</v>
      </c>
      <c r="D1116" t="s">
        <v>4113</v>
      </c>
      <c r="F1116" t="s">
        <v>4126</v>
      </c>
      <c r="G1116" s="9" t="s">
        <v>599</v>
      </c>
      <c r="H1116" t="s">
        <v>596</v>
      </c>
      <c r="I1116" t="s">
        <v>202</v>
      </c>
      <c r="J1116" s="2">
        <v>6067</v>
      </c>
    </row>
    <row r="1117" spans="1:10" hidden="1" x14ac:dyDescent="0.25">
      <c r="A1117" t="s">
        <v>3619</v>
      </c>
      <c r="C1117" t="s">
        <v>4074</v>
      </c>
      <c r="D1117" t="s">
        <v>4113</v>
      </c>
      <c r="F1117" t="s">
        <v>4126</v>
      </c>
      <c r="G1117" s="9" t="s">
        <v>608</v>
      </c>
      <c r="H1117" t="s">
        <v>607</v>
      </c>
      <c r="I1117" t="s">
        <v>13</v>
      </c>
      <c r="J1117" s="2">
        <v>5920</v>
      </c>
    </row>
    <row r="1118" spans="1:10" hidden="1" x14ac:dyDescent="0.25">
      <c r="A1118" t="s">
        <v>3620</v>
      </c>
      <c r="C1118" t="s">
        <v>4074</v>
      </c>
      <c r="D1118" t="s">
        <v>4113</v>
      </c>
      <c r="F1118" t="s">
        <v>4126</v>
      </c>
      <c r="G1118" s="9" t="s">
        <v>609</v>
      </c>
      <c r="H1118" t="s">
        <v>607</v>
      </c>
      <c r="I1118" t="s">
        <v>37</v>
      </c>
      <c r="J1118" s="2">
        <v>5920</v>
      </c>
    </row>
    <row r="1119" spans="1:10" hidden="1" x14ac:dyDescent="0.25">
      <c r="A1119" t="s">
        <v>3621</v>
      </c>
      <c r="C1119" t="s">
        <v>4074</v>
      </c>
      <c r="D1119" t="s">
        <v>4113</v>
      </c>
      <c r="F1119" t="s">
        <v>4126</v>
      </c>
      <c r="G1119" s="9" t="s">
        <v>610</v>
      </c>
      <c r="H1119" t="s">
        <v>607</v>
      </c>
      <c r="I1119" t="s">
        <v>466</v>
      </c>
      <c r="J1119" s="2">
        <v>5920</v>
      </c>
    </row>
    <row r="1120" spans="1:10" hidden="1" x14ac:dyDescent="0.25">
      <c r="A1120" t="s">
        <v>3622</v>
      </c>
      <c r="C1120" t="s">
        <v>4074</v>
      </c>
      <c r="D1120" t="s">
        <v>4113</v>
      </c>
      <c r="F1120" t="s">
        <v>4126</v>
      </c>
      <c r="G1120" s="9" t="s">
        <v>611</v>
      </c>
      <c r="H1120" t="s">
        <v>607</v>
      </c>
      <c r="I1120" t="s">
        <v>10</v>
      </c>
      <c r="J1120" s="2">
        <v>5920</v>
      </c>
    </row>
    <row r="1121" spans="1:10" hidden="1" x14ac:dyDescent="0.25">
      <c r="A1121" t="s">
        <v>3623</v>
      </c>
      <c r="C1121" t="s">
        <v>4074</v>
      </c>
      <c r="D1121" t="s">
        <v>4113</v>
      </c>
      <c r="F1121" t="s">
        <v>4126</v>
      </c>
      <c r="G1121" s="9" t="s">
        <v>619</v>
      </c>
      <c r="H1121" t="s">
        <v>618</v>
      </c>
      <c r="I1121" t="s">
        <v>13</v>
      </c>
      <c r="J1121" s="2">
        <v>5832</v>
      </c>
    </row>
    <row r="1122" spans="1:10" hidden="1" x14ac:dyDescent="0.25">
      <c r="A1122" t="s">
        <v>3624</v>
      </c>
      <c r="C1122" t="s">
        <v>4074</v>
      </c>
      <c r="D1122" t="s">
        <v>4113</v>
      </c>
      <c r="F1122" t="s">
        <v>4126</v>
      </c>
      <c r="G1122" s="9" t="s">
        <v>623</v>
      </c>
      <c r="H1122" t="s">
        <v>622</v>
      </c>
      <c r="I1122" t="s">
        <v>13</v>
      </c>
      <c r="J1122" s="2">
        <v>5667</v>
      </c>
    </row>
    <row r="1123" spans="1:10" hidden="1" x14ac:dyDescent="0.25">
      <c r="A1123" t="s">
        <v>3625</v>
      </c>
      <c r="C1123" t="s">
        <v>4074</v>
      </c>
      <c r="D1123" t="s">
        <v>4113</v>
      </c>
      <c r="F1123" t="s">
        <v>4126</v>
      </c>
      <c r="G1123" s="9" t="s">
        <v>639</v>
      </c>
      <c r="H1123" t="s">
        <v>638</v>
      </c>
      <c r="I1123" t="s">
        <v>13</v>
      </c>
      <c r="J1123" s="2">
        <v>5454</v>
      </c>
    </row>
    <row r="1124" spans="1:10" hidden="1" x14ac:dyDescent="0.25">
      <c r="A1124" t="s">
        <v>3626</v>
      </c>
      <c r="C1124" t="s">
        <v>4074</v>
      </c>
      <c r="D1124" t="s">
        <v>4113</v>
      </c>
      <c r="F1124" t="s">
        <v>4126</v>
      </c>
      <c r="G1124" s="9" t="s">
        <v>641</v>
      </c>
      <c r="H1124" t="s">
        <v>640</v>
      </c>
      <c r="I1124" t="s">
        <v>13</v>
      </c>
      <c r="J1124" s="2">
        <v>5416</v>
      </c>
    </row>
    <row r="1125" spans="1:10" hidden="1" x14ac:dyDescent="0.25">
      <c r="A1125" t="s">
        <v>3627</v>
      </c>
      <c r="C1125" t="s">
        <v>4074</v>
      </c>
      <c r="D1125" t="s">
        <v>4113</v>
      </c>
      <c r="F1125" t="s">
        <v>4126</v>
      </c>
      <c r="G1125" s="9" t="s">
        <v>643</v>
      </c>
      <c r="H1125" t="s">
        <v>642</v>
      </c>
      <c r="I1125" t="s">
        <v>13</v>
      </c>
      <c r="J1125" s="2">
        <v>5406</v>
      </c>
    </row>
    <row r="1126" spans="1:10" hidden="1" x14ac:dyDescent="0.25">
      <c r="A1126" t="s">
        <v>3628</v>
      </c>
      <c r="C1126" t="s">
        <v>4074</v>
      </c>
      <c r="D1126" t="s">
        <v>4113</v>
      </c>
      <c r="F1126" t="s">
        <v>4126</v>
      </c>
      <c r="G1126" s="9" t="s">
        <v>647</v>
      </c>
      <c r="H1126" t="s">
        <v>646</v>
      </c>
      <c r="I1126" t="s">
        <v>176</v>
      </c>
      <c r="J1126" s="2">
        <v>5372</v>
      </c>
    </row>
    <row r="1127" spans="1:10" hidden="1" x14ac:dyDescent="0.25">
      <c r="A1127" t="s">
        <v>3629</v>
      </c>
      <c r="C1127" t="s">
        <v>4074</v>
      </c>
      <c r="D1127" t="s">
        <v>4113</v>
      </c>
      <c r="F1127" t="s">
        <v>4126</v>
      </c>
      <c r="G1127" s="9" t="s">
        <v>648</v>
      </c>
      <c r="H1127" t="s">
        <v>646</v>
      </c>
      <c r="I1127" t="s">
        <v>320</v>
      </c>
      <c r="J1127" s="2">
        <v>5372</v>
      </c>
    </row>
    <row r="1128" spans="1:10" hidden="1" x14ac:dyDescent="0.25">
      <c r="A1128" t="s">
        <v>3630</v>
      </c>
      <c r="C1128" t="s">
        <v>4074</v>
      </c>
      <c r="D1128" t="s">
        <v>4113</v>
      </c>
      <c r="F1128" t="s">
        <v>4126</v>
      </c>
      <c r="G1128" s="9" t="s">
        <v>649</v>
      </c>
      <c r="H1128" t="s">
        <v>646</v>
      </c>
      <c r="I1128" t="s">
        <v>207</v>
      </c>
      <c r="J1128" s="2">
        <v>5372</v>
      </c>
    </row>
    <row r="1129" spans="1:10" hidden="1" x14ac:dyDescent="0.25">
      <c r="A1129" t="s">
        <v>3631</v>
      </c>
      <c r="C1129" t="s">
        <v>4074</v>
      </c>
      <c r="D1129" t="s">
        <v>4113</v>
      </c>
      <c r="F1129" t="s">
        <v>4126</v>
      </c>
      <c r="G1129" s="9" t="s">
        <v>658</v>
      </c>
      <c r="H1129" t="s">
        <v>657</v>
      </c>
      <c r="I1129" t="s">
        <v>13</v>
      </c>
      <c r="J1129" s="2">
        <v>5260</v>
      </c>
    </row>
    <row r="1130" spans="1:10" hidden="1" x14ac:dyDescent="0.25">
      <c r="A1130" t="s">
        <v>3632</v>
      </c>
      <c r="C1130" t="s">
        <v>4074</v>
      </c>
      <c r="D1130" t="s">
        <v>4113</v>
      </c>
      <c r="F1130" t="s">
        <v>4126</v>
      </c>
      <c r="G1130" s="9" t="s">
        <v>660</v>
      </c>
      <c r="H1130" t="s">
        <v>659</v>
      </c>
      <c r="I1130" t="s">
        <v>89</v>
      </c>
      <c r="J1130" s="2">
        <v>5259</v>
      </c>
    </row>
    <row r="1131" spans="1:10" hidden="1" x14ac:dyDescent="0.25">
      <c r="A1131" t="s">
        <v>3633</v>
      </c>
      <c r="C1131" t="s">
        <v>4074</v>
      </c>
      <c r="D1131" t="s">
        <v>4113</v>
      </c>
      <c r="F1131" t="s">
        <v>4126</v>
      </c>
      <c r="G1131" s="9" t="s">
        <v>661</v>
      </c>
      <c r="H1131" t="s">
        <v>659</v>
      </c>
      <c r="I1131" t="s">
        <v>89</v>
      </c>
      <c r="J1131" s="2">
        <v>5259</v>
      </c>
    </row>
    <row r="1132" spans="1:10" hidden="1" x14ac:dyDescent="0.25">
      <c r="A1132" t="s">
        <v>3634</v>
      </c>
      <c r="C1132" t="s">
        <v>4074</v>
      </c>
      <c r="D1132" t="s">
        <v>4113</v>
      </c>
      <c r="F1132" t="s">
        <v>4126</v>
      </c>
      <c r="G1132" s="9" t="s">
        <v>665</v>
      </c>
      <c r="H1132" t="s">
        <v>664</v>
      </c>
      <c r="I1132" t="s">
        <v>13</v>
      </c>
      <c r="J1132" s="2">
        <v>5225</v>
      </c>
    </row>
    <row r="1133" spans="1:10" hidden="1" x14ac:dyDescent="0.25">
      <c r="A1133" t="s">
        <v>3635</v>
      </c>
      <c r="C1133" t="s">
        <v>4074</v>
      </c>
      <c r="D1133" t="s">
        <v>4113</v>
      </c>
      <c r="F1133" t="s">
        <v>4126</v>
      </c>
      <c r="G1133" s="9" t="s">
        <v>666</v>
      </c>
      <c r="H1133" t="s">
        <v>664</v>
      </c>
      <c r="I1133" t="s">
        <v>37</v>
      </c>
      <c r="J1133" s="2">
        <v>5225</v>
      </c>
    </row>
    <row r="1134" spans="1:10" hidden="1" x14ac:dyDescent="0.25">
      <c r="A1134" t="s">
        <v>3636</v>
      </c>
      <c r="C1134" t="s">
        <v>4074</v>
      </c>
      <c r="D1134" t="s">
        <v>4113</v>
      </c>
      <c r="F1134" t="s">
        <v>4126</v>
      </c>
      <c r="G1134" s="9" t="s">
        <v>668</v>
      </c>
      <c r="H1134" t="s">
        <v>667</v>
      </c>
      <c r="I1134" t="s">
        <v>13</v>
      </c>
      <c r="J1134" s="2">
        <v>5214</v>
      </c>
    </row>
    <row r="1135" spans="1:10" hidden="1" x14ac:dyDescent="0.25">
      <c r="A1135" t="s">
        <v>3637</v>
      </c>
      <c r="C1135" t="s">
        <v>4074</v>
      </c>
      <c r="D1135" t="s">
        <v>4113</v>
      </c>
      <c r="F1135" t="s">
        <v>4126</v>
      </c>
      <c r="G1135" s="9" t="s">
        <v>672</v>
      </c>
      <c r="H1135" t="s">
        <v>671</v>
      </c>
      <c r="I1135" t="s">
        <v>37</v>
      </c>
      <c r="J1135" s="2">
        <v>5208</v>
      </c>
    </row>
    <row r="1136" spans="1:10" hidden="1" x14ac:dyDescent="0.25">
      <c r="A1136" t="s">
        <v>3638</v>
      </c>
      <c r="C1136" t="s">
        <v>4074</v>
      </c>
      <c r="D1136" t="s">
        <v>4113</v>
      </c>
      <c r="F1136" t="s">
        <v>4126</v>
      </c>
      <c r="G1136" s="9" t="s">
        <v>673</v>
      </c>
      <c r="H1136" t="s">
        <v>671</v>
      </c>
      <c r="I1136" t="s">
        <v>37</v>
      </c>
      <c r="J1136" s="2">
        <v>5208</v>
      </c>
    </row>
    <row r="1137" spans="1:10" hidden="1" x14ac:dyDescent="0.25">
      <c r="A1137" t="s">
        <v>3639</v>
      </c>
      <c r="C1137" t="s">
        <v>4074</v>
      </c>
      <c r="D1137" t="s">
        <v>4113</v>
      </c>
      <c r="F1137" t="s">
        <v>4126</v>
      </c>
      <c r="G1137" s="9" t="s">
        <v>674</v>
      </c>
      <c r="H1137" t="s">
        <v>671</v>
      </c>
      <c r="I1137" t="s">
        <v>10</v>
      </c>
      <c r="J1137" s="2">
        <v>5208</v>
      </c>
    </row>
    <row r="1138" spans="1:10" hidden="1" x14ac:dyDescent="0.25">
      <c r="A1138" t="s">
        <v>3640</v>
      </c>
      <c r="C1138" t="s">
        <v>4074</v>
      </c>
      <c r="D1138" t="s">
        <v>4113</v>
      </c>
      <c r="F1138" t="s">
        <v>4126</v>
      </c>
      <c r="G1138" s="9" t="s">
        <v>676</v>
      </c>
      <c r="H1138" t="s">
        <v>675</v>
      </c>
      <c r="I1138" t="s">
        <v>13</v>
      </c>
      <c r="J1138" s="2">
        <v>5176</v>
      </c>
    </row>
    <row r="1139" spans="1:10" hidden="1" x14ac:dyDescent="0.25">
      <c r="A1139" t="s">
        <v>3641</v>
      </c>
      <c r="C1139" t="s">
        <v>4074</v>
      </c>
      <c r="D1139" t="s">
        <v>4113</v>
      </c>
      <c r="F1139" t="s">
        <v>4126</v>
      </c>
      <c r="G1139" s="9" t="s">
        <v>688</v>
      </c>
      <c r="H1139" t="s">
        <v>687</v>
      </c>
      <c r="I1139" t="s">
        <v>207</v>
      </c>
      <c r="J1139" s="2">
        <v>5118</v>
      </c>
    </row>
    <row r="1140" spans="1:10" hidden="1" x14ac:dyDescent="0.25">
      <c r="A1140" t="s">
        <v>3642</v>
      </c>
      <c r="C1140" t="s">
        <v>4074</v>
      </c>
      <c r="D1140" t="s">
        <v>4113</v>
      </c>
      <c r="F1140" t="s">
        <v>4126</v>
      </c>
      <c r="G1140" s="9" t="s">
        <v>690</v>
      </c>
      <c r="H1140" t="s">
        <v>689</v>
      </c>
      <c r="I1140" t="s">
        <v>13</v>
      </c>
      <c r="J1140" s="2">
        <v>5104</v>
      </c>
    </row>
    <row r="1141" spans="1:10" hidden="1" x14ac:dyDescent="0.25">
      <c r="A1141" t="s">
        <v>3643</v>
      </c>
      <c r="C1141" t="s">
        <v>4074</v>
      </c>
      <c r="D1141" t="s">
        <v>4113</v>
      </c>
      <c r="F1141" t="s">
        <v>4126</v>
      </c>
      <c r="G1141" s="9" t="s">
        <v>691</v>
      </c>
      <c r="H1141" t="s">
        <v>689</v>
      </c>
      <c r="I1141" t="s">
        <v>37</v>
      </c>
      <c r="J1141" s="2">
        <v>5104</v>
      </c>
    </row>
    <row r="1142" spans="1:10" hidden="1" x14ac:dyDescent="0.25">
      <c r="A1142" t="s">
        <v>3644</v>
      </c>
      <c r="C1142" t="s">
        <v>4074</v>
      </c>
      <c r="D1142" t="s">
        <v>4113</v>
      </c>
      <c r="F1142" t="s">
        <v>4126</v>
      </c>
      <c r="G1142" s="9" t="s">
        <v>696</v>
      </c>
      <c r="H1142" t="s">
        <v>695</v>
      </c>
      <c r="I1142" t="s">
        <v>13</v>
      </c>
      <c r="J1142" s="2">
        <v>5086</v>
      </c>
    </row>
    <row r="1143" spans="1:10" hidden="1" x14ac:dyDescent="0.25">
      <c r="A1143" t="s">
        <v>3645</v>
      </c>
      <c r="C1143" t="s">
        <v>4074</v>
      </c>
      <c r="D1143" t="s">
        <v>4113</v>
      </c>
      <c r="F1143" t="s">
        <v>4126</v>
      </c>
      <c r="G1143" s="9" t="s">
        <v>698</v>
      </c>
      <c r="H1143" t="s">
        <v>697</v>
      </c>
      <c r="I1143" t="s">
        <v>13</v>
      </c>
      <c r="J1143" s="2">
        <v>5076</v>
      </c>
    </row>
    <row r="1144" spans="1:10" hidden="1" x14ac:dyDescent="0.25">
      <c r="A1144" t="s">
        <v>3646</v>
      </c>
      <c r="C1144" t="s">
        <v>4074</v>
      </c>
      <c r="D1144" t="s">
        <v>4113</v>
      </c>
      <c r="F1144" t="s">
        <v>4126</v>
      </c>
      <c r="G1144" s="9" t="s">
        <v>699</v>
      </c>
      <c r="H1144" t="s">
        <v>697</v>
      </c>
      <c r="I1144" t="s">
        <v>37</v>
      </c>
      <c r="J1144" s="2">
        <v>5076</v>
      </c>
    </row>
    <row r="1145" spans="1:10" hidden="1" x14ac:dyDescent="0.25">
      <c r="A1145" t="s">
        <v>3647</v>
      </c>
      <c r="C1145" t="s">
        <v>4074</v>
      </c>
      <c r="D1145" t="s">
        <v>4113</v>
      </c>
      <c r="F1145" t="s">
        <v>4126</v>
      </c>
      <c r="G1145" s="9" t="s">
        <v>711</v>
      </c>
      <c r="H1145" t="s">
        <v>710</v>
      </c>
      <c r="I1145" t="s">
        <v>5</v>
      </c>
      <c r="J1145" s="2">
        <v>5014</v>
      </c>
    </row>
    <row r="1146" spans="1:10" hidden="1" x14ac:dyDescent="0.25">
      <c r="A1146" t="s">
        <v>3648</v>
      </c>
      <c r="C1146" t="s">
        <v>4074</v>
      </c>
      <c r="D1146" t="s">
        <v>4113</v>
      </c>
      <c r="F1146" t="s">
        <v>4126</v>
      </c>
      <c r="G1146" s="9" t="s">
        <v>712</v>
      </c>
      <c r="H1146" t="s">
        <v>710</v>
      </c>
      <c r="I1146" t="s">
        <v>5</v>
      </c>
      <c r="J1146" s="2">
        <v>5014</v>
      </c>
    </row>
    <row r="1147" spans="1:10" hidden="1" x14ac:dyDescent="0.25">
      <c r="A1147" t="s">
        <v>3649</v>
      </c>
      <c r="C1147" t="s">
        <v>4074</v>
      </c>
      <c r="D1147" t="s">
        <v>4113</v>
      </c>
      <c r="F1147" t="s">
        <v>4126</v>
      </c>
      <c r="G1147" s="9" t="s">
        <v>714</v>
      </c>
      <c r="H1147" t="s">
        <v>713</v>
      </c>
      <c r="I1147" t="s">
        <v>207</v>
      </c>
      <c r="J1147" s="2">
        <v>4989</v>
      </c>
    </row>
    <row r="1148" spans="1:10" hidden="1" x14ac:dyDescent="0.25">
      <c r="A1148" t="s">
        <v>3650</v>
      </c>
      <c r="C1148" t="s">
        <v>4074</v>
      </c>
      <c r="D1148" t="s">
        <v>4113</v>
      </c>
      <c r="F1148" t="s">
        <v>4126</v>
      </c>
      <c r="G1148" s="9" t="s">
        <v>718</v>
      </c>
      <c r="H1148" t="s">
        <v>717</v>
      </c>
      <c r="I1148" t="s">
        <v>207</v>
      </c>
      <c r="J1148" s="2">
        <v>4970</v>
      </c>
    </row>
    <row r="1149" spans="1:10" hidden="1" x14ac:dyDescent="0.25">
      <c r="A1149" t="s">
        <v>3651</v>
      </c>
      <c r="C1149" t="s">
        <v>4074</v>
      </c>
      <c r="D1149" t="s">
        <v>4113</v>
      </c>
      <c r="F1149" t="s">
        <v>4126</v>
      </c>
      <c r="G1149" s="9" t="s">
        <v>720</v>
      </c>
      <c r="H1149" t="s">
        <v>719</v>
      </c>
      <c r="I1149" t="s">
        <v>37</v>
      </c>
      <c r="J1149" s="2">
        <v>4966</v>
      </c>
    </row>
    <row r="1150" spans="1:10" hidden="1" x14ac:dyDescent="0.25">
      <c r="A1150" t="s">
        <v>3652</v>
      </c>
      <c r="C1150" t="s">
        <v>4074</v>
      </c>
      <c r="D1150" t="s">
        <v>4113</v>
      </c>
      <c r="F1150" t="s">
        <v>4126</v>
      </c>
      <c r="G1150" s="9" t="s">
        <v>722</v>
      </c>
      <c r="H1150" t="s">
        <v>721</v>
      </c>
      <c r="I1150" t="s">
        <v>13</v>
      </c>
      <c r="J1150" s="2">
        <v>4965</v>
      </c>
    </row>
    <row r="1151" spans="1:10" hidden="1" x14ac:dyDescent="0.25">
      <c r="A1151" t="s">
        <v>3653</v>
      </c>
      <c r="C1151" t="s">
        <v>4074</v>
      </c>
      <c r="D1151" t="s">
        <v>4113</v>
      </c>
      <c r="F1151" t="s">
        <v>4126</v>
      </c>
      <c r="G1151" s="9" t="s">
        <v>724</v>
      </c>
      <c r="H1151" t="s">
        <v>723</v>
      </c>
      <c r="I1151" t="s">
        <v>176</v>
      </c>
      <c r="J1151" s="2">
        <v>4965</v>
      </c>
    </row>
    <row r="1152" spans="1:10" hidden="1" x14ac:dyDescent="0.25">
      <c r="A1152" t="s">
        <v>3654</v>
      </c>
      <c r="C1152" t="s">
        <v>4074</v>
      </c>
      <c r="D1152" t="s">
        <v>4113</v>
      </c>
      <c r="F1152" t="s">
        <v>4126</v>
      </c>
      <c r="G1152" s="9" t="s">
        <v>726</v>
      </c>
      <c r="H1152" t="s">
        <v>725</v>
      </c>
      <c r="I1152" t="s">
        <v>207</v>
      </c>
      <c r="J1152" s="2">
        <v>4962</v>
      </c>
    </row>
    <row r="1153" spans="1:10" hidden="1" x14ac:dyDescent="0.25">
      <c r="A1153" t="s">
        <v>3655</v>
      </c>
      <c r="C1153" t="s">
        <v>4074</v>
      </c>
      <c r="D1153" t="s">
        <v>4113</v>
      </c>
      <c r="F1153" t="s">
        <v>4126</v>
      </c>
      <c r="G1153" s="9" t="s">
        <v>728</v>
      </c>
      <c r="H1153" t="s">
        <v>727</v>
      </c>
      <c r="I1153" t="s">
        <v>37</v>
      </c>
      <c r="J1153" s="2">
        <v>4959</v>
      </c>
    </row>
    <row r="1154" spans="1:10" hidden="1" x14ac:dyDescent="0.25">
      <c r="A1154" t="s">
        <v>3656</v>
      </c>
      <c r="C1154" t="s">
        <v>4074</v>
      </c>
      <c r="D1154" t="s">
        <v>4113</v>
      </c>
      <c r="F1154" t="s">
        <v>4126</v>
      </c>
      <c r="G1154" s="9" t="s">
        <v>729</v>
      </c>
      <c r="H1154" t="s">
        <v>727</v>
      </c>
      <c r="I1154" t="s">
        <v>207</v>
      </c>
      <c r="J1154" s="2">
        <v>4959</v>
      </c>
    </row>
    <row r="1155" spans="1:10" hidden="1" x14ac:dyDescent="0.25">
      <c r="A1155" t="s">
        <v>3657</v>
      </c>
      <c r="C1155" t="s">
        <v>4074</v>
      </c>
      <c r="D1155" t="s">
        <v>4113</v>
      </c>
      <c r="F1155" t="s">
        <v>4126</v>
      </c>
      <c r="G1155" s="9" t="s">
        <v>731</v>
      </c>
      <c r="H1155" t="s">
        <v>730</v>
      </c>
      <c r="I1155" t="s">
        <v>207</v>
      </c>
      <c r="J1155" s="2">
        <v>4947</v>
      </c>
    </row>
    <row r="1156" spans="1:10" hidden="1" x14ac:dyDescent="0.25">
      <c r="A1156" t="s">
        <v>3658</v>
      </c>
      <c r="C1156" t="s">
        <v>4074</v>
      </c>
      <c r="D1156" t="s">
        <v>4113</v>
      </c>
      <c r="F1156" t="s">
        <v>4126</v>
      </c>
      <c r="G1156" s="9" t="s">
        <v>733</v>
      </c>
      <c r="H1156" t="s">
        <v>732</v>
      </c>
      <c r="I1156" t="s">
        <v>13</v>
      </c>
      <c r="J1156" s="2">
        <v>4936</v>
      </c>
    </row>
    <row r="1157" spans="1:10" hidden="1" x14ac:dyDescent="0.25">
      <c r="A1157" t="s">
        <v>3659</v>
      </c>
      <c r="C1157" t="s">
        <v>4074</v>
      </c>
      <c r="D1157" t="s">
        <v>4113</v>
      </c>
      <c r="F1157" t="s">
        <v>4126</v>
      </c>
      <c r="G1157" s="9" t="s">
        <v>737</v>
      </c>
      <c r="H1157" t="s">
        <v>736</v>
      </c>
      <c r="I1157" t="s">
        <v>13</v>
      </c>
      <c r="J1157" s="2">
        <v>4929</v>
      </c>
    </row>
    <row r="1158" spans="1:10" hidden="1" x14ac:dyDescent="0.25">
      <c r="A1158" t="s">
        <v>3660</v>
      </c>
      <c r="C1158" t="s">
        <v>4074</v>
      </c>
      <c r="D1158" t="s">
        <v>4113</v>
      </c>
      <c r="F1158" t="s">
        <v>4126</v>
      </c>
      <c r="G1158" s="9" t="s">
        <v>738</v>
      </c>
      <c r="H1158" t="s">
        <v>736</v>
      </c>
      <c r="I1158" t="s">
        <v>320</v>
      </c>
      <c r="J1158" s="2">
        <v>4929</v>
      </c>
    </row>
    <row r="1159" spans="1:10" hidden="1" x14ac:dyDescent="0.25">
      <c r="A1159" t="s">
        <v>3661</v>
      </c>
      <c r="C1159" t="s">
        <v>4074</v>
      </c>
      <c r="D1159" t="s">
        <v>4113</v>
      </c>
      <c r="F1159" t="s">
        <v>4126</v>
      </c>
      <c r="G1159" s="9" t="s">
        <v>740</v>
      </c>
      <c r="H1159" t="s">
        <v>739</v>
      </c>
      <c r="I1159" t="s">
        <v>37</v>
      </c>
      <c r="J1159" s="2">
        <v>4921</v>
      </c>
    </row>
    <row r="1160" spans="1:10" hidden="1" x14ac:dyDescent="0.25">
      <c r="A1160" t="s">
        <v>3662</v>
      </c>
      <c r="C1160" t="s">
        <v>4074</v>
      </c>
      <c r="D1160" t="s">
        <v>4113</v>
      </c>
      <c r="F1160" t="s">
        <v>4126</v>
      </c>
      <c r="G1160" s="9" t="s">
        <v>742</v>
      </c>
      <c r="H1160" t="s">
        <v>741</v>
      </c>
      <c r="I1160" t="s">
        <v>320</v>
      </c>
      <c r="J1160" s="2">
        <v>4921</v>
      </c>
    </row>
    <row r="1161" spans="1:10" hidden="1" x14ac:dyDescent="0.25">
      <c r="A1161" t="s">
        <v>3663</v>
      </c>
      <c r="C1161" t="s">
        <v>4074</v>
      </c>
      <c r="D1161" t="s">
        <v>4113</v>
      </c>
      <c r="F1161" t="s">
        <v>4126</v>
      </c>
      <c r="G1161" s="9" t="s">
        <v>743</v>
      </c>
      <c r="H1161" t="s">
        <v>741</v>
      </c>
      <c r="I1161" t="s">
        <v>207</v>
      </c>
      <c r="J1161" s="2">
        <v>4921</v>
      </c>
    </row>
    <row r="1162" spans="1:10" hidden="1" x14ac:dyDescent="0.25">
      <c r="A1162" t="s">
        <v>3664</v>
      </c>
      <c r="C1162" t="s">
        <v>4074</v>
      </c>
      <c r="D1162" t="s">
        <v>4113</v>
      </c>
      <c r="F1162" t="s">
        <v>4126</v>
      </c>
      <c r="G1162" s="9" t="s">
        <v>745</v>
      </c>
      <c r="H1162" t="s">
        <v>744</v>
      </c>
      <c r="I1162" t="s">
        <v>13</v>
      </c>
      <c r="J1162" s="2">
        <v>4919</v>
      </c>
    </row>
    <row r="1163" spans="1:10" hidden="1" x14ac:dyDescent="0.25">
      <c r="A1163" t="s">
        <v>3665</v>
      </c>
      <c r="C1163" t="s">
        <v>4074</v>
      </c>
      <c r="D1163" t="s">
        <v>4113</v>
      </c>
      <c r="F1163" t="s">
        <v>4126</v>
      </c>
      <c r="G1163" s="9" t="s">
        <v>746</v>
      </c>
      <c r="H1163" t="s">
        <v>744</v>
      </c>
      <c r="I1163" t="s">
        <v>356</v>
      </c>
      <c r="J1163" s="2">
        <v>4919</v>
      </c>
    </row>
    <row r="1164" spans="1:10" hidden="1" x14ac:dyDescent="0.25">
      <c r="A1164" t="s">
        <v>3666</v>
      </c>
      <c r="C1164" t="s">
        <v>4074</v>
      </c>
      <c r="D1164" t="s">
        <v>4113</v>
      </c>
      <c r="F1164" t="s">
        <v>4126</v>
      </c>
      <c r="G1164" s="9" t="s">
        <v>747</v>
      </c>
      <c r="H1164" t="s">
        <v>744</v>
      </c>
      <c r="I1164" t="s">
        <v>89</v>
      </c>
      <c r="J1164" s="2">
        <v>4919</v>
      </c>
    </row>
    <row r="1165" spans="1:10" hidden="1" x14ac:dyDescent="0.25">
      <c r="A1165" t="s">
        <v>3667</v>
      </c>
      <c r="C1165" t="s">
        <v>4074</v>
      </c>
      <c r="D1165" t="s">
        <v>4113</v>
      </c>
      <c r="F1165" t="s">
        <v>4126</v>
      </c>
      <c r="G1165" s="9" t="s">
        <v>749</v>
      </c>
      <c r="H1165" t="s">
        <v>748</v>
      </c>
      <c r="I1165" t="s">
        <v>5</v>
      </c>
      <c r="J1165" s="2">
        <v>4917</v>
      </c>
    </row>
    <row r="1166" spans="1:10" hidden="1" x14ac:dyDescent="0.25">
      <c r="A1166" t="s">
        <v>3668</v>
      </c>
      <c r="C1166" t="s">
        <v>4074</v>
      </c>
      <c r="D1166" t="s">
        <v>4113</v>
      </c>
      <c r="F1166" t="s">
        <v>4126</v>
      </c>
      <c r="G1166" s="9" t="s">
        <v>751</v>
      </c>
      <c r="H1166" t="s">
        <v>750</v>
      </c>
      <c r="I1166" t="s">
        <v>207</v>
      </c>
      <c r="J1166" s="2">
        <v>4915</v>
      </c>
    </row>
    <row r="1167" spans="1:10" hidden="1" x14ac:dyDescent="0.25">
      <c r="A1167" t="s">
        <v>3669</v>
      </c>
      <c r="C1167" t="s">
        <v>4074</v>
      </c>
      <c r="D1167" t="s">
        <v>4113</v>
      </c>
      <c r="F1167" t="s">
        <v>4126</v>
      </c>
      <c r="G1167" s="9" t="s">
        <v>754</v>
      </c>
      <c r="H1167" t="s">
        <v>753</v>
      </c>
      <c r="I1167" t="s">
        <v>13</v>
      </c>
      <c r="J1167" s="2">
        <v>4904</v>
      </c>
    </row>
    <row r="1168" spans="1:10" hidden="1" x14ac:dyDescent="0.25">
      <c r="A1168" t="s">
        <v>3670</v>
      </c>
      <c r="C1168" t="s">
        <v>4074</v>
      </c>
      <c r="D1168" t="s">
        <v>4113</v>
      </c>
      <c r="F1168" t="s">
        <v>4126</v>
      </c>
      <c r="G1168" s="9" t="s">
        <v>756</v>
      </c>
      <c r="H1168" t="s">
        <v>755</v>
      </c>
      <c r="I1168" t="s">
        <v>176</v>
      </c>
      <c r="J1168" s="2">
        <v>4892</v>
      </c>
    </row>
    <row r="1169" spans="1:10" hidden="1" x14ac:dyDescent="0.25">
      <c r="A1169" t="s">
        <v>3671</v>
      </c>
      <c r="C1169" t="s">
        <v>4074</v>
      </c>
      <c r="D1169" t="s">
        <v>4113</v>
      </c>
      <c r="F1169" t="s">
        <v>4126</v>
      </c>
      <c r="G1169" s="9" t="s">
        <v>758</v>
      </c>
      <c r="H1169" t="s">
        <v>757</v>
      </c>
      <c r="I1169" t="s">
        <v>37</v>
      </c>
      <c r="J1169" s="2">
        <v>4891</v>
      </c>
    </row>
    <row r="1170" spans="1:10" hidden="1" x14ac:dyDescent="0.25">
      <c r="A1170" t="s">
        <v>3672</v>
      </c>
      <c r="C1170" t="s">
        <v>4074</v>
      </c>
      <c r="D1170" t="s">
        <v>4113</v>
      </c>
      <c r="F1170" t="s">
        <v>4126</v>
      </c>
      <c r="G1170" s="9" t="s">
        <v>760</v>
      </c>
      <c r="H1170" t="s">
        <v>759</v>
      </c>
      <c r="I1170" t="s">
        <v>207</v>
      </c>
      <c r="J1170" s="2">
        <v>4881</v>
      </c>
    </row>
    <row r="1171" spans="1:10" hidden="1" x14ac:dyDescent="0.25">
      <c r="A1171" t="s">
        <v>3673</v>
      </c>
      <c r="C1171" t="s">
        <v>4074</v>
      </c>
      <c r="D1171" t="s">
        <v>4113</v>
      </c>
      <c r="F1171" t="s">
        <v>4126</v>
      </c>
      <c r="G1171" s="9" t="s">
        <v>769</v>
      </c>
      <c r="H1171" t="s">
        <v>768</v>
      </c>
      <c r="I1171" t="s">
        <v>320</v>
      </c>
      <c r="J1171" s="2">
        <v>4840</v>
      </c>
    </row>
    <row r="1172" spans="1:10" hidden="1" x14ac:dyDescent="0.25">
      <c r="A1172" t="s">
        <v>3674</v>
      </c>
      <c r="C1172" t="s">
        <v>4074</v>
      </c>
      <c r="D1172" t="s">
        <v>4113</v>
      </c>
      <c r="F1172" t="s">
        <v>4126</v>
      </c>
      <c r="G1172" s="9" t="s">
        <v>770</v>
      </c>
      <c r="H1172" t="s">
        <v>768</v>
      </c>
      <c r="I1172" t="s">
        <v>320</v>
      </c>
      <c r="J1172" s="2">
        <v>4840</v>
      </c>
    </row>
    <row r="1173" spans="1:10" hidden="1" x14ac:dyDescent="0.25">
      <c r="A1173" t="s">
        <v>3675</v>
      </c>
      <c r="C1173" t="s">
        <v>4074</v>
      </c>
      <c r="D1173" t="s">
        <v>4113</v>
      </c>
      <c r="F1173" t="s">
        <v>4126</v>
      </c>
      <c r="G1173" s="9" t="s">
        <v>771</v>
      </c>
      <c r="H1173" t="s">
        <v>768</v>
      </c>
      <c r="I1173" t="s">
        <v>207</v>
      </c>
      <c r="J1173" s="2">
        <v>4840</v>
      </c>
    </row>
    <row r="1174" spans="1:10" hidden="1" x14ac:dyDescent="0.25">
      <c r="A1174" t="s">
        <v>3676</v>
      </c>
      <c r="C1174" t="s">
        <v>4074</v>
      </c>
      <c r="D1174" t="s">
        <v>4113</v>
      </c>
      <c r="F1174" t="s">
        <v>4126</v>
      </c>
      <c r="G1174" s="9" t="s">
        <v>773</v>
      </c>
      <c r="H1174" t="s">
        <v>772</v>
      </c>
      <c r="I1174" t="s">
        <v>13</v>
      </c>
      <c r="J1174" s="2">
        <v>4840</v>
      </c>
    </row>
    <row r="1175" spans="1:10" hidden="1" x14ac:dyDescent="0.25">
      <c r="A1175" t="s">
        <v>3677</v>
      </c>
      <c r="C1175" t="s">
        <v>4074</v>
      </c>
      <c r="D1175" t="s">
        <v>4113</v>
      </c>
      <c r="F1175" t="s">
        <v>4126</v>
      </c>
      <c r="G1175" s="9" t="s">
        <v>774</v>
      </c>
      <c r="H1175" t="s">
        <v>772</v>
      </c>
      <c r="I1175" t="s">
        <v>320</v>
      </c>
      <c r="J1175" s="2">
        <v>4840</v>
      </c>
    </row>
    <row r="1176" spans="1:10" hidden="1" x14ac:dyDescent="0.25">
      <c r="A1176" t="s">
        <v>3678</v>
      </c>
      <c r="C1176" t="s">
        <v>4074</v>
      </c>
      <c r="D1176" t="s">
        <v>4113</v>
      </c>
      <c r="F1176" t="s">
        <v>4126</v>
      </c>
      <c r="G1176" s="9" t="s">
        <v>776</v>
      </c>
      <c r="H1176" t="s">
        <v>775</v>
      </c>
      <c r="I1176" t="s">
        <v>13</v>
      </c>
      <c r="J1176" s="2">
        <v>4822</v>
      </c>
    </row>
    <row r="1177" spans="1:10" hidden="1" x14ac:dyDescent="0.25">
      <c r="A1177" t="s">
        <v>3679</v>
      </c>
      <c r="C1177" t="s">
        <v>4074</v>
      </c>
      <c r="D1177" t="s">
        <v>4113</v>
      </c>
      <c r="F1177" t="s">
        <v>4126</v>
      </c>
      <c r="G1177" s="9" t="s">
        <v>778</v>
      </c>
      <c r="H1177" t="s">
        <v>777</v>
      </c>
      <c r="I1177" t="s">
        <v>320</v>
      </c>
      <c r="J1177" s="2">
        <v>4815</v>
      </c>
    </row>
    <row r="1178" spans="1:10" hidden="1" x14ac:dyDescent="0.25">
      <c r="A1178" t="s">
        <v>3680</v>
      </c>
      <c r="C1178" t="s">
        <v>4074</v>
      </c>
      <c r="D1178" t="s">
        <v>4113</v>
      </c>
      <c r="F1178" t="s">
        <v>4126</v>
      </c>
      <c r="G1178" s="9" t="s">
        <v>779</v>
      </c>
      <c r="H1178" t="s">
        <v>777</v>
      </c>
      <c r="I1178" t="s">
        <v>89</v>
      </c>
      <c r="J1178" s="2">
        <v>4815</v>
      </c>
    </row>
    <row r="1179" spans="1:10" hidden="1" x14ac:dyDescent="0.25">
      <c r="A1179" t="s">
        <v>3681</v>
      </c>
      <c r="C1179" t="s">
        <v>4074</v>
      </c>
      <c r="D1179" t="s">
        <v>4113</v>
      </c>
      <c r="F1179" t="s">
        <v>4126</v>
      </c>
      <c r="G1179" s="9" t="s">
        <v>782</v>
      </c>
      <c r="H1179" t="s">
        <v>781</v>
      </c>
      <c r="I1179" t="s">
        <v>5</v>
      </c>
      <c r="J1179" s="2">
        <v>4807</v>
      </c>
    </row>
    <row r="1180" spans="1:10" hidden="1" x14ac:dyDescent="0.25">
      <c r="A1180" t="s">
        <v>3682</v>
      </c>
      <c r="C1180" t="s">
        <v>4074</v>
      </c>
      <c r="D1180" t="s">
        <v>4113</v>
      </c>
      <c r="F1180" t="s">
        <v>4126</v>
      </c>
      <c r="G1180" s="9" t="s">
        <v>784</v>
      </c>
      <c r="H1180" t="s">
        <v>783</v>
      </c>
      <c r="I1180" t="s">
        <v>176</v>
      </c>
      <c r="J1180" s="2">
        <v>4788</v>
      </c>
    </row>
    <row r="1181" spans="1:10" hidden="1" x14ac:dyDescent="0.25">
      <c r="A1181" t="s">
        <v>3683</v>
      </c>
      <c r="C1181" t="s">
        <v>4074</v>
      </c>
      <c r="D1181" t="s">
        <v>4113</v>
      </c>
      <c r="F1181" t="s">
        <v>4126</v>
      </c>
      <c r="G1181" s="9" t="s">
        <v>785</v>
      </c>
      <c r="H1181" t="s">
        <v>783</v>
      </c>
      <c r="I1181" t="s">
        <v>320</v>
      </c>
      <c r="J1181" s="2">
        <v>4788</v>
      </c>
    </row>
    <row r="1182" spans="1:10" hidden="1" x14ac:dyDescent="0.25">
      <c r="A1182" t="s">
        <v>3684</v>
      </c>
      <c r="C1182" t="s">
        <v>4074</v>
      </c>
      <c r="D1182" t="s">
        <v>4113</v>
      </c>
      <c r="F1182" t="s">
        <v>4126</v>
      </c>
      <c r="G1182" s="9" t="s">
        <v>788</v>
      </c>
      <c r="H1182" t="s">
        <v>787</v>
      </c>
      <c r="I1182" t="s">
        <v>13</v>
      </c>
      <c r="J1182" s="2">
        <v>4785</v>
      </c>
    </row>
    <row r="1183" spans="1:10" hidden="1" x14ac:dyDescent="0.25">
      <c r="A1183" t="s">
        <v>3685</v>
      </c>
      <c r="C1183" t="s">
        <v>4074</v>
      </c>
      <c r="D1183" t="s">
        <v>4113</v>
      </c>
      <c r="F1183" t="s">
        <v>4126</v>
      </c>
      <c r="G1183" s="9" t="s">
        <v>801</v>
      </c>
      <c r="H1183" t="s">
        <v>800</v>
      </c>
      <c r="I1183" t="s">
        <v>10</v>
      </c>
      <c r="J1183" s="2">
        <v>4732</v>
      </c>
    </row>
    <row r="1184" spans="1:10" hidden="1" x14ac:dyDescent="0.25">
      <c r="A1184" t="s">
        <v>3686</v>
      </c>
      <c r="C1184" t="s">
        <v>4074</v>
      </c>
      <c r="D1184" t="s">
        <v>4113</v>
      </c>
      <c r="F1184" t="s">
        <v>4126</v>
      </c>
      <c r="G1184" s="9" t="s">
        <v>819</v>
      </c>
      <c r="H1184" t="s">
        <v>818</v>
      </c>
      <c r="I1184" t="s">
        <v>13</v>
      </c>
      <c r="J1184" s="2">
        <v>4693</v>
      </c>
    </row>
    <row r="1185" spans="1:10" hidden="1" x14ac:dyDescent="0.25">
      <c r="A1185" t="s">
        <v>3687</v>
      </c>
      <c r="C1185" t="s">
        <v>4074</v>
      </c>
      <c r="D1185" t="s">
        <v>4113</v>
      </c>
      <c r="F1185" t="s">
        <v>4126</v>
      </c>
      <c r="G1185" s="9" t="s">
        <v>820</v>
      </c>
      <c r="H1185" t="s">
        <v>818</v>
      </c>
      <c r="I1185" t="s">
        <v>320</v>
      </c>
      <c r="J1185" s="2">
        <v>4693</v>
      </c>
    </row>
    <row r="1186" spans="1:10" hidden="1" x14ac:dyDescent="0.25">
      <c r="A1186" t="s">
        <v>3688</v>
      </c>
      <c r="C1186" t="s">
        <v>4074</v>
      </c>
      <c r="D1186" t="s">
        <v>4113</v>
      </c>
      <c r="F1186" t="s">
        <v>4126</v>
      </c>
      <c r="G1186" s="9" t="s">
        <v>821</v>
      </c>
      <c r="H1186" t="s">
        <v>818</v>
      </c>
      <c r="I1186" t="s">
        <v>207</v>
      </c>
      <c r="J1186" s="2">
        <v>4693</v>
      </c>
    </row>
    <row r="1187" spans="1:10" hidden="1" x14ac:dyDescent="0.25">
      <c r="A1187" t="s">
        <v>3689</v>
      </c>
      <c r="C1187" t="s">
        <v>4074</v>
      </c>
      <c r="D1187" t="s">
        <v>4113</v>
      </c>
      <c r="F1187" t="s">
        <v>4126</v>
      </c>
      <c r="G1187" s="9" t="s">
        <v>823</v>
      </c>
      <c r="H1187" t="s">
        <v>822</v>
      </c>
      <c r="I1187" t="s">
        <v>13</v>
      </c>
      <c r="J1187" s="2">
        <v>4681</v>
      </c>
    </row>
    <row r="1188" spans="1:10" hidden="1" x14ac:dyDescent="0.25">
      <c r="A1188" t="s">
        <v>3690</v>
      </c>
      <c r="C1188" t="s">
        <v>4074</v>
      </c>
      <c r="D1188" t="s">
        <v>4113</v>
      </c>
      <c r="F1188" t="s">
        <v>4126</v>
      </c>
      <c r="G1188" s="9" t="s">
        <v>824</v>
      </c>
      <c r="H1188" t="s">
        <v>822</v>
      </c>
      <c r="I1188" t="s">
        <v>320</v>
      </c>
      <c r="J1188" s="2">
        <v>4681</v>
      </c>
    </row>
    <row r="1189" spans="1:10" hidden="1" x14ac:dyDescent="0.25">
      <c r="A1189" t="s">
        <v>3691</v>
      </c>
      <c r="C1189" t="s">
        <v>4074</v>
      </c>
      <c r="D1189" t="s">
        <v>4113</v>
      </c>
      <c r="F1189" t="s">
        <v>4126</v>
      </c>
      <c r="G1189" s="9" t="s">
        <v>832</v>
      </c>
      <c r="H1189" t="s">
        <v>831</v>
      </c>
      <c r="I1189" t="s">
        <v>37</v>
      </c>
      <c r="J1189" s="2">
        <v>4662</v>
      </c>
    </row>
    <row r="1190" spans="1:10" hidden="1" x14ac:dyDescent="0.25">
      <c r="A1190" t="s">
        <v>3692</v>
      </c>
      <c r="C1190" t="s">
        <v>4074</v>
      </c>
      <c r="D1190" t="s">
        <v>4113</v>
      </c>
      <c r="F1190" t="s">
        <v>4126</v>
      </c>
      <c r="G1190" s="9" t="s">
        <v>835</v>
      </c>
      <c r="H1190" t="s">
        <v>834</v>
      </c>
      <c r="I1190" t="s">
        <v>37</v>
      </c>
      <c r="J1190" s="2">
        <v>4656</v>
      </c>
    </row>
    <row r="1191" spans="1:10" hidden="1" x14ac:dyDescent="0.25">
      <c r="A1191" t="s">
        <v>3693</v>
      </c>
      <c r="C1191" t="s">
        <v>4074</v>
      </c>
      <c r="D1191" t="s">
        <v>4113</v>
      </c>
      <c r="F1191" t="s">
        <v>4126</v>
      </c>
      <c r="G1191" s="9" t="s">
        <v>837</v>
      </c>
      <c r="H1191" t="s">
        <v>836</v>
      </c>
      <c r="I1191" t="s">
        <v>176</v>
      </c>
      <c r="J1191" s="2">
        <v>4630</v>
      </c>
    </row>
    <row r="1192" spans="1:10" hidden="1" x14ac:dyDescent="0.25">
      <c r="A1192" t="s">
        <v>3694</v>
      </c>
      <c r="C1192" t="s">
        <v>4074</v>
      </c>
      <c r="D1192" t="s">
        <v>4113</v>
      </c>
      <c r="F1192" t="s">
        <v>4126</v>
      </c>
      <c r="G1192" s="9" t="s">
        <v>838</v>
      </c>
      <c r="H1192" t="s">
        <v>836</v>
      </c>
      <c r="I1192" t="s">
        <v>13</v>
      </c>
      <c r="J1192" s="2">
        <v>4630</v>
      </c>
    </row>
    <row r="1193" spans="1:10" hidden="1" x14ac:dyDescent="0.25">
      <c r="A1193" t="s">
        <v>3695</v>
      </c>
      <c r="C1193" t="s">
        <v>4074</v>
      </c>
      <c r="D1193" t="s">
        <v>4113</v>
      </c>
      <c r="F1193" t="s">
        <v>4126</v>
      </c>
      <c r="G1193" s="9" t="s">
        <v>839</v>
      </c>
      <c r="H1193" t="s">
        <v>836</v>
      </c>
      <c r="I1193" t="s">
        <v>89</v>
      </c>
      <c r="J1193" s="2">
        <v>4630</v>
      </c>
    </row>
    <row r="1194" spans="1:10" hidden="1" x14ac:dyDescent="0.25">
      <c r="A1194" t="s">
        <v>3696</v>
      </c>
      <c r="C1194" t="s">
        <v>4074</v>
      </c>
      <c r="D1194" t="s">
        <v>4113</v>
      </c>
      <c r="F1194" t="s">
        <v>4126</v>
      </c>
      <c r="G1194" s="9" t="s">
        <v>842</v>
      </c>
      <c r="H1194" t="s">
        <v>841</v>
      </c>
      <c r="I1194" t="s">
        <v>320</v>
      </c>
      <c r="J1194" s="2">
        <v>4525</v>
      </c>
    </row>
    <row r="1195" spans="1:10" hidden="1" x14ac:dyDescent="0.25">
      <c r="A1195" t="s">
        <v>3697</v>
      </c>
      <c r="C1195" t="s">
        <v>4074</v>
      </c>
      <c r="D1195" t="s">
        <v>4113</v>
      </c>
      <c r="F1195" t="s">
        <v>4126</v>
      </c>
      <c r="G1195" s="9" t="s">
        <v>843</v>
      </c>
      <c r="H1195" t="s">
        <v>841</v>
      </c>
      <c r="I1195" t="s">
        <v>207</v>
      </c>
      <c r="J1195" s="2">
        <v>4525</v>
      </c>
    </row>
    <row r="1196" spans="1:10" hidden="1" x14ac:dyDescent="0.25">
      <c r="A1196" t="s">
        <v>3698</v>
      </c>
      <c r="C1196" t="s">
        <v>4074</v>
      </c>
      <c r="D1196" t="s">
        <v>4113</v>
      </c>
      <c r="F1196" t="s">
        <v>4126</v>
      </c>
      <c r="G1196" s="9" t="s">
        <v>191</v>
      </c>
      <c r="H1196" t="s">
        <v>844</v>
      </c>
      <c r="I1196" t="s">
        <v>13</v>
      </c>
      <c r="J1196" s="2">
        <v>4520</v>
      </c>
    </row>
    <row r="1197" spans="1:10" hidden="1" x14ac:dyDescent="0.25">
      <c r="A1197" t="s">
        <v>3699</v>
      </c>
      <c r="C1197" t="s">
        <v>4074</v>
      </c>
      <c r="D1197" t="s">
        <v>4113</v>
      </c>
      <c r="F1197" t="s">
        <v>4126</v>
      </c>
      <c r="G1197" s="9" t="s">
        <v>845</v>
      </c>
      <c r="H1197" t="s">
        <v>844</v>
      </c>
      <c r="I1197" t="s">
        <v>320</v>
      </c>
      <c r="J1197" s="2">
        <v>4520</v>
      </c>
    </row>
    <row r="1198" spans="1:10" hidden="1" x14ac:dyDescent="0.25">
      <c r="A1198" t="s">
        <v>3700</v>
      </c>
      <c r="C1198" t="s">
        <v>4074</v>
      </c>
      <c r="D1198" t="s">
        <v>4113</v>
      </c>
      <c r="F1198" t="s">
        <v>4126</v>
      </c>
      <c r="G1198" s="9" t="s">
        <v>852</v>
      </c>
      <c r="H1198" t="s">
        <v>851</v>
      </c>
      <c r="I1198" t="s">
        <v>13</v>
      </c>
      <c r="J1198" s="2">
        <v>4479</v>
      </c>
    </row>
    <row r="1199" spans="1:10" hidden="1" x14ac:dyDescent="0.25">
      <c r="A1199" t="s">
        <v>3701</v>
      </c>
      <c r="C1199" t="s">
        <v>4074</v>
      </c>
      <c r="D1199" t="s">
        <v>4113</v>
      </c>
      <c r="F1199" t="s">
        <v>4126</v>
      </c>
      <c r="G1199" s="9" t="s">
        <v>857</v>
      </c>
      <c r="H1199" t="s">
        <v>856</v>
      </c>
      <c r="I1199" t="s">
        <v>13</v>
      </c>
      <c r="J1199" s="2">
        <v>4449</v>
      </c>
    </row>
    <row r="1200" spans="1:10" hidden="1" x14ac:dyDescent="0.25">
      <c r="A1200" t="s">
        <v>3702</v>
      </c>
      <c r="C1200" t="s">
        <v>4074</v>
      </c>
      <c r="D1200" t="s">
        <v>4113</v>
      </c>
      <c r="F1200" t="s">
        <v>4126</v>
      </c>
      <c r="G1200" s="9" t="s">
        <v>858</v>
      </c>
      <c r="H1200" t="s">
        <v>856</v>
      </c>
      <c r="I1200" t="s">
        <v>320</v>
      </c>
      <c r="J1200" s="2">
        <v>4449</v>
      </c>
    </row>
    <row r="1201" spans="1:10" hidden="1" x14ac:dyDescent="0.25">
      <c r="A1201" t="s">
        <v>3703</v>
      </c>
      <c r="C1201" t="s">
        <v>4074</v>
      </c>
      <c r="D1201" t="s">
        <v>4113</v>
      </c>
      <c r="F1201" t="s">
        <v>4126</v>
      </c>
      <c r="G1201" s="9" t="s">
        <v>860</v>
      </c>
      <c r="H1201" t="s">
        <v>859</v>
      </c>
      <c r="I1201" t="s">
        <v>13</v>
      </c>
      <c r="J1201" s="2">
        <v>4421</v>
      </c>
    </row>
    <row r="1202" spans="1:10" hidden="1" x14ac:dyDescent="0.25">
      <c r="A1202" t="s">
        <v>3704</v>
      </c>
      <c r="C1202" t="s">
        <v>4074</v>
      </c>
      <c r="D1202" t="s">
        <v>4113</v>
      </c>
      <c r="F1202" t="s">
        <v>4126</v>
      </c>
      <c r="G1202" s="9" t="s">
        <v>862</v>
      </c>
      <c r="H1202" t="s">
        <v>861</v>
      </c>
      <c r="I1202" t="s">
        <v>5</v>
      </c>
      <c r="J1202" s="2">
        <v>4415</v>
      </c>
    </row>
    <row r="1203" spans="1:10" hidden="1" x14ac:dyDescent="0.25">
      <c r="A1203" t="s">
        <v>3705</v>
      </c>
      <c r="C1203" t="s">
        <v>4074</v>
      </c>
      <c r="D1203" t="s">
        <v>4113</v>
      </c>
      <c r="F1203" t="s">
        <v>4126</v>
      </c>
      <c r="G1203" s="9" t="s">
        <v>863</v>
      </c>
      <c r="H1203" t="s">
        <v>861</v>
      </c>
      <c r="I1203" t="s">
        <v>320</v>
      </c>
      <c r="J1203" s="2">
        <v>4415</v>
      </c>
    </row>
    <row r="1204" spans="1:10" hidden="1" x14ac:dyDescent="0.25">
      <c r="A1204" t="s">
        <v>3706</v>
      </c>
      <c r="C1204" t="s">
        <v>4074</v>
      </c>
      <c r="D1204" t="s">
        <v>4113</v>
      </c>
      <c r="F1204" t="s">
        <v>4126</v>
      </c>
      <c r="G1204" s="9" t="s">
        <v>865</v>
      </c>
      <c r="H1204" t="s">
        <v>864</v>
      </c>
      <c r="I1204" t="s">
        <v>37</v>
      </c>
      <c r="J1204" s="2">
        <v>4394</v>
      </c>
    </row>
    <row r="1205" spans="1:10" hidden="1" x14ac:dyDescent="0.25">
      <c r="A1205" t="s">
        <v>3707</v>
      </c>
      <c r="C1205" t="s">
        <v>4074</v>
      </c>
      <c r="D1205" t="s">
        <v>4113</v>
      </c>
      <c r="F1205" t="s">
        <v>4126</v>
      </c>
      <c r="G1205" s="9" t="s">
        <v>866</v>
      </c>
      <c r="H1205" t="s">
        <v>864</v>
      </c>
      <c r="I1205" t="s">
        <v>320</v>
      </c>
      <c r="J1205" s="2">
        <v>4394</v>
      </c>
    </row>
    <row r="1206" spans="1:10" hidden="1" x14ac:dyDescent="0.25">
      <c r="A1206" t="s">
        <v>3708</v>
      </c>
      <c r="C1206" t="s">
        <v>4074</v>
      </c>
      <c r="D1206" t="s">
        <v>4113</v>
      </c>
      <c r="F1206" t="s">
        <v>4126</v>
      </c>
      <c r="G1206" s="9" t="s">
        <v>868</v>
      </c>
      <c r="H1206" t="s">
        <v>867</v>
      </c>
      <c r="I1206" t="s">
        <v>37</v>
      </c>
      <c r="J1206" s="2">
        <v>4380</v>
      </c>
    </row>
    <row r="1207" spans="1:10" hidden="1" x14ac:dyDescent="0.25">
      <c r="A1207" t="s">
        <v>3709</v>
      </c>
      <c r="C1207" t="s">
        <v>4074</v>
      </c>
      <c r="D1207" t="s">
        <v>4113</v>
      </c>
      <c r="F1207" t="s">
        <v>4126</v>
      </c>
      <c r="G1207" s="9" t="s">
        <v>870</v>
      </c>
      <c r="H1207" t="s">
        <v>869</v>
      </c>
      <c r="I1207" t="s">
        <v>13</v>
      </c>
      <c r="J1207" s="2">
        <v>4368</v>
      </c>
    </row>
    <row r="1208" spans="1:10" hidden="1" x14ac:dyDescent="0.25">
      <c r="A1208" t="s">
        <v>3710</v>
      </c>
      <c r="C1208" t="s">
        <v>4074</v>
      </c>
      <c r="D1208" t="s">
        <v>4113</v>
      </c>
      <c r="F1208" t="s">
        <v>4126</v>
      </c>
      <c r="G1208" s="9" t="s">
        <v>872</v>
      </c>
      <c r="H1208" t="s">
        <v>871</v>
      </c>
      <c r="I1208" t="s">
        <v>37</v>
      </c>
      <c r="J1208" s="2">
        <v>4352</v>
      </c>
    </row>
    <row r="1209" spans="1:10" hidden="1" x14ac:dyDescent="0.25">
      <c r="A1209" t="s">
        <v>3711</v>
      </c>
      <c r="C1209" t="s">
        <v>4074</v>
      </c>
      <c r="D1209" t="s">
        <v>4113</v>
      </c>
      <c r="F1209" t="s">
        <v>4126</v>
      </c>
      <c r="G1209" s="9" t="s">
        <v>878</v>
      </c>
      <c r="H1209" t="s">
        <v>877</v>
      </c>
      <c r="I1209" t="s">
        <v>37</v>
      </c>
      <c r="J1209" s="2">
        <v>4337</v>
      </c>
    </row>
    <row r="1210" spans="1:10" hidden="1" x14ac:dyDescent="0.25">
      <c r="A1210" t="s">
        <v>3712</v>
      </c>
      <c r="C1210" t="s">
        <v>4074</v>
      </c>
      <c r="D1210" t="s">
        <v>4113</v>
      </c>
      <c r="F1210" t="s">
        <v>4126</v>
      </c>
      <c r="G1210" s="9" t="s">
        <v>886</v>
      </c>
      <c r="H1210" t="s">
        <v>885</v>
      </c>
      <c r="I1210" t="s">
        <v>5</v>
      </c>
      <c r="J1210" s="2">
        <v>4324</v>
      </c>
    </row>
    <row r="1211" spans="1:10" hidden="1" x14ac:dyDescent="0.25">
      <c r="A1211" t="s">
        <v>3713</v>
      </c>
      <c r="C1211" t="s">
        <v>4074</v>
      </c>
      <c r="D1211" t="s">
        <v>4113</v>
      </c>
      <c r="F1211" t="s">
        <v>4126</v>
      </c>
      <c r="G1211" s="9" t="s">
        <v>897</v>
      </c>
      <c r="H1211" t="s">
        <v>896</v>
      </c>
      <c r="I1211" t="s">
        <v>13</v>
      </c>
      <c r="J1211" s="2">
        <v>4225</v>
      </c>
    </row>
    <row r="1212" spans="1:10" hidden="1" x14ac:dyDescent="0.25">
      <c r="A1212" t="s">
        <v>3714</v>
      </c>
      <c r="C1212" t="s">
        <v>4074</v>
      </c>
      <c r="D1212" t="s">
        <v>4113</v>
      </c>
      <c r="F1212" t="s">
        <v>4126</v>
      </c>
      <c r="G1212" s="9" t="s">
        <v>902</v>
      </c>
      <c r="H1212" t="s">
        <v>901</v>
      </c>
      <c r="I1212" t="s">
        <v>37</v>
      </c>
      <c r="J1212" s="2">
        <v>4214</v>
      </c>
    </row>
    <row r="1213" spans="1:10" hidden="1" x14ac:dyDescent="0.25">
      <c r="A1213" t="s">
        <v>3715</v>
      </c>
      <c r="C1213" t="s">
        <v>4074</v>
      </c>
      <c r="D1213" t="s">
        <v>4113</v>
      </c>
      <c r="F1213" t="s">
        <v>4126</v>
      </c>
      <c r="G1213" s="9" t="s">
        <v>903</v>
      </c>
      <c r="H1213" t="s">
        <v>901</v>
      </c>
      <c r="I1213" t="s">
        <v>320</v>
      </c>
      <c r="J1213" s="2">
        <v>4214</v>
      </c>
    </row>
    <row r="1214" spans="1:10" hidden="1" x14ac:dyDescent="0.25">
      <c r="A1214" t="s">
        <v>3716</v>
      </c>
      <c r="C1214" t="s">
        <v>4074</v>
      </c>
      <c r="D1214" t="s">
        <v>4113</v>
      </c>
      <c r="F1214" t="s">
        <v>4126</v>
      </c>
      <c r="G1214" s="9" t="s">
        <v>905</v>
      </c>
      <c r="H1214" t="s">
        <v>904</v>
      </c>
      <c r="I1214" t="s">
        <v>13</v>
      </c>
      <c r="J1214" s="2">
        <v>4200</v>
      </c>
    </row>
    <row r="1215" spans="1:10" hidden="1" x14ac:dyDescent="0.25">
      <c r="A1215" t="s">
        <v>3717</v>
      </c>
      <c r="C1215" t="s">
        <v>4074</v>
      </c>
      <c r="D1215" t="s">
        <v>4113</v>
      </c>
      <c r="F1215" t="s">
        <v>4126</v>
      </c>
      <c r="G1215" s="9" t="s">
        <v>906</v>
      </c>
      <c r="H1215" t="s">
        <v>904</v>
      </c>
      <c r="I1215" t="s">
        <v>320</v>
      </c>
      <c r="J1215" s="2">
        <v>4200</v>
      </c>
    </row>
    <row r="1216" spans="1:10" hidden="1" x14ac:dyDescent="0.25">
      <c r="A1216" t="s">
        <v>3718</v>
      </c>
      <c r="C1216" t="s">
        <v>4074</v>
      </c>
      <c r="D1216" t="s">
        <v>4113</v>
      </c>
      <c r="F1216" t="s">
        <v>4126</v>
      </c>
      <c r="G1216" s="9" t="s">
        <v>908</v>
      </c>
      <c r="H1216" t="s">
        <v>907</v>
      </c>
      <c r="I1216" t="s">
        <v>13</v>
      </c>
      <c r="J1216" s="2">
        <v>4192</v>
      </c>
    </row>
    <row r="1217" spans="1:10" hidden="1" x14ac:dyDescent="0.25">
      <c r="A1217" t="s">
        <v>3719</v>
      </c>
      <c r="C1217" t="s">
        <v>4074</v>
      </c>
      <c r="D1217" t="s">
        <v>4113</v>
      </c>
      <c r="F1217" t="s">
        <v>4126</v>
      </c>
      <c r="G1217" s="9" t="s">
        <v>909</v>
      </c>
      <c r="H1217" t="s">
        <v>907</v>
      </c>
      <c r="I1217" t="s">
        <v>320</v>
      </c>
      <c r="J1217" s="2">
        <v>4192</v>
      </c>
    </row>
    <row r="1218" spans="1:10" hidden="1" x14ac:dyDescent="0.25">
      <c r="A1218" t="s">
        <v>3720</v>
      </c>
      <c r="C1218" t="s">
        <v>4074</v>
      </c>
      <c r="D1218" t="s">
        <v>4113</v>
      </c>
      <c r="F1218" t="s">
        <v>4126</v>
      </c>
      <c r="G1218" s="9" t="s">
        <v>911</v>
      </c>
      <c r="H1218" t="s">
        <v>910</v>
      </c>
      <c r="I1218" t="s">
        <v>176</v>
      </c>
      <c r="J1218" s="2">
        <v>4190</v>
      </c>
    </row>
    <row r="1219" spans="1:10" hidden="1" x14ac:dyDescent="0.25">
      <c r="A1219" t="s">
        <v>3721</v>
      </c>
      <c r="C1219" t="s">
        <v>4074</v>
      </c>
      <c r="D1219" t="s">
        <v>4113</v>
      </c>
      <c r="F1219" t="s">
        <v>4126</v>
      </c>
      <c r="G1219" s="9" t="s">
        <v>912</v>
      </c>
      <c r="H1219" t="s">
        <v>910</v>
      </c>
      <c r="I1219" t="s">
        <v>207</v>
      </c>
      <c r="J1219" s="2">
        <v>4190</v>
      </c>
    </row>
    <row r="1220" spans="1:10" hidden="1" x14ac:dyDescent="0.25">
      <c r="A1220" t="s">
        <v>3722</v>
      </c>
      <c r="C1220" t="s">
        <v>4074</v>
      </c>
      <c r="D1220" t="s">
        <v>4113</v>
      </c>
      <c r="F1220" t="s">
        <v>4126</v>
      </c>
      <c r="G1220" s="9" t="s">
        <v>914</v>
      </c>
      <c r="H1220" t="s">
        <v>913</v>
      </c>
      <c r="I1220" t="s">
        <v>13</v>
      </c>
      <c r="J1220" s="2">
        <v>4186</v>
      </c>
    </row>
    <row r="1221" spans="1:10" hidden="1" x14ac:dyDescent="0.25">
      <c r="A1221" t="s">
        <v>3723</v>
      </c>
      <c r="C1221" t="s">
        <v>4074</v>
      </c>
      <c r="D1221" t="s">
        <v>4113</v>
      </c>
      <c r="F1221" t="s">
        <v>4126</v>
      </c>
      <c r="G1221" s="9" t="s">
        <v>915</v>
      </c>
      <c r="H1221" t="s">
        <v>913</v>
      </c>
      <c r="I1221" t="s">
        <v>13</v>
      </c>
      <c r="J1221" s="2">
        <v>4186</v>
      </c>
    </row>
    <row r="1222" spans="1:10" hidden="1" x14ac:dyDescent="0.25">
      <c r="A1222" t="s">
        <v>3724</v>
      </c>
      <c r="C1222" t="s">
        <v>4074</v>
      </c>
      <c r="D1222" t="s">
        <v>4113</v>
      </c>
      <c r="F1222" t="s">
        <v>4126</v>
      </c>
      <c r="G1222" s="9" t="s">
        <v>916</v>
      </c>
      <c r="H1222" t="s">
        <v>913</v>
      </c>
      <c r="I1222" t="s">
        <v>10</v>
      </c>
      <c r="J1222" s="2">
        <v>4186</v>
      </c>
    </row>
    <row r="1223" spans="1:10" hidden="1" x14ac:dyDescent="0.25">
      <c r="A1223" t="s">
        <v>3725</v>
      </c>
      <c r="C1223" t="s">
        <v>4074</v>
      </c>
      <c r="D1223" t="s">
        <v>4113</v>
      </c>
      <c r="F1223" t="s">
        <v>4126</v>
      </c>
      <c r="G1223" s="9" t="s">
        <v>929</v>
      </c>
      <c r="H1223" t="s">
        <v>928</v>
      </c>
      <c r="I1223" t="s">
        <v>10</v>
      </c>
      <c r="J1223" s="2">
        <v>4154</v>
      </c>
    </row>
    <row r="1224" spans="1:10" hidden="1" x14ac:dyDescent="0.25">
      <c r="A1224" t="s">
        <v>3726</v>
      </c>
      <c r="C1224" t="s">
        <v>4074</v>
      </c>
      <c r="D1224" t="s">
        <v>4113</v>
      </c>
      <c r="F1224" t="s">
        <v>4126</v>
      </c>
      <c r="G1224" s="9" t="s">
        <v>937</v>
      </c>
      <c r="H1224" t="s">
        <v>936</v>
      </c>
      <c r="I1224" t="s">
        <v>13</v>
      </c>
      <c r="J1224" s="2">
        <v>4107</v>
      </c>
    </row>
    <row r="1225" spans="1:10" hidden="1" x14ac:dyDescent="0.25">
      <c r="A1225" t="s">
        <v>3727</v>
      </c>
      <c r="C1225" t="s">
        <v>4074</v>
      </c>
      <c r="D1225" t="s">
        <v>4113</v>
      </c>
      <c r="F1225" t="s">
        <v>4126</v>
      </c>
      <c r="G1225" s="9" t="s">
        <v>938</v>
      </c>
      <c r="H1225" t="s">
        <v>936</v>
      </c>
      <c r="I1225" t="s">
        <v>5</v>
      </c>
      <c r="J1225" s="2">
        <v>4107</v>
      </c>
    </row>
    <row r="1226" spans="1:10" hidden="1" x14ac:dyDescent="0.25">
      <c r="A1226" t="s">
        <v>3728</v>
      </c>
      <c r="C1226" t="s">
        <v>4074</v>
      </c>
      <c r="D1226" t="s">
        <v>4113</v>
      </c>
      <c r="F1226" t="s">
        <v>4126</v>
      </c>
      <c r="G1226" s="9" t="s">
        <v>939</v>
      </c>
      <c r="H1226" t="s">
        <v>936</v>
      </c>
      <c r="I1226" t="s">
        <v>320</v>
      </c>
      <c r="J1226" s="2">
        <v>4107</v>
      </c>
    </row>
    <row r="1227" spans="1:10" hidden="1" x14ac:dyDescent="0.25">
      <c r="A1227" t="s">
        <v>3729</v>
      </c>
      <c r="C1227" t="s">
        <v>4074</v>
      </c>
      <c r="D1227" t="s">
        <v>4113</v>
      </c>
      <c r="F1227" t="s">
        <v>4126</v>
      </c>
      <c r="G1227" s="9" t="s">
        <v>942</v>
      </c>
      <c r="H1227" t="s">
        <v>941</v>
      </c>
      <c r="I1227" t="s">
        <v>5</v>
      </c>
      <c r="J1227" s="2">
        <v>4090</v>
      </c>
    </row>
    <row r="1228" spans="1:10" hidden="1" x14ac:dyDescent="0.25">
      <c r="A1228" t="s">
        <v>3730</v>
      </c>
      <c r="C1228" t="s">
        <v>4074</v>
      </c>
      <c r="D1228" t="s">
        <v>4113</v>
      </c>
      <c r="F1228" t="s">
        <v>4126</v>
      </c>
      <c r="G1228" s="9" t="s">
        <v>943</v>
      </c>
      <c r="H1228" t="s">
        <v>941</v>
      </c>
      <c r="I1228" t="s">
        <v>320</v>
      </c>
      <c r="J1228" s="2">
        <v>4090</v>
      </c>
    </row>
    <row r="1229" spans="1:10" hidden="1" x14ac:dyDescent="0.25">
      <c r="A1229" t="s">
        <v>3731</v>
      </c>
      <c r="C1229" t="s">
        <v>4074</v>
      </c>
      <c r="D1229" t="s">
        <v>4113</v>
      </c>
      <c r="F1229" t="s">
        <v>4126</v>
      </c>
      <c r="G1229" s="9" t="s">
        <v>944</v>
      </c>
      <c r="H1229" t="s">
        <v>941</v>
      </c>
      <c r="I1229" t="s">
        <v>10</v>
      </c>
      <c r="J1229" s="2">
        <v>4090</v>
      </c>
    </row>
    <row r="1230" spans="1:10" hidden="1" x14ac:dyDescent="0.25">
      <c r="A1230" t="s">
        <v>3732</v>
      </c>
      <c r="C1230" t="s">
        <v>4074</v>
      </c>
      <c r="D1230" t="s">
        <v>4113</v>
      </c>
      <c r="F1230" t="s">
        <v>4126</v>
      </c>
      <c r="G1230" s="9" t="s">
        <v>950</v>
      </c>
      <c r="H1230" t="s">
        <v>949</v>
      </c>
      <c r="I1230" t="s">
        <v>13</v>
      </c>
      <c r="J1230" s="2">
        <v>4070</v>
      </c>
    </row>
    <row r="1231" spans="1:10" hidden="1" x14ac:dyDescent="0.25">
      <c r="A1231" t="s">
        <v>3733</v>
      </c>
      <c r="C1231" t="s">
        <v>4074</v>
      </c>
      <c r="D1231" t="s">
        <v>4113</v>
      </c>
      <c r="F1231" t="s">
        <v>4126</v>
      </c>
      <c r="G1231" s="9" t="s">
        <v>951</v>
      </c>
      <c r="H1231" t="s">
        <v>949</v>
      </c>
      <c r="I1231" t="s">
        <v>13</v>
      </c>
      <c r="J1231" s="2">
        <v>4070</v>
      </c>
    </row>
    <row r="1232" spans="1:10" hidden="1" x14ac:dyDescent="0.25">
      <c r="A1232" t="s">
        <v>3734</v>
      </c>
      <c r="C1232" t="s">
        <v>4074</v>
      </c>
      <c r="D1232" t="s">
        <v>4113</v>
      </c>
      <c r="F1232" t="s">
        <v>4126</v>
      </c>
      <c r="G1232" s="9" t="s">
        <v>14</v>
      </c>
      <c r="H1232" t="s">
        <v>956</v>
      </c>
      <c r="I1232" t="s">
        <v>13</v>
      </c>
      <c r="J1232" s="2">
        <v>4039</v>
      </c>
    </row>
    <row r="1233" spans="1:10" hidden="1" x14ac:dyDescent="0.25">
      <c r="A1233" t="s">
        <v>3735</v>
      </c>
      <c r="C1233" t="s">
        <v>4074</v>
      </c>
      <c r="D1233" t="s">
        <v>4113</v>
      </c>
      <c r="F1233" t="s">
        <v>4126</v>
      </c>
      <c r="G1233" s="9" t="s">
        <v>957</v>
      </c>
      <c r="H1233" t="s">
        <v>956</v>
      </c>
      <c r="I1233" t="s">
        <v>89</v>
      </c>
      <c r="J1233" s="2">
        <v>4039</v>
      </c>
    </row>
    <row r="1234" spans="1:10" hidden="1" x14ac:dyDescent="0.25">
      <c r="A1234" t="s">
        <v>3736</v>
      </c>
      <c r="C1234" t="s">
        <v>4074</v>
      </c>
      <c r="D1234" t="s">
        <v>4113</v>
      </c>
      <c r="F1234" t="s">
        <v>4126</v>
      </c>
      <c r="G1234" s="9" t="s">
        <v>963</v>
      </c>
      <c r="H1234" t="s">
        <v>962</v>
      </c>
      <c r="I1234" t="s">
        <v>320</v>
      </c>
      <c r="J1234" s="2">
        <v>4011</v>
      </c>
    </row>
    <row r="1235" spans="1:10" hidden="1" x14ac:dyDescent="0.25">
      <c r="A1235" t="s">
        <v>3737</v>
      </c>
      <c r="C1235" t="s">
        <v>4074</v>
      </c>
      <c r="D1235" t="s">
        <v>4113</v>
      </c>
      <c r="F1235" t="s">
        <v>4126</v>
      </c>
      <c r="G1235" s="9" t="s">
        <v>964</v>
      </c>
      <c r="H1235" t="s">
        <v>962</v>
      </c>
      <c r="I1235" t="s">
        <v>207</v>
      </c>
      <c r="J1235" s="2">
        <v>4011</v>
      </c>
    </row>
    <row r="1236" spans="1:10" hidden="1" x14ac:dyDescent="0.25">
      <c r="A1236" t="s">
        <v>3738</v>
      </c>
      <c r="C1236" t="s">
        <v>4074</v>
      </c>
      <c r="D1236" t="s">
        <v>4113</v>
      </c>
      <c r="F1236" t="s">
        <v>4126</v>
      </c>
      <c r="G1236" s="9" t="s">
        <v>969</v>
      </c>
      <c r="H1236" t="s">
        <v>968</v>
      </c>
      <c r="I1236" t="s">
        <v>320</v>
      </c>
      <c r="J1236" s="2">
        <v>3956</v>
      </c>
    </row>
    <row r="1237" spans="1:10" hidden="1" x14ac:dyDescent="0.25">
      <c r="A1237" t="s">
        <v>3739</v>
      </c>
      <c r="C1237" t="s">
        <v>4074</v>
      </c>
      <c r="D1237" t="s">
        <v>4113</v>
      </c>
      <c r="F1237" t="s">
        <v>4126</v>
      </c>
      <c r="G1237" s="9" t="s">
        <v>970</v>
      </c>
      <c r="H1237" t="s">
        <v>968</v>
      </c>
      <c r="I1237" t="s">
        <v>207</v>
      </c>
      <c r="J1237" s="2">
        <v>3956</v>
      </c>
    </row>
    <row r="1238" spans="1:10" hidden="1" x14ac:dyDescent="0.25">
      <c r="A1238" t="s">
        <v>3740</v>
      </c>
      <c r="C1238" t="s">
        <v>4074</v>
      </c>
      <c r="D1238" t="s">
        <v>4113</v>
      </c>
      <c r="F1238" t="s">
        <v>4126</v>
      </c>
      <c r="G1238" s="9" t="s">
        <v>972</v>
      </c>
      <c r="H1238" t="s">
        <v>971</v>
      </c>
      <c r="I1238" t="s">
        <v>13</v>
      </c>
      <c r="J1238" s="2">
        <v>3955</v>
      </c>
    </row>
    <row r="1239" spans="1:10" hidden="1" x14ac:dyDescent="0.25">
      <c r="A1239" t="s">
        <v>3741</v>
      </c>
      <c r="C1239" t="s">
        <v>4074</v>
      </c>
      <c r="D1239" t="s">
        <v>4113</v>
      </c>
      <c r="F1239" t="s">
        <v>4126</v>
      </c>
      <c r="G1239" s="9" t="s">
        <v>977</v>
      </c>
      <c r="H1239" t="s">
        <v>976</v>
      </c>
      <c r="I1239" t="s">
        <v>37</v>
      </c>
      <c r="J1239" s="2">
        <v>3925</v>
      </c>
    </row>
    <row r="1240" spans="1:10" hidden="1" x14ac:dyDescent="0.25">
      <c r="A1240" t="s">
        <v>3742</v>
      </c>
      <c r="C1240" t="s">
        <v>4074</v>
      </c>
      <c r="D1240" t="s">
        <v>4113</v>
      </c>
      <c r="F1240" t="s">
        <v>4126</v>
      </c>
      <c r="G1240" s="9" t="s">
        <v>978</v>
      </c>
      <c r="H1240" t="s">
        <v>976</v>
      </c>
      <c r="I1240" t="s">
        <v>510</v>
      </c>
      <c r="J1240" s="2">
        <v>3925</v>
      </c>
    </row>
    <row r="1241" spans="1:10" hidden="1" x14ac:dyDescent="0.25">
      <c r="A1241" t="s">
        <v>3743</v>
      </c>
      <c r="C1241" t="s">
        <v>4074</v>
      </c>
      <c r="D1241" t="s">
        <v>4113</v>
      </c>
      <c r="F1241" t="s">
        <v>4126</v>
      </c>
      <c r="G1241" s="9" t="s">
        <v>979</v>
      </c>
      <c r="H1241" t="s">
        <v>976</v>
      </c>
      <c r="I1241" t="s">
        <v>89</v>
      </c>
      <c r="J1241" s="2">
        <v>3925</v>
      </c>
    </row>
    <row r="1242" spans="1:10" hidden="1" x14ac:dyDescent="0.25">
      <c r="A1242" t="s">
        <v>3744</v>
      </c>
      <c r="C1242" t="s">
        <v>4074</v>
      </c>
      <c r="D1242" t="s">
        <v>4113</v>
      </c>
      <c r="F1242" t="s">
        <v>4126</v>
      </c>
      <c r="G1242" s="9" t="s">
        <v>982</v>
      </c>
      <c r="H1242" t="s">
        <v>981</v>
      </c>
      <c r="I1242" t="s">
        <v>320</v>
      </c>
      <c r="J1242" s="2">
        <v>3905</v>
      </c>
    </row>
    <row r="1243" spans="1:10" hidden="1" x14ac:dyDescent="0.25">
      <c r="A1243" t="s">
        <v>3745</v>
      </c>
      <c r="C1243" t="s">
        <v>4074</v>
      </c>
      <c r="D1243" t="s">
        <v>4113</v>
      </c>
      <c r="F1243" t="s">
        <v>4126</v>
      </c>
      <c r="G1243" s="9" t="s">
        <v>984</v>
      </c>
      <c r="H1243" t="s">
        <v>983</v>
      </c>
      <c r="I1243" t="s">
        <v>510</v>
      </c>
      <c r="J1243" s="2">
        <v>3902</v>
      </c>
    </row>
    <row r="1244" spans="1:10" hidden="1" x14ac:dyDescent="0.25">
      <c r="A1244" t="s">
        <v>3746</v>
      </c>
      <c r="C1244" t="s">
        <v>4074</v>
      </c>
      <c r="D1244" t="s">
        <v>4113</v>
      </c>
      <c r="F1244" t="s">
        <v>4126</v>
      </c>
      <c r="G1244" s="9" t="s">
        <v>985</v>
      </c>
      <c r="H1244" t="s">
        <v>983</v>
      </c>
      <c r="I1244" t="s">
        <v>320</v>
      </c>
      <c r="J1244" s="2">
        <v>3902</v>
      </c>
    </row>
    <row r="1245" spans="1:10" hidden="1" x14ac:dyDescent="0.25">
      <c r="A1245" t="s">
        <v>3747</v>
      </c>
      <c r="C1245" t="s">
        <v>4074</v>
      </c>
      <c r="D1245" t="s">
        <v>4113</v>
      </c>
      <c r="F1245" t="s">
        <v>4126</v>
      </c>
      <c r="G1245" s="9" t="s">
        <v>987</v>
      </c>
      <c r="H1245" t="s">
        <v>986</v>
      </c>
      <c r="I1245" t="s">
        <v>13</v>
      </c>
      <c r="J1245" s="2">
        <v>3885</v>
      </c>
    </row>
    <row r="1246" spans="1:10" hidden="1" x14ac:dyDescent="0.25">
      <c r="A1246" t="s">
        <v>3748</v>
      </c>
      <c r="C1246" t="s">
        <v>4074</v>
      </c>
      <c r="D1246" t="s">
        <v>4113</v>
      </c>
      <c r="F1246" t="s">
        <v>4126</v>
      </c>
      <c r="G1246" s="9" t="s">
        <v>988</v>
      </c>
      <c r="H1246" t="s">
        <v>986</v>
      </c>
      <c r="I1246" t="s">
        <v>320</v>
      </c>
      <c r="J1246" s="2">
        <v>3885</v>
      </c>
    </row>
    <row r="1247" spans="1:10" hidden="1" x14ac:dyDescent="0.25">
      <c r="A1247" t="s">
        <v>3749</v>
      </c>
      <c r="C1247" t="s">
        <v>4074</v>
      </c>
      <c r="D1247" t="s">
        <v>4113</v>
      </c>
      <c r="F1247" t="s">
        <v>4126</v>
      </c>
      <c r="G1247" s="9" t="s">
        <v>999</v>
      </c>
      <c r="H1247" t="s">
        <v>998</v>
      </c>
      <c r="I1247" t="s">
        <v>13</v>
      </c>
      <c r="J1247" s="2">
        <v>3840</v>
      </c>
    </row>
    <row r="1248" spans="1:10" hidden="1" x14ac:dyDescent="0.25">
      <c r="A1248" t="s">
        <v>3750</v>
      </c>
      <c r="C1248" t="s">
        <v>4074</v>
      </c>
      <c r="D1248" t="s">
        <v>4113</v>
      </c>
      <c r="F1248" t="s">
        <v>4126</v>
      </c>
      <c r="G1248" s="9" t="s">
        <v>1000</v>
      </c>
      <c r="H1248" t="s">
        <v>998</v>
      </c>
      <c r="I1248" t="s">
        <v>37</v>
      </c>
      <c r="J1248" s="2">
        <v>3840</v>
      </c>
    </row>
    <row r="1249" spans="1:10" hidden="1" x14ac:dyDescent="0.25">
      <c r="A1249" t="s">
        <v>3751</v>
      </c>
      <c r="C1249" t="s">
        <v>4074</v>
      </c>
      <c r="D1249" t="s">
        <v>4113</v>
      </c>
      <c r="F1249" t="s">
        <v>4126</v>
      </c>
      <c r="G1249" s="9" t="s">
        <v>1001</v>
      </c>
      <c r="H1249" t="s">
        <v>998</v>
      </c>
      <c r="I1249" t="s">
        <v>320</v>
      </c>
      <c r="J1249" s="2">
        <v>3840</v>
      </c>
    </row>
    <row r="1250" spans="1:10" hidden="1" x14ac:dyDescent="0.25">
      <c r="A1250" t="s">
        <v>3752</v>
      </c>
      <c r="C1250" t="s">
        <v>4074</v>
      </c>
      <c r="D1250" t="s">
        <v>4113</v>
      </c>
      <c r="F1250" t="s">
        <v>4126</v>
      </c>
      <c r="G1250" s="9" t="s">
        <v>1004</v>
      </c>
      <c r="H1250" t="s">
        <v>1003</v>
      </c>
      <c r="I1250" t="s">
        <v>207</v>
      </c>
      <c r="J1250" s="2">
        <v>3835</v>
      </c>
    </row>
    <row r="1251" spans="1:10" hidden="1" x14ac:dyDescent="0.25">
      <c r="A1251" t="s">
        <v>3753</v>
      </c>
      <c r="C1251" t="s">
        <v>4074</v>
      </c>
      <c r="D1251" t="s">
        <v>4113</v>
      </c>
      <c r="F1251" t="s">
        <v>4126</v>
      </c>
      <c r="G1251" s="9" t="s">
        <v>1013</v>
      </c>
      <c r="H1251" t="s">
        <v>1012</v>
      </c>
      <c r="I1251" t="s">
        <v>37</v>
      </c>
      <c r="J1251" s="2">
        <v>3820</v>
      </c>
    </row>
    <row r="1252" spans="1:10" hidden="1" x14ac:dyDescent="0.25">
      <c r="A1252" t="s">
        <v>3754</v>
      </c>
      <c r="C1252" t="s">
        <v>4074</v>
      </c>
      <c r="D1252" t="s">
        <v>4113</v>
      </c>
      <c r="F1252" t="s">
        <v>4126</v>
      </c>
      <c r="G1252" s="9" t="s">
        <v>1015</v>
      </c>
      <c r="H1252" t="s">
        <v>1014</v>
      </c>
      <c r="I1252" t="s">
        <v>13</v>
      </c>
      <c r="J1252" s="2">
        <v>3815</v>
      </c>
    </row>
    <row r="1253" spans="1:10" hidden="1" x14ac:dyDescent="0.25">
      <c r="A1253" t="s">
        <v>3755</v>
      </c>
      <c r="C1253" t="s">
        <v>4074</v>
      </c>
      <c r="D1253" t="s">
        <v>4113</v>
      </c>
      <c r="F1253" t="s">
        <v>4126</v>
      </c>
      <c r="G1253" s="9" t="s">
        <v>1017</v>
      </c>
      <c r="H1253" t="s">
        <v>1016</v>
      </c>
      <c r="I1253" t="s">
        <v>13</v>
      </c>
      <c r="J1253" s="2">
        <v>3814</v>
      </c>
    </row>
    <row r="1254" spans="1:10" hidden="1" x14ac:dyDescent="0.25">
      <c r="A1254" t="s">
        <v>3756</v>
      </c>
      <c r="C1254" t="s">
        <v>4074</v>
      </c>
      <c r="D1254" t="s">
        <v>4113</v>
      </c>
      <c r="F1254" t="s">
        <v>4126</v>
      </c>
      <c r="G1254" s="9" t="s">
        <v>1018</v>
      </c>
      <c r="H1254" t="s">
        <v>1016</v>
      </c>
      <c r="I1254" t="s">
        <v>10</v>
      </c>
      <c r="J1254" s="2">
        <v>3814</v>
      </c>
    </row>
    <row r="1255" spans="1:10" hidden="1" x14ac:dyDescent="0.25">
      <c r="A1255" t="s">
        <v>3757</v>
      </c>
      <c r="C1255" t="s">
        <v>4074</v>
      </c>
      <c r="D1255" t="s">
        <v>4113</v>
      </c>
      <c r="F1255" t="s">
        <v>4126</v>
      </c>
      <c r="G1255" s="9" t="s">
        <v>1020</v>
      </c>
      <c r="H1255" t="s">
        <v>1019</v>
      </c>
      <c r="I1255" t="s">
        <v>176</v>
      </c>
      <c r="J1255" s="2">
        <v>3806</v>
      </c>
    </row>
    <row r="1256" spans="1:10" hidden="1" x14ac:dyDescent="0.25">
      <c r="A1256" t="s">
        <v>3758</v>
      </c>
      <c r="C1256" t="s">
        <v>4074</v>
      </c>
      <c r="D1256" t="s">
        <v>4113</v>
      </c>
      <c r="F1256" t="s">
        <v>4126</v>
      </c>
      <c r="G1256" s="9" t="s">
        <v>1021</v>
      </c>
      <c r="H1256" t="s">
        <v>1019</v>
      </c>
      <c r="I1256" t="s">
        <v>5</v>
      </c>
      <c r="J1256" s="2">
        <v>3806</v>
      </c>
    </row>
    <row r="1257" spans="1:10" hidden="1" x14ac:dyDescent="0.25">
      <c r="A1257" t="s">
        <v>3759</v>
      </c>
      <c r="C1257" t="s">
        <v>4074</v>
      </c>
      <c r="D1257" t="s">
        <v>4113</v>
      </c>
      <c r="F1257" t="s">
        <v>4126</v>
      </c>
      <c r="G1257" s="9" t="s">
        <v>1022</v>
      </c>
      <c r="H1257" t="s">
        <v>1019</v>
      </c>
      <c r="I1257" t="s">
        <v>320</v>
      </c>
      <c r="J1257" s="2">
        <v>3806</v>
      </c>
    </row>
    <row r="1258" spans="1:10" hidden="1" x14ac:dyDescent="0.25">
      <c r="A1258" t="s">
        <v>3760</v>
      </c>
      <c r="C1258" t="s">
        <v>4074</v>
      </c>
      <c r="D1258" t="s">
        <v>4113</v>
      </c>
      <c r="F1258" t="s">
        <v>4126</v>
      </c>
      <c r="G1258" s="9" t="s">
        <v>1028</v>
      </c>
      <c r="H1258" t="s">
        <v>1027</v>
      </c>
      <c r="I1258" t="s">
        <v>13</v>
      </c>
      <c r="J1258" s="2">
        <v>3779</v>
      </c>
    </row>
    <row r="1259" spans="1:10" hidden="1" x14ac:dyDescent="0.25">
      <c r="A1259" t="s">
        <v>3761</v>
      </c>
      <c r="C1259" t="s">
        <v>4074</v>
      </c>
      <c r="D1259" t="s">
        <v>4113</v>
      </c>
      <c r="F1259" t="s">
        <v>4126</v>
      </c>
      <c r="G1259" s="9" t="s">
        <v>1029</v>
      </c>
      <c r="H1259" t="s">
        <v>1027</v>
      </c>
      <c r="I1259" t="s">
        <v>89</v>
      </c>
      <c r="J1259" s="2">
        <v>3779</v>
      </c>
    </row>
    <row r="1260" spans="1:10" hidden="1" x14ac:dyDescent="0.25">
      <c r="A1260" t="s">
        <v>3762</v>
      </c>
      <c r="C1260" t="s">
        <v>4074</v>
      </c>
      <c r="D1260" t="s">
        <v>4113</v>
      </c>
      <c r="F1260" t="s">
        <v>4126</v>
      </c>
      <c r="G1260" s="9" t="s">
        <v>1031</v>
      </c>
      <c r="H1260" t="s">
        <v>1030</v>
      </c>
      <c r="I1260" t="s">
        <v>37</v>
      </c>
      <c r="J1260" s="2">
        <v>3776</v>
      </c>
    </row>
    <row r="1261" spans="1:10" hidden="1" x14ac:dyDescent="0.25">
      <c r="A1261" t="s">
        <v>3763</v>
      </c>
      <c r="C1261" t="s">
        <v>4074</v>
      </c>
      <c r="D1261" t="s">
        <v>4113</v>
      </c>
      <c r="F1261" t="s">
        <v>4126</v>
      </c>
      <c r="G1261" s="9" t="s">
        <v>1032</v>
      </c>
      <c r="H1261" t="s">
        <v>1030</v>
      </c>
      <c r="I1261" t="s">
        <v>320</v>
      </c>
      <c r="J1261" s="2">
        <v>3776</v>
      </c>
    </row>
    <row r="1262" spans="1:10" hidden="1" x14ac:dyDescent="0.25">
      <c r="A1262" t="s">
        <v>3764</v>
      </c>
      <c r="C1262" t="s">
        <v>4074</v>
      </c>
      <c r="D1262" t="s">
        <v>4113</v>
      </c>
      <c r="F1262" t="s">
        <v>4126</v>
      </c>
      <c r="G1262" s="9" t="s">
        <v>1034</v>
      </c>
      <c r="H1262" t="s">
        <v>1033</v>
      </c>
      <c r="I1262" t="s">
        <v>320</v>
      </c>
      <c r="J1262" s="2">
        <v>3774</v>
      </c>
    </row>
    <row r="1263" spans="1:10" hidden="1" x14ac:dyDescent="0.25">
      <c r="A1263" t="s">
        <v>3765</v>
      </c>
      <c r="C1263" t="s">
        <v>4074</v>
      </c>
      <c r="D1263" t="s">
        <v>4113</v>
      </c>
      <c r="F1263" t="s">
        <v>4126</v>
      </c>
      <c r="G1263" s="9" t="s">
        <v>1035</v>
      </c>
      <c r="H1263" t="s">
        <v>1033</v>
      </c>
      <c r="I1263" t="s">
        <v>207</v>
      </c>
      <c r="J1263" s="2">
        <v>3774</v>
      </c>
    </row>
    <row r="1264" spans="1:10" hidden="1" x14ac:dyDescent="0.25">
      <c r="A1264" t="s">
        <v>3766</v>
      </c>
      <c r="C1264" t="s">
        <v>4074</v>
      </c>
      <c r="D1264" t="s">
        <v>4113</v>
      </c>
      <c r="F1264" t="s">
        <v>4126</v>
      </c>
      <c r="G1264" s="9" t="s">
        <v>1037</v>
      </c>
      <c r="H1264" t="s">
        <v>1036</v>
      </c>
      <c r="I1264" t="s">
        <v>5</v>
      </c>
      <c r="J1264" s="2">
        <v>3768</v>
      </c>
    </row>
    <row r="1265" spans="1:10" hidden="1" x14ac:dyDescent="0.25">
      <c r="A1265" t="s">
        <v>3767</v>
      </c>
      <c r="C1265" t="s">
        <v>4074</v>
      </c>
      <c r="D1265" t="s">
        <v>4113</v>
      </c>
      <c r="F1265" t="s">
        <v>4126</v>
      </c>
      <c r="G1265" s="9" t="s">
        <v>1038</v>
      </c>
      <c r="H1265" t="s">
        <v>1036</v>
      </c>
      <c r="I1265" t="s">
        <v>320</v>
      </c>
      <c r="J1265" s="2">
        <v>3768</v>
      </c>
    </row>
    <row r="1266" spans="1:10" hidden="1" x14ac:dyDescent="0.25">
      <c r="A1266" t="s">
        <v>3768</v>
      </c>
      <c r="C1266" t="s">
        <v>4074</v>
      </c>
      <c r="D1266" t="s">
        <v>4113</v>
      </c>
      <c r="F1266" t="s">
        <v>4126</v>
      </c>
      <c r="G1266" s="9" t="s">
        <v>1040</v>
      </c>
      <c r="H1266" t="s">
        <v>1039</v>
      </c>
      <c r="I1266" t="s">
        <v>37</v>
      </c>
      <c r="J1266" s="2">
        <v>3766</v>
      </c>
    </row>
    <row r="1267" spans="1:10" hidden="1" x14ac:dyDescent="0.25">
      <c r="A1267" t="s">
        <v>3769</v>
      </c>
      <c r="C1267" t="s">
        <v>4074</v>
      </c>
      <c r="D1267" t="s">
        <v>4113</v>
      </c>
      <c r="F1267" t="s">
        <v>4126</v>
      </c>
      <c r="G1267" s="9" t="s">
        <v>1041</v>
      </c>
      <c r="H1267" t="s">
        <v>1039</v>
      </c>
      <c r="I1267" t="s">
        <v>320</v>
      </c>
      <c r="J1267" s="2">
        <v>3766</v>
      </c>
    </row>
    <row r="1268" spans="1:10" hidden="1" x14ac:dyDescent="0.25">
      <c r="A1268" t="s">
        <v>3770</v>
      </c>
      <c r="C1268" t="s">
        <v>4074</v>
      </c>
      <c r="D1268" t="s">
        <v>4113</v>
      </c>
      <c r="F1268" t="s">
        <v>4126</v>
      </c>
      <c r="G1268" s="9" t="s">
        <v>1043</v>
      </c>
      <c r="H1268" t="s">
        <v>1042</v>
      </c>
      <c r="I1268" t="s">
        <v>320</v>
      </c>
      <c r="J1268" s="2">
        <v>3750</v>
      </c>
    </row>
    <row r="1269" spans="1:10" hidden="1" x14ac:dyDescent="0.25">
      <c r="A1269" t="s">
        <v>3771</v>
      </c>
      <c r="C1269" t="s">
        <v>4074</v>
      </c>
      <c r="D1269" t="s">
        <v>4113</v>
      </c>
      <c r="F1269" t="s">
        <v>4126</v>
      </c>
      <c r="G1269" s="9" t="s">
        <v>1044</v>
      </c>
      <c r="H1269" t="s">
        <v>1042</v>
      </c>
      <c r="I1269" t="s">
        <v>89</v>
      </c>
      <c r="J1269" s="2">
        <v>3750</v>
      </c>
    </row>
    <row r="1270" spans="1:10" hidden="1" x14ac:dyDescent="0.25">
      <c r="A1270" t="s">
        <v>3772</v>
      </c>
      <c r="C1270" t="s">
        <v>4074</v>
      </c>
      <c r="D1270" t="s">
        <v>4113</v>
      </c>
      <c r="F1270" t="s">
        <v>4126</v>
      </c>
      <c r="G1270" s="9" t="s">
        <v>1046</v>
      </c>
      <c r="H1270" t="s">
        <v>1045</v>
      </c>
      <c r="I1270" t="s">
        <v>13</v>
      </c>
      <c r="J1270" s="2">
        <v>3743</v>
      </c>
    </row>
    <row r="1271" spans="1:10" hidden="1" x14ac:dyDescent="0.25">
      <c r="A1271" t="s">
        <v>3773</v>
      </c>
      <c r="C1271" t="s">
        <v>4074</v>
      </c>
      <c r="D1271" t="s">
        <v>4113</v>
      </c>
      <c r="F1271" t="s">
        <v>4126</v>
      </c>
      <c r="G1271" s="9" t="s">
        <v>1047</v>
      </c>
      <c r="H1271" t="s">
        <v>1045</v>
      </c>
      <c r="I1271" t="s">
        <v>89</v>
      </c>
      <c r="J1271" s="2">
        <v>3743</v>
      </c>
    </row>
    <row r="1272" spans="1:10" hidden="1" x14ac:dyDescent="0.25">
      <c r="A1272" t="s">
        <v>3774</v>
      </c>
      <c r="C1272" t="s">
        <v>4074</v>
      </c>
      <c r="D1272" t="s">
        <v>4113</v>
      </c>
      <c r="F1272" t="s">
        <v>4126</v>
      </c>
      <c r="G1272" s="9" t="s">
        <v>1051</v>
      </c>
      <c r="H1272" t="s">
        <v>1050</v>
      </c>
      <c r="I1272" t="s">
        <v>5</v>
      </c>
      <c r="J1272" s="2">
        <v>3720</v>
      </c>
    </row>
    <row r="1273" spans="1:10" hidden="1" x14ac:dyDescent="0.25">
      <c r="A1273" t="s">
        <v>3775</v>
      </c>
      <c r="C1273" t="s">
        <v>4074</v>
      </c>
      <c r="D1273" t="s">
        <v>4113</v>
      </c>
      <c r="F1273" t="s">
        <v>4126</v>
      </c>
      <c r="G1273" s="9" t="s">
        <v>1054</v>
      </c>
      <c r="H1273" t="s">
        <v>1053</v>
      </c>
      <c r="I1273" t="s">
        <v>13</v>
      </c>
      <c r="J1273" s="2">
        <v>3711</v>
      </c>
    </row>
    <row r="1274" spans="1:10" hidden="1" x14ac:dyDescent="0.25">
      <c r="A1274" t="s">
        <v>3776</v>
      </c>
      <c r="C1274" t="s">
        <v>4074</v>
      </c>
      <c r="D1274" t="s">
        <v>4113</v>
      </c>
      <c r="F1274" t="s">
        <v>4126</v>
      </c>
      <c r="G1274" s="9" t="s">
        <v>1055</v>
      </c>
      <c r="H1274" t="s">
        <v>1053</v>
      </c>
      <c r="I1274" t="s">
        <v>320</v>
      </c>
      <c r="J1274" s="2">
        <v>3711</v>
      </c>
    </row>
    <row r="1275" spans="1:10" hidden="1" x14ac:dyDescent="0.25">
      <c r="A1275" t="s">
        <v>3777</v>
      </c>
      <c r="C1275" t="s">
        <v>4074</v>
      </c>
      <c r="D1275" t="s">
        <v>4113</v>
      </c>
      <c r="F1275" t="s">
        <v>4126</v>
      </c>
      <c r="G1275" s="9" t="s">
        <v>1057</v>
      </c>
      <c r="H1275" t="s">
        <v>1056</v>
      </c>
      <c r="I1275" t="s">
        <v>13</v>
      </c>
      <c r="J1275" s="2">
        <v>3703</v>
      </c>
    </row>
    <row r="1276" spans="1:10" hidden="1" x14ac:dyDescent="0.25">
      <c r="A1276" t="s">
        <v>3778</v>
      </c>
      <c r="C1276" t="s">
        <v>4074</v>
      </c>
      <c r="D1276" t="s">
        <v>4113</v>
      </c>
      <c r="F1276" t="s">
        <v>4126</v>
      </c>
      <c r="G1276" s="9" t="s">
        <v>1064</v>
      </c>
      <c r="H1276" t="s">
        <v>1063</v>
      </c>
      <c r="I1276" t="s">
        <v>10</v>
      </c>
      <c r="J1276" s="2">
        <v>3654</v>
      </c>
    </row>
    <row r="1277" spans="1:10" hidden="1" x14ac:dyDescent="0.25">
      <c r="A1277" t="s">
        <v>3779</v>
      </c>
      <c r="C1277" t="s">
        <v>4074</v>
      </c>
      <c r="D1277" t="s">
        <v>4113</v>
      </c>
      <c r="F1277" t="s">
        <v>4126</v>
      </c>
      <c r="G1277" s="9" t="s">
        <v>1066</v>
      </c>
      <c r="H1277" t="s">
        <v>1065</v>
      </c>
      <c r="I1277" t="s">
        <v>13</v>
      </c>
      <c r="J1277" s="2">
        <v>3619</v>
      </c>
    </row>
    <row r="1278" spans="1:10" hidden="1" x14ac:dyDescent="0.25">
      <c r="A1278" t="s">
        <v>3780</v>
      </c>
      <c r="C1278" t="s">
        <v>4074</v>
      </c>
      <c r="D1278" t="s">
        <v>4113</v>
      </c>
      <c r="F1278" t="s">
        <v>4126</v>
      </c>
      <c r="G1278" s="9" t="s">
        <v>1067</v>
      </c>
      <c r="H1278" t="s">
        <v>1065</v>
      </c>
      <c r="I1278" t="s">
        <v>320</v>
      </c>
      <c r="J1278" s="2">
        <v>3619</v>
      </c>
    </row>
    <row r="1279" spans="1:10" hidden="1" x14ac:dyDescent="0.25">
      <c r="A1279" t="s">
        <v>3781</v>
      </c>
      <c r="C1279" t="s">
        <v>4074</v>
      </c>
      <c r="D1279" t="s">
        <v>4113</v>
      </c>
      <c r="F1279" t="s">
        <v>4126</v>
      </c>
      <c r="G1279" s="9" t="s">
        <v>1068</v>
      </c>
      <c r="H1279" t="s">
        <v>1065</v>
      </c>
      <c r="I1279" t="s">
        <v>320</v>
      </c>
      <c r="J1279" s="2">
        <v>3619</v>
      </c>
    </row>
    <row r="1280" spans="1:10" hidden="1" x14ac:dyDescent="0.25">
      <c r="A1280" t="s">
        <v>3782</v>
      </c>
      <c r="C1280" t="s">
        <v>4074</v>
      </c>
      <c r="D1280" t="s">
        <v>4113</v>
      </c>
      <c r="F1280" t="s">
        <v>4126</v>
      </c>
      <c r="G1280" s="9" t="s">
        <v>1070</v>
      </c>
      <c r="H1280" t="s">
        <v>1069</v>
      </c>
      <c r="I1280" t="s">
        <v>13</v>
      </c>
      <c r="J1280" s="2">
        <v>3595</v>
      </c>
    </row>
    <row r="1281" spans="1:10" hidden="1" x14ac:dyDescent="0.25">
      <c r="A1281" t="s">
        <v>3783</v>
      </c>
      <c r="C1281" t="s">
        <v>4074</v>
      </c>
      <c r="D1281" t="s">
        <v>4113</v>
      </c>
      <c r="F1281" t="s">
        <v>4126</v>
      </c>
      <c r="G1281" s="9" t="s">
        <v>1071</v>
      </c>
      <c r="H1281" t="s">
        <v>1069</v>
      </c>
      <c r="I1281" t="s">
        <v>13</v>
      </c>
      <c r="J1281" s="2">
        <v>3595</v>
      </c>
    </row>
    <row r="1282" spans="1:10" hidden="1" x14ac:dyDescent="0.25">
      <c r="A1282" t="s">
        <v>3784</v>
      </c>
      <c r="C1282" t="s">
        <v>4074</v>
      </c>
      <c r="D1282" t="s">
        <v>4113</v>
      </c>
      <c r="F1282" t="s">
        <v>4126</v>
      </c>
      <c r="G1282" s="9" t="s">
        <v>1072</v>
      </c>
      <c r="H1282" t="s">
        <v>1069</v>
      </c>
      <c r="I1282" t="s">
        <v>10</v>
      </c>
      <c r="J1282" s="2">
        <v>3595</v>
      </c>
    </row>
    <row r="1283" spans="1:10" hidden="1" x14ac:dyDescent="0.25">
      <c r="A1283" t="s">
        <v>3785</v>
      </c>
      <c r="C1283" t="s">
        <v>4074</v>
      </c>
      <c r="D1283" t="s">
        <v>4113</v>
      </c>
      <c r="F1283" t="s">
        <v>4126</v>
      </c>
      <c r="G1283" s="9" t="s">
        <v>1074</v>
      </c>
      <c r="H1283" t="s">
        <v>1073</v>
      </c>
      <c r="I1283" t="s">
        <v>37</v>
      </c>
      <c r="J1283" s="2">
        <v>3593</v>
      </c>
    </row>
    <row r="1284" spans="1:10" hidden="1" x14ac:dyDescent="0.25">
      <c r="A1284" t="s">
        <v>3786</v>
      </c>
      <c r="C1284" t="s">
        <v>4074</v>
      </c>
      <c r="D1284" t="s">
        <v>4113</v>
      </c>
      <c r="F1284" t="s">
        <v>4126</v>
      </c>
      <c r="G1284" s="9" t="s">
        <v>1076</v>
      </c>
      <c r="H1284" t="s">
        <v>1075</v>
      </c>
      <c r="I1284" t="s">
        <v>320</v>
      </c>
      <c r="J1284" s="2">
        <v>3590</v>
      </c>
    </row>
    <row r="1285" spans="1:10" hidden="1" x14ac:dyDescent="0.25">
      <c r="A1285" t="s">
        <v>3787</v>
      </c>
      <c r="C1285" t="s">
        <v>4074</v>
      </c>
      <c r="D1285" t="s">
        <v>4113</v>
      </c>
      <c r="F1285" t="s">
        <v>4126</v>
      </c>
      <c r="G1285" s="9" t="s">
        <v>1078</v>
      </c>
      <c r="H1285" t="s">
        <v>1077</v>
      </c>
      <c r="I1285" t="s">
        <v>176</v>
      </c>
      <c r="J1285" s="2">
        <v>3584</v>
      </c>
    </row>
    <row r="1286" spans="1:10" hidden="1" x14ac:dyDescent="0.25">
      <c r="A1286" t="s">
        <v>3788</v>
      </c>
      <c r="C1286" t="s">
        <v>4074</v>
      </c>
      <c r="D1286" t="s">
        <v>4113</v>
      </c>
      <c r="F1286" t="s">
        <v>4126</v>
      </c>
      <c r="G1286" s="9" t="s">
        <v>1089</v>
      </c>
      <c r="H1286" t="s">
        <v>1088</v>
      </c>
      <c r="I1286" t="s">
        <v>176</v>
      </c>
      <c r="J1286" s="2">
        <v>3539</v>
      </c>
    </row>
    <row r="1287" spans="1:10" hidden="1" x14ac:dyDescent="0.25">
      <c r="A1287" t="s">
        <v>3789</v>
      </c>
      <c r="C1287" t="s">
        <v>4074</v>
      </c>
      <c r="D1287" t="s">
        <v>4113</v>
      </c>
      <c r="F1287" t="s">
        <v>4126</v>
      </c>
      <c r="G1287" s="9" t="s">
        <v>1090</v>
      </c>
      <c r="H1287" t="s">
        <v>1088</v>
      </c>
      <c r="I1287" t="s">
        <v>320</v>
      </c>
      <c r="J1287" s="2">
        <v>3539</v>
      </c>
    </row>
    <row r="1288" spans="1:10" hidden="1" x14ac:dyDescent="0.25">
      <c r="A1288" t="s">
        <v>3790</v>
      </c>
      <c r="C1288" t="s">
        <v>4074</v>
      </c>
      <c r="D1288" t="s">
        <v>4113</v>
      </c>
      <c r="F1288" t="s">
        <v>4126</v>
      </c>
      <c r="G1288" s="9" t="s">
        <v>1091</v>
      </c>
      <c r="H1288" t="s">
        <v>1088</v>
      </c>
      <c r="I1288" t="s">
        <v>207</v>
      </c>
      <c r="J1288" s="2">
        <v>3539</v>
      </c>
    </row>
    <row r="1289" spans="1:10" hidden="1" x14ac:dyDescent="0.25">
      <c r="A1289" t="s">
        <v>3791</v>
      </c>
      <c r="C1289" t="s">
        <v>4074</v>
      </c>
      <c r="D1289" t="s">
        <v>4113</v>
      </c>
      <c r="F1289" t="s">
        <v>4126</v>
      </c>
      <c r="G1289" s="9" t="s">
        <v>1093</v>
      </c>
      <c r="H1289" t="s">
        <v>1092</v>
      </c>
      <c r="I1289" t="s">
        <v>13</v>
      </c>
      <c r="J1289" s="2">
        <v>3536</v>
      </c>
    </row>
    <row r="1290" spans="1:10" hidden="1" x14ac:dyDescent="0.25">
      <c r="A1290" t="s">
        <v>3792</v>
      </c>
      <c r="C1290" t="s">
        <v>4074</v>
      </c>
      <c r="D1290" t="s">
        <v>4113</v>
      </c>
      <c r="F1290" t="s">
        <v>4126</v>
      </c>
      <c r="G1290" s="9" t="s">
        <v>1094</v>
      </c>
      <c r="H1290" t="s">
        <v>1092</v>
      </c>
      <c r="I1290" t="s">
        <v>37</v>
      </c>
      <c r="J1290" s="2">
        <v>3536</v>
      </c>
    </row>
    <row r="1291" spans="1:10" hidden="1" x14ac:dyDescent="0.25">
      <c r="A1291" t="s">
        <v>3793</v>
      </c>
      <c r="C1291" t="s">
        <v>4074</v>
      </c>
      <c r="D1291" t="s">
        <v>4113</v>
      </c>
      <c r="F1291" t="s">
        <v>4126</v>
      </c>
      <c r="G1291" s="9" t="s">
        <v>1095</v>
      </c>
      <c r="H1291" t="s">
        <v>1092</v>
      </c>
      <c r="I1291" t="s">
        <v>356</v>
      </c>
      <c r="J1291" s="2">
        <v>3536</v>
      </c>
    </row>
    <row r="1292" spans="1:10" hidden="1" x14ac:dyDescent="0.25">
      <c r="A1292" t="s">
        <v>3794</v>
      </c>
      <c r="C1292" t="s">
        <v>4074</v>
      </c>
      <c r="D1292" t="s">
        <v>4113</v>
      </c>
      <c r="F1292" t="s">
        <v>4126</v>
      </c>
      <c r="G1292" s="9" t="s">
        <v>1096</v>
      </c>
      <c r="H1292" t="s">
        <v>1092</v>
      </c>
      <c r="I1292" t="s">
        <v>89</v>
      </c>
      <c r="J1292" s="2">
        <v>3536</v>
      </c>
    </row>
    <row r="1293" spans="1:10" hidden="1" x14ac:dyDescent="0.25">
      <c r="A1293" t="s">
        <v>3795</v>
      </c>
      <c r="C1293" t="s">
        <v>4074</v>
      </c>
      <c r="D1293" t="s">
        <v>4113</v>
      </c>
      <c r="F1293" t="s">
        <v>4126</v>
      </c>
      <c r="G1293" s="9" t="s">
        <v>1098</v>
      </c>
      <c r="H1293" t="s">
        <v>1097</v>
      </c>
      <c r="I1293" t="s">
        <v>37</v>
      </c>
      <c r="J1293" s="2">
        <v>3534</v>
      </c>
    </row>
    <row r="1294" spans="1:10" hidden="1" x14ac:dyDescent="0.25">
      <c r="A1294" t="s">
        <v>3796</v>
      </c>
      <c r="C1294" t="s">
        <v>4074</v>
      </c>
      <c r="D1294" t="s">
        <v>4113</v>
      </c>
      <c r="F1294" t="s">
        <v>4126</v>
      </c>
      <c r="G1294" s="9" t="s">
        <v>1100</v>
      </c>
      <c r="H1294" t="s">
        <v>1099</v>
      </c>
      <c r="I1294" t="s">
        <v>37</v>
      </c>
      <c r="J1294" s="2">
        <v>3525</v>
      </c>
    </row>
    <row r="1295" spans="1:10" hidden="1" x14ac:dyDescent="0.25">
      <c r="A1295" t="s">
        <v>3797</v>
      </c>
      <c r="C1295" t="s">
        <v>4074</v>
      </c>
      <c r="D1295" t="s">
        <v>4113</v>
      </c>
      <c r="F1295" t="s">
        <v>4126</v>
      </c>
      <c r="G1295" s="9" t="s">
        <v>1101</v>
      </c>
      <c r="H1295" t="s">
        <v>1099</v>
      </c>
      <c r="I1295" t="s">
        <v>37</v>
      </c>
      <c r="J1295" s="2">
        <v>3525</v>
      </c>
    </row>
    <row r="1296" spans="1:10" hidden="1" x14ac:dyDescent="0.25">
      <c r="A1296" t="s">
        <v>3798</v>
      </c>
      <c r="C1296" t="s">
        <v>4074</v>
      </c>
      <c r="D1296" t="s">
        <v>4113</v>
      </c>
      <c r="F1296" t="s">
        <v>4126</v>
      </c>
      <c r="G1296" s="9" t="s">
        <v>1102</v>
      </c>
      <c r="H1296" t="s">
        <v>1099</v>
      </c>
      <c r="I1296" t="s">
        <v>320</v>
      </c>
      <c r="J1296" s="2">
        <v>3525</v>
      </c>
    </row>
    <row r="1297" spans="1:10" hidden="1" x14ac:dyDescent="0.25">
      <c r="A1297" t="s">
        <v>3799</v>
      </c>
      <c r="C1297" t="s">
        <v>4074</v>
      </c>
      <c r="D1297" t="s">
        <v>4113</v>
      </c>
      <c r="F1297" t="s">
        <v>4126</v>
      </c>
      <c r="G1297" s="9" t="s">
        <v>1103</v>
      </c>
      <c r="H1297" t="s">
        <v>1099</v>
      </c>
      <c r="I1297" t="s">
        <v>10</v>
      </c>
      <c r="J1297" s="2">
        <v>3525</v>
      </c>
    </row>
    <row r="1298" spans="1:10" hidden="1" x14ac:dyDescent="0.25">
      <c r="A1298" t="s">
        <v>3800</v>
      </c>
      <c r="C1298" t="s">
        <v>4074</v>
      </c>
      <c r="D1298" t="s">
        <v>4113</v>
      </c>
      <c r="F1298" t="s">
        <v>4126</v>
      </c>
      <c r="G1298" s="9" t="s">
        <v>1104</v>
      </c>
      <c r="H1298" t="s">
        <v>1099</v>
      </c>
      <c r="I1298" t="s">
        <v>89</v>
      </c>
      <c r="J1298" s="2">
        <v>3525</v>
      </c>
    </row>
    <row r="1299" spans="1:10" hidden="1" x14ac:dyDescent="0.25">
      <c r="A1299" t="s">
        <v>3801</v>
      </c>
      <c r="C1299" t="s">
        <v>4074</v>
      </c>
      <c r="D1299" t="s">
        <v>4113</v>
      </c>
      <c r="F1299" t="s">
        <v>4126</v>
      </c>
      <c r="G1299" s="9" t="s">
        <v>1106</v>
      </c>
      <c r="H1299" t="s">
        <v>1105</v>
      </c>
      <c r="I1299" t="s">
        <v>946</v>
      </c>
      <c r="J1299" s="2">
        <v>3520</v>
      </c>
    </row>
    <row r="1300" spans="1:10" hidden="1" x14ac:dyDescent="0.25">
      <c r="A1300" t="s">
        <v>3802</v>
      </c>
      <c r="C1300" t="s">
        <v>4074</v>
      </c>
      <c r="D1300" t="s">
        <v>4113</v>
      </c>
      <c r="F1300" t="s">
        <v>4126</v>
      </c>
      <c r="G1300" s="9" t="s">
        <v>1107</v>
      </c>
      <c r="H1300" t="s">
        <v>1105</v>
      </c>
      <c r="I1300" t="s">
        <v>320</v>
      </c>
      <c r="J1300" s="2">
        <v>3520</v>
      </c>
    </row>
    <row r="1301" spans="1:10" hidden="1" x14ac:dyDescent="0.25">
      <c r="A1301" t="s">
        <v>3803</v>
      </c>
      <c r="C1301" t="s">
        <v>4074</v>
      </c>
      <c r="D1301" t="s">
        <v>4113</v>
      </c>
      <c r="F1301" t="s">
        <v>4126</v>
      </c>
      <c r="G1301" s="9" t="s">
        <v>1054</v>
      </c>
      <c r="H1301" t="s">
        <v>1108</v>
      </c>
      <c r="I1301" t="s">
        <v>13</v>
      </c>
      <c r="J1301" s="2">
        <v>3519</v>
      </c>
    </row>
    <row r="1302" spans="1:10" hidden="1" x14ac:dyDescent="0.25">
      <c r="A1302" t="s">
        <v>3804</v>
      </c>
      <c r="C1302" t="s">
        <v>4074</v>
      </c>
      <c r="D1302" t="s">
        <v>4113</v>
      </c>
      <c r="F1302" t="s">
        <v>4126</v>
      </c>
      <c r="G1302" s="9" t="s">
        <v>1109</v>
      </c>
      <c r="H1302" t="s">
        <v>1108</v>
      </c>
      <c r="I1302" t="s">
        <v>37</v>
      </c>
      <c r="J1302" s="2">
        <v>3519</v>
      </c>
    </row>
    <row r="1303" spans="1:10" hidden="1" x14ac:dyDescent="0.25">
      <c r="A1303" t="s">
        <v>3805</v>
      </c>
      <c r="C1303" t="s">
        <v>4074</v>
      </c>
      <c r="D1303" t="s">
        <v>4113</v>
      </c>
      <c r="F1303" t="s">
        <v>4126</v>
      </c>
      <c r="G1303" s="9" t="s">
        <v>1055</v>
      </c>
      <c r="H1303" t="s">
        <v>1108</v>
      </c>
      <c r="I1303" t="s">
        <v>320</v>
      </c>
      <c r="J1303" s="2">
        <v>3519</v>
      </c>
    </row>
    <row r="1304" spans="1:10" hidden="1" x14ac:dyDescent="0.25">
      <c r="A1304" t="s">
        <v>3806</v>
      </c>
      <c r="C1304" t="s">
        <v>4074</v>
      </c>
      <c r="D1304" t="s">
        <v>4113</v>
      </c>
      <c r="F1304" t="s">
        <v>4126</v>
      </c>
      <c r="G1304" s="9" t="s">
        <v>1111</v>
      </c>
      <c r="H1304" t="s">
        <v>1110</v>
      </c>
      <c r="I1304" t="s">
        <v>176</v>
      </c>
      <c r="J1304" s="2">
        <v>3505</v>
      </c>
    </row>
    <row r="1305" spans="1:10" hidden="1" x14ac:dyDescent="0.25">
      <c r="A1305" t="s">
        <v>3807</v>
      </c>
      <c r="C1305" t="s">
        <v>4074</v>
      </c>
      <c r="D1305" t="s">
        <v>4113</v>
      </c>
      <c r="F1305" t="s">
        <v>4126</v>
      </c>
      <c r="G1305" s="9" t="s">
        <v>1112</v>
      </c>
      <c r="H1305" t="s">
        <v>1110</v>
      </c>
      <c r="I1305" t="s">
        <v>320</v>
      </c>
      <c r="J1305" s="2">
        <v>3505</v>
      </c>
    </row>
    <row r="1306" spans="1:10" hidden="1" x14ac:dyDescent="0.25">
      <c r="A1306" t="s">
        <v>3808</v>
      </c>
      <c r="C1306" t="s">
        <v>4074</v>
      </c>
      <c r="D1306" t="s">
        <v>4113</v>
      </c>
      <c r="F1306" t="s">
        <v>4126</v>
      </c>
      <c r="G1306" s="9" t="s">
        <v>1119</v>
      </c>
      <c r="H1306" t="s">
        <v>1118</v>
      </c>
      <c r="I1306" t="s">
        <v>13</v>
      </c>
      <c r="J1306" s="2">
        <v>3437</v>
      </c>
    </row>
    <row r="1307" spans="1:10" hidden="1" x14ac:dyDescent="0.25">
      <c r="A1307" t="s">
        <v>3809</v>
      </c>
      <c r="C1307" t="s">
        <v>4074</v>
      </c>
      <c r="D1307" t="s">
        <v>4113</v>
      </c>
      <c r="F1307" t="s">
        <v>4126</v>
      </c>
      <c r="G1307" s="9" t="s">
        <v>1127</v>
      </c>
      <c r="H1307" t="s">
        <v>1126</v>
      </c>
      <c r="I1307" t="s">
        <v>13</v>
      </c>
      <c r="J1307" s="2">
        <v>3386</v>
      </c>
    </row>
    <row r="1308" spans="1:10" hidden="1" x14ac:dyDescent="0.25">
      <c r="A1308" t="s">
        <v>3810</v>
      </c>
      <c r="C1308" t="s">
        <v>4074</v>
      </c>
      <c r="D1308" t="s">
        <v>4113</v>
      </c>
      <c r="F1308" t="s">
        <v>4126</v>
      </c>
      <c r="G1308" s="9" t="s">
        <v>1128</v>
      </c>
      <c r="H1308" t="s">
        <v>1126</v>
      </c>
      <c r="I1308" t="s">
        <v>320</v>
      </c>
      <c r="J1308" s="2">
        <v>3386</v>
      </c>
    </row>
    <row r="1309" spans="1:10" hidden="1" x14ac:dyDescent="0.25">
      <c r="A1309" t="s">
        <v>3811</v>
      </c>
      <c r="C1309" t="s">
        <v>4074</v>
      </c>
      <c r="D1309" t="s">
        <v>4113</v>
      </c>
      <c r="F1309" t="s">
        <v>4126</v>
      </c>
      <c r="G1309" s="9" t="s">
        <v>1130</v>
      </c>
      <c r="H1309" t="s">
        <v>1129</v>
      </c>
      <c r="I1309" t="s">
        <v>10</v>
      </c>
      <c r="J1309" s="2">
        <v>3384</v>
      </c>
    </row>
    <row r="1310" spans="1:10" hidden="1" x14ac:dyDescent="0.25">
      <c r="A1310" t="s">
        <v>3812</v>
      </c>
      <c r="C1310" t="s">
        <v>4074</v>
      </c>
      <c r="D1310" t="s">
        <v>4113</v>
      </c>
      <c r="F1310" t="s">
        <v>4126</v>
      </c>
      <c r="G1310" s="9" t="s">
        <v>1132</v>
      </c>
      <c r="H1310" t="s">
        <v>1131</v>
      </c>
      <c r="I1310" t="s">
        <v>13</v>
      </c>
      <c r="J1310" s="2">
        <v>3374</v>
      </c>
    </row>
    <row r="1311" spans="1:10" hidden="1" x14ac:dyDescent="0.25">
      <c r="A1311" t="s">
        <v>3813</v>
      </c>
      <c r="C1311" t="s">
        <v>4074</v>
      </c>
      <c r="D1311" t="s">
        <v>4113</v>
      </c>
      <c r="F1311" t="s">
        <v>4126</v>
      </c>
      <c r="G1311" s="9" t="s">
        <v>1133</v>
      </c>
      <c r="H1311" t="s">
        <v>1131</v>
      </c>
      <c r="I1311" t="s">
        <v>5</v>
      </c>
      <c r="J1311" s="2">
        <v>3374</v>
      </c>
    </row>
    <row r="1312" spans="1:10" hidden="1" x14ac:dyDescent="0.25">
      <c r="A1312" t="s">
        <v>3814</v>
      </c>
      <c r="C1312" t="s">
        <v>4074</v>
      </c>
      <c r="D1312" t="s">
        <v>4113</v>
      </c>
      <c r="F1312" t="s">
        <v>4126</v>
      </c>
      <c r="G1312" s="9" t="s">
        <v>1134</v>
      </c>
      <c r="H1312" t="s">
        <v>1131</v>
      </c>
      <c r="I1312" t="s">
        <v>5</v>
      </c>
      <c r="J1312" s="2">
        <v>3374</v>
      </c>
    </row>
    <row r="1313" spans="1:10" hidden="1" x14ac:dyDescent="0.25">
      <c r="A1313" t="s">
        <v>3815</v>
      </c>
      <c r="C1313" t="s">
        <v>4074</v>
      </c>
      <c r="D1313" t="s">
        <v>4113</v>
      </c>
      <c r="F1313" t="s">
        <v>4126</v>
      </c>
      <c r="G1313" s="9" t="s">
        <v>1135</v>
      </c>
      <c r="H1313" t="s">
        <v>1131</v>
      </c>
      <c r="I1313" t="s">
        <v>10</v>
      </c>
      <c r="J1313" s="2">
        <v>3374</v>
      </c>
    </row>
    <row r="1314" spans="1:10" hidden="1" x14ac:dyDescent="0.25">
      <c r="A1314" t="s">
        <v>3816</v>
      </c>
      <c r="C1314" t="s">
        <v>4074</v>
      </c>
      <c r="D1314" t="s">
        <v>4113</v>
      </c>
      <c r="F1314" t="s">
        <v>4126</v>
      </c>
      <c r="G1314" s="9" t="s">
        <v>1145</v>
      </c>
      <c r="H1314" t="s">
        <v>1144</v>
      </c>
      <c r="I1314" t="s">
        <v>13</v>
      </c>
      <c r="J1314" s="2">
        <v>3356</v>
      </c>
    </row>
    <row r="1315" spans="1:10" hidden="1" x14ac:dyDescent="0.25">
      <c r="A1315" t="s">
        <v>3817</v>
      </c>
      <c r="C1315" t="s">
        <v>4074</v>
      </c>
      <c r="D1315" t="s">
        <v>4113</v>
      </c>
      <c r="F1315" t="s">
        <v>4126</v>
      </c>
      <c r="G1315" s="9" t="s">
        <v>1146</v>
      </c>
      <c r="H1315" t="s">
        <v>1144</v>
      </c>
      <c r="I1315" t="s">
        <v>13</v>
      </c>
      <c r="J1315" s="2">
        <v>3356</v>
      </c>
    </row>
    <row r="1316" spans="1:10" hidden="1" x14ac:dyDescent="0.25">
      <c r="A1316" t="s">
        <v>3818</v>
      </c>
      <c r="C1316" t="s">
        <v>4074</v>
      </c>
      <c r="D1316" t="s">
        <v>4113</v>
      </c>
      <c r="F1316" t="s">
        <v>4126</v>
      </c>
      <c r="G1316" s="9" t="s">
        <v>1147</v>
      </c>
      <c r="H1316" t="s">
        <v>1144</v>
      </c>
      <c r="I1316" t="s">
        <v>5</v>
      </c>
      <c r="J1316" s="2">
        <v>3356</v>
      </c>
    </row>
    <row r="1317" spans="1:10" hidden="1" x14ac:dyDescent="0.25">
      <c r="A1317" t="s">
        <v>3819</v>
      </c>
      <c r="C1317" t="s">
        <v>4074</v>
      </c>
      <c r="D1317" t="s">
        <v>4113</v>
      </c>
      <c r="F1317" t="s">
        <v>4126</v>
      </c>
      <c r="G1317" s="9" t="s">
        <v>1148</v>
      </c>
      <c r="H1317" t="s">
        <v>1144</v>
      </c>
      <c r="I1317" t="s">
        <v>10</v>
      </c>
      <c r="J1317" s="2">
        <v>3356</v>
      </c>
    </row>
    <row r="1318" spans="1:10" hidden="1" x14ac:dyDescent="0.25">
      <c r="A1318" t="s">
        <v>3820</v>
      </c>
      <c r="C1318" t="s">
        <v>4074</v>
      </c>
      <c r="D1318" t="s">
        <v>4113</v>
      </c>
      <c r="F1318" t="s">
        <v>4126</v>
      </c>
      <c r="G1318" s="9" t="s">
        <v>1149</v>
      </c>
      <c r="H1318" t="s">
        <v>1144</v>
      </c>
      <c r="I1318" t="s">
        <v>10</v>
      </c>
      <c r="J1318" s="2">
        <v>3356</v>
      </c>
    </row>
    <row r="1319" spans="1:10" hidden="1" x14ac:dyDescent="0.25">
      <c r="A1319" t="s">
        <v>3821</v>
      </c>
      <c r="C1319" t="s">
        <v>4074</v>
      </c>
      <c r="D1319" t="s">
        <v>4113</v>
      </c>
      <c r="F1319" t="s">
        <v>4126</v>
      </c>
      <c r="G1319" s="9" t="s">
        <v>1163</v>
      </c>
      <c r="H1319" t="s">
        <v>1162</v>
      </c>
      <c r="I1319" t="s">
        <v>13</v>
      </c>
      <c r="J1319" s="2">
        <v>3337</v>
      </c>
    </row>
    <row r="1320" spans="1:10" hidden="1" x14ac:dyDescent="0.25">
      <c r="A1320" t="s">
        <v>3822</v>
      </c>
      <c r="C1320" t="s">
        <v>4074</v>
      </c>
      <c r="D1320" t="s">
        <v>4113</v>
      </c>
      <c r="F1320" t="s">
        <v>4126</v>
      </c>
      <c r="G1320" s="9" t="s">
        <v>1168</v>
      </c>
      <c r="H1320" t="s">
        <v>1167</v>
      </c>
      <c r="I1320" t="s">
        <v>37</v>
      </c>
      <c r="J1320" s="2">
        <v>3318</v>
      </c>
    </row>
    <row r="1321" spans="1:10" hidden="1" x14ac:dyDescent="0.25">
      <c r="A1321" t="s">
        <v>3823</v>
      </c>
      <c r="C1321" t="s">
        <v>4074</v>
      </c>
      <c r="D1321" t="s">
        <v>4113</v>
      </c>
      <c r="F1321" t="s">
        <v>4126</v>
      </c>
      <c r="G1321" s="9" t="s">
        <v>1169</v>
      </c>
      <c r="H1321" t="s">
        <v>1167</v>
      </c>
      <c r="I1321" t="s">
        <v>510</v>
      </c>
      <c r="J1321" s="2">
        <v>3318</v>
      </c>
    </row>
    <row r="1322" spans="1:10" hidden="1" x14ac:dyDescent="0.25">
      <c r="A1322" t="s">
        <v>3824</v>
      </c>
      <c r="C1322" t="s">
        <v>4074</v>
      </c>
      <c r="D1322" t="s">
        <v>4113</v>
      </c>
      <c r="F1322" t="s">
        <v>4126</v>
      </c>
      <c r="G1322" s="9" t="s">
        <v>1174</v>
      </c>
      <c r="H1322" t="s">
        <v>1173</v>
      </c>
      <c r="I1322" t="s">
        <v>37</v>
      </c>
      <c r="J1322" s="2">
        <v>3296</v>
      </c>
    </row>
    <row r="1323" spans="1:10" hidden="1" x14ac:dyDescent="0.25">
      <c r="A1323" t="s">
        <v>3825</v>
      </c>
      <c r="C1323" t="s">
        <v>4074</v>
      </c>
      <c r="D1323" t="s">
        <v>4113</v>
      </c>
      <c r="F1323" t="s">
        <v>4126</v>
      </c>
      <c r="G1323" s="9" t="s">
        <v>1175</v>
      </c>
      <c r="H1323" t="s">
        <v>1173</v>
      </c>
      <c r="I1323" t="s">
        <v>320</v>
      </c>
      <c r="J1323" s="2">
        <v>3296</v>
      </c>
    </row>
    <row r="1324" spans="1:10" hidden="1" x14ac:dyDescent="0.25">
      <c r="A1324" t="s">
        <v>3826</v>
      </c>
      <c r="C1324" t="s">
        <v>4074</v>
      </c>
      <c r="D1324" t="s">
        <v>4113</v>
      </c>
      <c r="F1324" t="s">
        <v>4126</v>
      </c>
      <c r="G1324" s="9" t="s">
        <v>1184</v>
      </c>
      <c r="H1324" t="s">
        <v>1183</v>
      </c>
      <c r="I1324" t="s">
        <v>13</v>
      </c>
      <c r="J1324" s="2">
        <v>3287</v>
      </c>
    </row>
    <row r="1325" spans="1:10" hidden="1" x14ac:dyDescent="0.25">
      <c r="A1325" t="s">
        <v>3827</v>
      </c>
      <c r="C1325" t="s">
        <v>4074</v>
      </c>
      <c r="D1325" t="s">
        <v>4113</v>
      </c>
      <c r="F1325" t="s">
        <v>4126</v>
      </c>
      <c r="G1325" s="9" t="s">
        <v>1185</v>
      </c>
      <c r="H1325" t="s">
        <v>1183</v>
      </c>
      <c r="I1325" t="s">
        <v>5</v>
      </c>
      <c r="J1325" s="2">
        <v>3287</v>
      </c>
    </row>
    <row r="1326" spans="1:10" hidden="1" x14ac:dyDescent="0.25">
      <c r="A1326" t="s">
        <v>3828</v>
      </c>
      <c r="C1326" t="s">
        <v>4074</v>
      </c>
      <c r="D1326" t="s">
        <v>4113</v>
      </c>
      <c r="F1326" t="s">
        <v>4126</v>
      </c>
      <c r="G1326" s="9" t="s">
        <v>1186</v>
      </c>
      <c r="H1326" t="s">
        <v>1183</v>
      </c>
      <c r="I1326" t="s">
        <v>320</v>
      </c>
      <c r="J1326" s="2">
        <v>3287</v>
      </c>
    </row>
    <row r="1327" spans="1:10" hidden="1" x14ac:dyDescent="0.25">
      <c r="A1327" t="s">
        <v>3829</v>
      </c>
      <c r="C1327" t="s">
        <v>4074</v>
      </c>
      <c r="D1327" t="s">
        <v>4113</v>
      </c>
      <c r="F1327" t="s">
        <v>4126</v>
      </c>
      <c r="G1327" s="9" t="s">
        <v>1193</v>
      </c>
      <c r="H1327" t="s">
        <v>1192</v>
      </c>
      <c r="I1327" t="s">
        <v>13</v>
      </c>
      <c r="J1327" s="2">
        <v>3276</v>
      </c>
    </row>
    <row r="1328" spans="1:10" hidden="1" x14ac:dyDescent="0.25">
      <c r="A1328" t="s">
        <v>3830</v>
      </c>
      <c r="C1328" t="s">
        <v>4074</v>
      </c>
      <c r="D1328" t="s">
        <v>4113</v>
      </c>
      <c r="F1328" t="s">
        <v>4126</v>
      </c>
      <c r="G1328" s="9" t="s">
        <v>1194</v>
      </c>
      <c r="H1328" t="s">
        <v>1192</v>
      </c>
      <c r="I1328" t="s">
        <v>13</v>
      </c>
      <c r="J1328" s="2">
        <v>3276</v>
      </c>
    </row>
    <row r="1329" spans="1:10" hidden="1" x14ac:dyDescent="0.25">
      <c r="A1329" t="s">
        <v>3831</v>
      </c>
      <c r="C1329" t="s">
        <v>4074</v>
      </c>
      <c r="D1329" t="s">
        <v>4113</v>
      </c>
      <c r="F1329" t="s">
        <v>4126</v>
      </c>
      <c r="G1329" s="9" t="s">
        <v>1195</v>
      </c>
      <c r="H1329" t="s">
        <v>1192</v>
      </c>
      <c r="I1329" t="s">
        <v>5</v>
      </c>
      <c r="J1329" s="2">
        <v>3276</v>
      </c>
    </row>
    <row r="1330" spans="1:10" hidden="1" x14ac:dyDescent="0.25">
      <c r="A1330" t="s">
        <v>3832</v>
      </c>
      <c r="C1330" t="s">
        <v>4074</v>
      </c>
      <c r="D1330" t="s">
        <v>4113</v>
      </c>
      <c r="F1330" t="s">
        <v>4126</v>
      </c>
      <c r="G1330" s="9" t="s">
        <v>1196</v>
      </c>
      <c r="H1330" t="s">
        <v>1192</v>
      </c>
      <c r="I1330" t="s">
        <v>10</v>
      </c>
      <c r="J1330" s="2">
        <v>3276</v>
      </c>
    </row>
    <row r="1331" spans="1:10" hidden="1" x14ac:dyDescent="0.25">
      <c r="A1331" t="s">
        <v>3833</v>
      </c>
      <c r="C1331" t="s">
        <v>4074</v>
      </c>
      <c r="D1331" t="s">
        <v>4113</v>
      </c>
      <c r="F1331" t="s">
        <v>4126</v>
      </c>
      <c r="G1331" s="9" t="s">
        <v>1198</v>
      </c>
      <c r="H1331" t="s">
        <v>1197</v>
      </c>
      <c r="I1331" t="s">
        <v>320</v>
      </c>
      <c r="J1331" s="2">
        <v>3259</v>
      </c>
    </row>
    <row r="1332" spans="1:10" hidden="1" x14ac:dyDescent="0.25">
      <c r="A1332" t="s">
        <v>3834</v>
      </c>
      <c r="C1332" t="s">
        <v>4074</v>
      </c>
      <c r="D1332" t="s">
        <v>4113</v>
      </c>
      <c r="F1332" t="s">
        <v>4126</v>
      </c>
      <c r="G1332" s="9" t="s">
        <v>1064</v>
      </c>
      <c r="H1332" t="s">
        <v>1197</v>
      </c>
      <c r="I1332" t="s">
        <v>10</v>
      </c>
      <c r="J1332" s="2">
        <v>3259</v>
      </c>
    </row>
    <row r="1333" spans="1:10" hidden="1" x14ac:dyDescent="0.25">
      <c r="A1333" t="s">
        <v>3835</v>
      </c>
      <c r="C1333" t="s">
        <v>4074</v>
      </c>
      <c r="D1333" t="s">
        <v>4113</v>
      </c>
      <c r="F1333" t="s">
        <v>4126</v>
      </c>
      <c r="G1333" s="9" t="s">
        <v>1257</v>
      </c>
      <c r="H1333" t="s">
        <v>1256</v>
      </c>
      <c r="I1333" t="s">
        <v>13</v>
      </c>
      <c r="J1333" s="2">
        <v>3044</v>
      </c>
    </row>
    <row r="1334" spans="1:10" hidden="1" x14ac:dyDescent="0.25">
      <c r="A1334" t="s">
        <v>3836</v>
      </c>
      <c r="C1334" t="s">
        <v>4074</v>
      </c>
      <c r="D1334" t="s">
        <v>4113</v>
      </c>
      <c r="F1334" t="s">
        <v>4126</v>
      </c>
      <c r="G1334" s="9" t="s">
        <v>1259</v>
      </c>
      <c r="H1334" t="s">
        <v>1258</v>
      </c>
      <c r="I1334" t="s">
        <v>13</v>
      </c>
      <c r="J1334" s="2">
        <v>3017</v>
      </c>
    </row>
    <row r="1335" spans="1:10" hidden="1" x14ac:dyDescent="0.25">
      <c r="A1335" t="s">
        <v>3837</v>
      </c>
      <c r="C1335" t="s">
        <v>4074</v>
      </c>
      <c r="D1335" t="s">
        <v>4113</v>
      </c>
      <c r="F1335" t="s">
        <v>4126</v>
      </c>
      <c r="G1335" s="9" t="s">
        <v>1269</v>
      </c>
      <c r="H1335" t="s">
        <v>1268</v>
      </c>
      <c r="I1335" t="s">
        <v>13</v>
      </c>
      <c r="J1335" s="2">
        <v>2997</v>
      </c>
    </row>
    <row r="1336" spans="1:10" hidden="1" x14ac:dyDescent="0.25">
      <c r="A1336" t="s">
        <v>3838</v>
      </c>
      <c r="C1336" t="s">
        <v>4074</v>
      </c>
      <c r="D1336" t="s">
        <v>4113</v>
      </c>
      <c r="F1336" t="s">
        <v>4126</v>
      </c>
      <c r="G1336" s="9" t="s">
        <v>180</v>
      </c>
      <c r="H1336" t="s">
        <v>1268</v>
      </c>
      <c r="I1336" t="s">
        <v>10</v>
      </c>
      <c r="J1336" s="2">
        <v>2997</v>
      </c>
    </row>
    <row r="1337" spans="1:10" hidden="1" x14ac:dyDescent="0.25">
      <c r="A1337" t="s">
        <v>3839</v>
      </c>
      <c r="C1337" t="s">
        <v>4074</v>
      </c>
      <c r="D1337" t="s">
        <v>4113</v>
      </c>
      <c r="F1337" t="s">
        <v>4126</v>
      </c>
      <c r="G1337" s="9" t="s">
        <v>1271</v>
      </c>
      <c r="H1337" t="s">
        <v>1270</v>
      </c>
      <c r="I1337" t="s">
        <v>13</v>
      </c>
      <c r="J1337" s="2">
        <v>2995</v>
      </c>
    </row>
    <row r="1338" spans="1:10" hidden="1" x14ac:dyDescent="0.25">
      <c r="A1338" t="s">
        <v>3840</v>
      </c>
      <c r="C1338" t="s">
        <v>4074</v>
      </c>
      <c r="D1338" t="s">
        <v>4113</v>
      </c>
      <c r="F1338" t="s">
        <v>4126</v>
      </c>
      <c r="G1338" s="9" t="s">
        <v>1279</v>
      </c>
      <c r="H1338" t="s">
        <v>1278</v>
      </c>
      <c r="I1338" t="s">
        <v>320</v>
      </c>
      <c r="J1338" s="2">
        <v>2963</v>
      </c>
    </row>
    <row r="1339" spans="1:10" hidden="1" x14ac:dyDescent="0.25">
      <c r="A1339" t="s">
        <v>3841</v>
      </c>
      <c r="C1339" t="s">
        <v>4074</v>
      </c>
      <c r="D1339" t="s">
        <v>4113</v>
      </c>
      <c r="F1339" t="s">
        <v>4126</v>
      </c>
      <c r="G1339" s="9" t="s">
        <v>1284</v>
      </c>
      <c r="H1339" t="s">
        <v>1283</v>
      </c>
      <c r="I1339" t="s">
        <v>37</v>
      </c>
      <c r="J1339" s="2">
        <v>2952</v>
      </c>
    </row>
    <row r="1340" spans="1:10" hidden="1" x14ac:dyDescent="0.25">
      <c r="A1340" t="s">
        <v>3842</v>
      </c>
      <c r="C1340" t="s">
        <v>4074</v>
      </c>
      <c r="D1340" t="s">
        <v>4113</v>
      </c>
      <c r="F1340" t="s">
        <v>4126</v>
      </c>
      <c r="G1340" s="9" t="s">
        <v>1286</v>
      </c>
      <c r="H1340" t="s">
        <v>1285</v>
      </c>
      <c r="I1340" t="s">
        <v>207</v>
      </c>
      <c r="J1340" s="2">
        <v>2945</v>
      </c>
    </row>
    <row r="1341" spans="1:10" hidden="1" x14ac:dyDescent="0.25">
      <c r="A1341" t="s">
        <v>3843</v>
      </c>
      <c r="C1341" t="s">
        <v>4074</v>
      </c>
      <c r="D1341" t="s">
        <v>4113</v>
      </c>
      <c r="F1341" t="s">
        <v>4126</v>
      </c>
      <c r="G1341" s="9" t="s">
        <v>1288</v>
      </c>
      <c r="H1341" t="s">
        <v>1287</v>
      </c>
      <c r="I1341" t="s">
        <v>37</v>
      </c>
      <c r="J1341" s="2">
        <v>2932</v>
      </c>
    </row>
    <row r="1342" spans="1:10" hidden="1" x14ac:dyDescent="0.25">
      <c r="A1342" t="s">
        <v>3844</v>
      </c>
      <c r="C1342" t="s">
        <v>4074</v>
      </c>
      <c r="D1342" t="s">
        <v>4113</v>
      </c>
      <c r="F1342" t="s">
        <v>4126</v>
      </c>
      <c r="G1342" s="9" t="s">
        <v>1295</v>
      </c>
      <c r="H1342" t="s">
        <v>1294</v>
      </c>
      <c r="I1342" t="s">
        <v>13</v>
      </c>
      <c r="J1342" s="2">
        <v>2924</v>
      </c>
    </row>
    <row r="1343" spans="1:10" hidden="1" x14ac:dyDescent="0.25">
      <c r="A1343" t="s">
        <v>3845</v>
      </c>
      <c r="C1343" t="s">
        <v>4074</v>
      </c>
      <c r="D1343" t="s">
        <v>4113</v>
      </c>
      <c r="F1343" t="s">
        <v>4126</v>
      </c>
      <c r="G1343" s="9" t="s">
        <v>1297</v>
      </c>
      <c r="H1343" t="s">
        <v>1296</v>
      </c>
      <c r="I1343" t="s">
        <v>13</v>
      </c>
      <c r="J1343" s="2">
        <v>2923</v>
      </c>
    </row>
    <row r="1344" spans="1:10" hidden="1" x14ac:dyDescent="0.25">
      <c r="A1344" t="s">
        <v>3846</v>
      </c>
      <c r="C1344" t="s">
        <v>4074</v>
      </c>
      <c r="D1344" t="s">
        <v>4113</v>
      </c>
      <c r="F1344" t="s">
        <v>4126</v>
      </c>
      <c r="G1344" s="9" t="s">
        <v>1304</v>
      </c>
      <c r="H1344" t="s">
        <v>1303</v>
      </c>
      <c r="I1344" t="s">
        <v>13</v>
      </c>
      <c r="J1344" s="2">
        <v>2866</v>
      </c>
    </row>
    <row r="1345" spans="1:10" hidden="1" x14ac:dyDescent="0.25">
      <c r="A1345" t="s">
        <v>3847</v>
      </c>
      <c r="C1345" t="s">
        <v>4074</v>
      </c>
      <c r="D1345" t="s">
        <v>4113</v>
      </c>
      <c r="F1345" t="s">
        <v>4126</v>
      </c>
      <c r="G1345" s="9" t="s">
        <v>571</v>
      </c>
      <c r="H1345" t="s">
        <v>1305</v>
      </c>
      <c r="I1345" t="s">
        <v>13</v>
      </c>
      <c r="J1345" s="2">
        <v>2863</v>
      </c>
    </row>
    <row r="1346" spans="1:10" hidden="1" x14ac:dyDescent="0.25">
      <c r="A1346" t="s">
        <v>3848</v>
      </c>
      <c r="C1346" t="s">
        <v>4074</v>
      </c>
      <c r="D1346" t="s">
        <v>4113</v>
      </c>
      <c r="F1346" t="s">
        <v>4126</v>
      </c>
      <c r="G1346" s="9" t="s">
        <v>1307</v>
      </c>
      <c r="H1346" t="s">
        <v>1306</v>
      </c>
      <c r="I1346" t="s">
        <v>13</v>
      </c>
      <c r="J1346" s="2">
        <v>2860</v>
      </c>
    </row>
    <row r="1347" spans="1:10" hidden="1" x14ac:dyDescent="0.25">
      <c r="A1347" t="s">
        <v>3849</v>
      </c>
      <c r="C1347" t="s">
        <v>4074</v>
      </c>
      <c r="D1347" t="s">
        <v>4113</v>
      </c>
      <c r="F1347" t="s">
        <v>4126</v>
      </c>
      <c r="G1347" s="9" t="s">
        <v>1308</v>
      </c>
      <c r="H1347" t="s">
        <v>1306</v>
      </c>
      <c r="I1347" t="s">
        <v>89</v>
      </c>
      <c r="J1347" s="2">
        <v>2860</v>
      </c>
    </row>
    <row r="1348" spans="1:10" hidden="1" x14ac:dyDescent="0.25">
      <c r="A1348" t="s">
        <v>3850</v>
      </c>
      <c r="C1348" t="s">
        <v>4074</v>
      </c>
      <c r="D1348" t="s">
        <v>4113</v>
      </c>
      <c r="F1348" t="s">
        <v>4126</v>
      </c>
      <c r="G1348" s="9" t="s">
        <v>1313</v>
      </c>
      <c r="H1348" t="s">
        <v>1312</v>
      </c>
      <c r="I1348" t="s">
        <v>37</v>
      </c>
      <c r="J1348" s="2">
        <v>2850</v>
      </c>
    </row>
    <row r="1349" spans="1:10" hidden="1" x14ac:dyDescent="0.25">
      <c r="A1349" t="s">
        <v>3851</v>
      </c>
      <c r="C1349" t="s">
        <v>4074</v>
      </c>
      <c r="D1349" t="s">
        <v>4113</v>
      </c>
      <c r="F1349" t="s">
        <v>4126</v>
      </c>
      <c r="G1349" s="9" t="s">
        <v>1315</v>
      </c>
      <c r="H1349" t="s">
        <v>1314</v>
      </c>
      <c r="I1349" t="s">
        <v>37</v>
      </c>
      <c r="J1349" s="2">
        <v>2846</v>
      </c>
    </row>
    <row r="1350" spans="1:10" hidden="1" x14ac:dyDescent="0.25">
      <c r="A1350" t="s">
        <v>3852</v>
      </c>
      <c r="C1350" t="s">
        <v>4074</v>
      </c>
      <c r="D1350" t="s">
        <v>4113</v>
      </c>
      <c r="F1350" t="s">
        <v>4126</v>
      </c>
      <c r="G1350" s="9" t="s">
        <v>1316</v>
      </c>
      <c r="H1350" t="s">
        <v>1314</v>
      </c>
      <c r="I1350" t="s">
        <v>320</v>
      </c>
      <c r="J1350" s="2">
        <v>2846</v>
      </c>
    </row>
    <row r="1351" spans="1:10" hidden="1" x14ac:dyDescent="0.25">
      <c r="A1351" t="s">
        <v>3853</v>
      </c>
      <c r="C1351" t="s">
        <v>4074</v>
      </c>
      <c r="D1351" t="s">
        <v>4113</v>
      </c>
      <c r="F1351" t="s">
        <v>4126</v>
      </c>
      <c r="G1351" s="9" t="s">
        <v>1322</v>
      </c>
      <c r="H1351" t="s">
        <v>1321</v>
      </c>
      <c r="I1351" t="s">
        <v>37</v>
      </c>
      <c r="J1351" s="2">
        <v>2802</v>
      </c>
    </row>
    <row r="1352" spans="1:10" hidden="1" x14ac:dyDescent="0.25">
      <c r="A1352" t="s">
        <v>3854</v>
      </c>
      <c r="C1352" t="s">
        <v>4074</v>
      </c>
      <c r="D1352" t="s">
        <v>4113</v>
      </c>
      <c r="F1352" t="s">
        <v>4126</v>
      </c>
      <c r="G1352" s="9" t="s">
        <v>1323</v>
      </c>
      <c r="H1352" t="s">
        <v>1321</v>
      </c>
      <c r="I1352" t="s">
        <v>320</v>
      </c>
      <c r="J1352" s="2">
        <v>2802</v>
      </c>
    </row>
    <row r="1353" spans="1:10" hidden="1" x14ac:dyDescent="0.25">
      <c r="A1353" t="s">
        <v>3855</v>
      </c>
      <c r="C1353" t="s">
        <v>4074</v>
      </c>
      <c r="D1353" t="s">
        <v>4113</v>
      </c>
      <c r="F1353" t="s">
        <v>4126</v>
      </c>
      <c r="G1353" s="9" t="s">
        <v>1366</v>
      </c>
      <c r="H1353" t="s">
        <v>1365</v>
      </c>
      <c r="I1353" t="s">
        <v>13</v>
      </c>
      <c r="J1353" s="2">
        <v>2629</v>
      </c>
    </row>
    <row r="1354" spans="1:10" hidden="1" x14ac:dyDescent="0.25">
      <c r="A1354" t="s">
        <v>3856</v>
      </c>
      <c r="C1354" t="s">
        <v>4074</v>
      </c>
      <c r="D1354" t="s">
        <v>4113</v>
      </c>
      <c r="F1354" t="s">
        <v>4126</v>
      </c>
      <c r="G1354" s="9" t="s">
        <v>1367</v>
      </c>
      <c r="H1354" t="s">
        <v>1365</v>
      </c>
      <c r="I1354" t="s">
        <v>13</v>
      </c>
      <c r="J1354" s="2">
        <v>2629</v>
      </c>
    </row>
    <row r="1355" spans="1:10" hidden="1" x14ac:dyDescent="0.25">
      <c r="A1355" t="s">
        <v>3857</v>
      </c>
      <c r="C1355" t="s">
        <v>4074</v>
      </c>
      <c r="D1355" t="s">
        <v>4113</v>
      </c>
      <c r="F1355" t="s">
        <v>4126</v>
      </c>
      <c r="G1355" s="9" t="s">
        <v>1369</v>
      </c>
      <c r="H1355" t="s">
        <v>1368</v>
      </c>
      <c r="I1355" t="s">
        <v>37</v>
      </c>
      <c r="J1355" s="2">
        <v>2614</v>
      </c>
    </row>
    <row r="1356" spans="1:10" hidden="1" x14ac:dyDescent="0.25">
      <c r="A1356" t="s">
        <v>3858</v>
      </c>
      <c r="C1356" t="s">
        <v>4074</v>
      </c>
      <c r="D1356" t="s">
        <v>4113</v>
      </c>
      <c r="F1356" t="s">
        <v>4126</v>
      </c>
      <c r="G1356" s="9" t="s">
        <v>1370</v>
      </c>
      <c r="H1356" t="s">
        <v>1368</v>
      </c>
      <c r="I1356" t="s">
        <v>510</v>
      </c>
      <c r="J1356" s="2">
        <v>2614</v>
      </c>
    </row>
    <row r="1357" spans="1:10" hidden="1" x14ac:dyDescent="0.25">
      <c r="A1357" t="s">
        <v>3859</v>
      </c>
      <c r="C1357" t="s">
        <v>4074</v>
      </c>
      <c r="D1357" t="s">
        <v>4113</v>
      </c>
      <c r="F1357" t="s">
        <v>4126</v>
      </c>
      <c r="G1357" s="9" t="s">
        <v>1371</v>
      </c>
      <c r="H1357" t="s">
        <v>1368</v>
      </c>
      <c r="I1357" t="s">
        <v>89</v>
      </c>
      <c r="J1357" s="2">
        <v>2614</v>
      </c>
    </row>
    <row r="1358" spans="1:10" hidden="1" x14ac:dyDescent="0.25">
      <c r="A1358" t="s">
        <v>3860</v>
      </c>
      <c r="C1358" t="s">
        <v>4074</v>
      </c>
      <c r="D1358" t="s">
        <v>4113</v>
      </c>
      <c r="F1358" t="s">
        <v>4126</v>
      </c>
      <c r="G1358" s="9" t="s">
        <v>1381</v>
      </c>
      <c r="H1358" t="s">
        <v>1380</v>
      </c>
      <c r="I1358" t="s">
        <v>13</v>
      </c>
      <c r="J1358" s="2">
        <v>2565</v>
      </c>
    </row>
    <row r="1359" spans="1:10" hidden="1" x14ac:dyDescent="0.25">
      <c r="A1359" t="s">
        <v>3861</v>
      </c>
      <c r="C1359" t="s">
        <v>4074</v>
      </c>
      <c r="D1359" t="s">
        <v>4113</v>
      </c>
      <c r="F1359" t="s">
        <v>4126</v>
      </c>
      <c r="G1359" s="9" t="s">
        <v>1382</v>
      </c>
      <c r="H1359" t="s">
        <v>1380</v>
      </c>
      <c r="I1359" t="s">
        <v>13</v>
      </c>
      <c r="J1359" s="2">
        <v>2565</v>
      </c>
    </row>
    <row r="1360" spans="1:10" hidden="1" x14ac:dyDescent="0.25">
      <c r="A1360" t="s">
        <v>3862</v>
      </c>
      <c r="C1360" t="s">
        <v>4074</v>
      </c>
      <c r="D1360" t="s">
        <v>4113</v>
      </c>
      <c r="F1360" t="s">
        <v>4126</v>
      </c>
      <c r="G1360" s="9" t="s">
        <v>1383</v>
      </c>
      <c r="H1360" t="s">
        <v>1380</v>
      </c>
      <c r="I1360" t="s">
        <v>5</v>
      </c>
      <c r="J1360" s="2">
        <v>2565</v>
      </c>
    </row>
    <row r="1361" spans="1:10" hidden="1" x14ac:dyDescent="0.25">
      <c r="A1361" t="s">
        <v>3863</v>
      </c>
      <c r="C1361" t="s">
        <v>4074</v>
      </c>
      <c r="D1361" t="s">
        <v>4113</v>
      </c>
      <c r="F1361" t="s">
        <v>4126</v>
      </c>
      <c r="G1361" s="9" t="s">
        <v>1384</v>
      </c>
      <c r="H1361" t="s">
        <v>1380</v>
      </c>
      <c r="I1361" t="s">
        <v>10</v>
      </c>
      <c r="J1361" s="2">
        <v>2565</v>
      </c>
    </row>
    <row r="1362" spans="1:10" hidden="1" x14ac:dyDescent="0.25">
      <c r="A1362" t="s">
        <v>3864</v>
      </c>
      <c r="C1362" t="s">
        <v>4074</v>
      </c>
      <c r="D1362" t="s">
        <v>4113</v>
      </c>
      <c r="F1362" t="s">
        <v>4126</v>
      </c>
      <c r="G1362" s="9" t="s">
        <v>1386</v>
      </c>
      <c r="H1362" t="s">
        <v>1385</v>
      </c>
      <c r="I1362" t="s">
        <v>176</v>
      </c>
      <c r="J1362" s="2">
        <v>2563</v>
      </c>
    </row>
    <row r="1363" spans="1:10" hidden="1" x14ac:dyDescent="0.25">
      <c r="A1363" t="s">
        <v>3865</v>
      </c>
      <c r="C1363" t="s">
        <v>4074</v>
      </c>
      <c r="D1363" t="s">
        <v>4113</v>
      </c>
      <c r="F1363" t="s">
        <v>4126</v>
      </c>
      <c r="G1363" s="9" t="s">
        <v>1387</v>
      </c>
      <c r="H1363" t="s">
        <v>1385</v>
      </c>
      <c r="I1363" t="s">
        <v>13</v>
      </c>
      <c r="J1363" s="2">
        <v>2563</v>
      </c>
    </row>
    <row r="1364" spans="1:10" hidden="1" x14ac:dyDescent="0.25">
      <c r="A1364" t="s">
        <v>3866</v>
      </c>
      <c r="C1364" t="s">
        <v>4074</v>
      </c>
      <c r="D1364" t="s">
        <v>4113</v>
      </c>
      <c r="F1364" t="s">
        <v>4126</v>
      </c>
      <c r="G1364" s="9" t="s">
        <v>1388</v>
      </c>
      <c r="H1364" t="s">
        <v>1385</v>
      </c>
      <c r="I1364" t="s">
        <v>37</v>
      </c>
      <c r="J1364" s="2">
        <v>2563</v>
      </c>
    </row>
    <row r="1365" spans="1:10" hidden="1" x14ac:dyDescent="0.25">
      <c r="A1365" t="s">
        <v>3867</v>
      </c>
      <c r="C1365" t="s">
        <v>4074</v>
      </c>
      <c r="D1365" t="s">
        <v>4113</v>
      </c>
      <c r="F1365" t="s">
        <v>4126</v>
      </c>
      <c r="G1365" s="9" t="s">
        <v>1389</v>
      </c>
      <c r="H1365" t="s">
        <v>1385</v>
      </c>
      <c r="I1365" t="s">
        <v>89</v>
      </c>
      <c r="J1365" s="2">
        <v>2563</v>
      </c>
    </row>
    <row r="1366" spans="1:10" hidden="1" x14ac:dyDescent="0.25">
      <c r="A1366" t="s">
        <v>3868</v>
      </c>
      <c r="C1366" t="s">
        <v>4074</v>
      </c>
      <c r="D1366" t="s">
        <v>4113</v>
      </c>
      <c r="F1366" t="s">
        <v>4126</v>
      </c>
      <c r="G1366" s="9" t="s">
        <v>1391</v>
      </c>
      <c r="H1366" t="s">
        <v>1390</v>
      </c>
      <c r="I1366" t="s">
        <v>320</v>
      </c>
      <c r="J1366" s="2">
        <v>2557</v>
      </c>
    </row>
    <row r="1367" spans="1:10" hidden="1" x14ac:dyDescent="0.25">
      <c r="A1367" t="s">
        <v>3869</v>
      </c>
      <c r="C1367" t="s">
        <v>4074</v>
      </c>
      <c r="D1367" t="s">
        <v>4113</v>
      </c>
      <c r="F1367" t="s">
        <v>4126</v>
      </c>
      <c r="G1367" s="9" t="s">
        <v>1392</v>
      </c>
      <c r="H1367" t="s">
        <v>1390</v>
      </c>
      <c r="I1367" t="s">
        <v>10</v>
      </c>
      <c r="J1367" s="2">
        <v>2557</v>
      </c>
    </row>
    <row r="1368" spans="1:10" hidden="1" x14ac:dyDescent="0.25">
      <c r="A1368" t="s">
        <v>3870</v>
      </c>
      <c r="C1368" t="s">
        <v>4074</v>
      </c>
      <c r="D1368" t="s">
        <v>4113</v>
      </c>
      <c r="F1368" t="s">
        <v>4126</v>
      </c>
      <c r="G1368" s="9" t="s">
        <v>1396</v>
      </c>
      <c r="H1368" t="s">
        <v>1395</v>
      </c>
      <c r="I1368" t="s">
        <v>37</v>
      </c>
      <c r="J1368" s="2">
        <v>2542</v>
      </c>
    </row>
    <row r="1369" spans="1:10" hidden="1" x14ac:dyDescent="0.25">
      <c r="A1369" t="s">
        <v>3871</v>
      </c>
      <c r="C1369" t="s">
        <v>4074</v>
      </c>
      <c r="D1369" t="s">
        <v>4113</v>
      </c>
      <c r="F1369" t="s">
        <v>4126</v>
      </c>
      <c r="G1369" s="9" t="s">
        <v>1397</v>
      </c>
      <c r="H1369" t="s">
        <v>1395</v>
      </c>
      <c r="I1369" t="s">
        <v>37</v>
      </c>
      <c r="J1369" s="2">
        <v>2542</v>
      </c>
    </row>
    <row r="1370" spans="1:10" hidden="1" x14ac:dyDescent="0.25">
      <c r="A1370" t="s">
        <v>3872</v>
      </c>
      <c r="C1370" t="s">
        <v>4074</v>
      </c>
      <c r="D1370" t="s">
        <v>4113</v>
      </c>
      <c r="F1370" t="s">
        <v>4126</v>
      </c>
      <c r="G1370" s="9" t="s">
        <v>1406</v>
      </c>
      <c r="H1370" t="s">
        <v>1405</v>
      </c>
      <c r="I1370" t="s">
        <v>13</v>
      </c>
      <c r="J1370" s="2">
        <v>2523</v>
      </c>
    </row>
    <row r="1371" spans="1:10" hidden="1" x14ac:dyDescent="0.25">
      <c r="A1371" t="s">
        <v>3873</v>
      </c>
      <c r="C1371" t="s">
        <v>4074</v>
      </c>
      <c r="D1371" t="s">
        <v>4113</v>
      </c>
      <c r="F1371" t="s">
        <v>4126</v>
      </c>
      <c r="G1371" s="9" t="s">
        <v>1411</v>
      </c>
      <c r="H1371" t="s">
        <v>1410</v>
      </c>
      <c r="I1371" t="s">
        <v>320</v>
      </c>
      <c r="J1371" s="2">
        <v>2498</v>
      </c>
    </row>
    <row r="1372" spans="1:10" hidden="1" x14ac:dyDescent="0.25">
      <c r="A1372" t="s">
        <v>3874</v>
      </c>
      <c r="C1372" t="s">
        <v>4074</v>
      </c>
      <c r="D1372" t="s">
        <v>4113</v>
      </c>
      <c r="F1372" t="s">
        <v>4126</v>
      </c>
      <c r="G1372" s="9" t="s">
        <v>1413</v>
      </c>
      <c r="H1372" t="s">
        <v>1412</v>
      </c>
      <c r="I1372" t="s">
        <v>13</v>
      </c>
      <c r="J1372" s="2">
        <v>2490</v>
      </c>
    </row>
    <row r="1373" spans="1:10" hidden="1" x14ac:dyDescent="0.25">
      <c r="A1373" t="s">
        <v>3875</v>
      </c>
      <c r="C1373" t="s">
        <v>4074</v>
      </c>
      <c r="D1373" t="s">
        <v>4113</v>
      </c>
      <c r="F1373" t="s">
        <v>4126</v>
      </c>
      <c r="G1373" s="9" t="s">
        <v>1424</v>
      </c>
      <c r="H1373" t="s">
        <v>1423</v>
      </c>
      <c r="I1373" t="s">
        <v>13</v>
      </c>
      <c r="J1373" s="2">
        <v>2456</v>
      </c>
    </row>
    <row r="1374" spans="1:10" hidden="1" x14ac:dyDescent="0.25">
      <c r="A1374" t="s">
        <v>3876</v>
      </c>
      <c r="C1374" t="s">
        <v>4074</v>
      </c>
      <c r="D1374" t="s">
        <v>4113</v>
      </c>
      <c r="F1374" t="s">
        <v>4126</v>
      </c>
      <c r="G1374" s="9" t="s">
        <v>1425</v>
      </c>
      <c r="H1374" t="s">
        <v>1423</v>
      </c>
      <c r="I1374" t="s">
        <v>89</v>
      </c>
      <c r="J1374" s="2">
        <v>2456</v>
      </c>
    </row>
    <row r="1375" spans="1:10" hidden="1" x14ac:dyDescent="0.25">
      <c r="A1375" t="s">
        <v>3877</v>
      </c>
      <c r="C1375" t="s">
        <v>4074</v>
      </c>
      <c r="D1375" t="s">
        <v>4113</v>
      </c>
      <c r="F1375" t="s">
        <v>4126</v>
      </c>
      <c r="G1375" s="9" t="s">
        <v>1427</v>
      </c>
      <c r="H1375" t="s">
        <v>1426</v>
      </c>
      <c r="I1375" t="s">
        <v>13</v>
      </c>
      <c r="J1375" s="2">
        <v>2451</v>
      </c>
    </row>
    <row r="1376" spans="1:10" hidden="1" x14ac:dyDescent="0.25">
      <c r="A1376" t="s">
        <v>3878</v>
      </c>
      <c r="C1376" t="s">
        <v>4074</v>
      </c>
      <c r="D1376" t="s">
        <v>4113</v>
      </c>
      <c r="F1376" t="s">
        <v>4126</v>
      </c>
      <c r="G1376" s="9" t="s">
        <v>1428</v>
      </c>
      <c r="H1376" t="s">
        <v>1426</v>
      </c>
      <c r="I1376" t="s">
        <v>10</v>
      </c>
      <c r="J1376" s="2">
        <v>2451</v>
      </c>
    </row>
    <row r="1377" spans="1:10" hidden="1" x14ac:dyDescent="0.25">
      <c r="A1377" t="s">
        <v>3879</v>
      </c>
      <c r="C1377" t="s">
        <v>4074</v>
      </c>
      <c r="D1377" t="s">
        <v>4113</v>
      </c>
      <c r="F1377" t="s">
        <v>4126</v>
      </c>
      <c r="G1377" s="9" t="s">
        <v>1429</v>
      </c>
      <c r="H1377" t="s">
        <v>1426</v>
      </c>
      <c r="I1377" t="s">
        <v>10</v>
      </c>
      <c r="J1377" s="2">
        <v>2451</v>
      </c>
    </row>
    <row r="1378" spans="1:10" hidden="1" x14ac:dyDescent="0.25">
      <c r="A1378" t="s">
        <v>3880</v>
      </c>
      <c r="C1378" t="s">
        <v>4074</v>
      </c>
      <c r="D1378" t="s">
        <v>4113</v>
      </c>
      <c r="F1378" t="s">
        <v>4126</v>
      </c>
      <c r="G1378" s="9" t="s">
        <v>1431</v>
      </c>
      <c r="H1378" t="s">
        <v>1430</v>
      </c>
      <c r="I1378" t="s">
        <v>13</v>
      </c>
      <c r="J1378" s="2">
        <v>2435</v>
      </c>
    </row>
    <row r="1379" spans="1:10" hidden="1" x14ac:dyDescent="0.25">
      <c r="A1379" t="s">
        <v>3881</v>
      </c>
      <c r="C1379" t="s">
        <v>4074</v>
      </c>
      <c r="D1379" t="s">
        <v>4113</v>
      </c>
      <c r="F1379" t="s">
        <v>4126</v>
      </c>
      <c r="G1379" s="9" t="s">
        <v>1433</v>
      </c>
      <c r="H1379" t="s">
        <v>1432</v>
      </c>
      <c r="I1379" t="s">
        <v>13</v>
      </c>
      <c r="J1379" s="2">
        <v>2433</v>
      </c>
    </row>
    <row r="1380" spans="1:10" hidden="1" x14ac:dyDescent="0.25">
      <c r="A1380" t="s">
        <v>3882</v>
      </c>
      <c r="C1380" t="s">
        <v>4074</v>
      </c>
      <c r="D1380" t="s">
        <v>4113</v>
      </c>
      <c r="F1380" t="s">
        <v>4126</v>
      </c>
      <c r="G1380" s="9" t="s">
        <v>1436</v>
      </c>
      <c r="H1380" t="s">
        <v>1435</v>
      </c>
      <c r="I1380" t="s">
        <v>13</v>
      </c>
      <c r="J1380" s="2">
        <v>2420</v>
      </c>
    </row>
    <row r="1381" spans="1:10" hidden="1" x14ac:dyDescent="0.25">
      <c r="A1381" t="s">
        <v>3883</v>
      </c>
      <c r="C1381" t="s">
        <v>4074</v>
      </c>
      <c r="D1381" t="s">
        <v>4113</v>
      </c>
      <c r="F1381" t="s">
        <v>4126</v>
      </c>
      <c r="G1381" s="9" t="s">
        <v>1454</v>
      </c>
      <c r="H1381" t="s">
        <v>1453</v>
      </c>
      <c r="I1381" t="s">
        <v>37</v>
      </c>
      <c r="J1381" s="2">
        <v>2377</v>
      </c>
    </row>
    <row r="1382" spans="1:10" hidden="1" x14ac:dyDescent="0.25">
      <c r="A1382" t="s">
        <v>3884</v>
      </c>
      <c r="C1382" t="s">
        <v>4074</v>
      </c>
      <c r="D1382" t="s">
        <v>4113</v>
      </c>
      <c r="F1382" t="s">
        <v>4126</v>
      </c>
      <c r="G1382" s="9" t="s">
        <v>1455</v>
      </c>
      <c r="H1382" t="s">
        <v>1453</v>
      </c>
      <c r="I1382" t="s">
        <v>320</v>
      </c>
      <c r="J1382" s="2">
        <v>2377</v>
      </c>
    </row>
    <row r="1383" spans="1:10" hidden="1" x14ac:dyDescent="0.25">
      <c r="A1383" t="s">
        <v>3885</v>
      </c>
      <c r="C1383" t="s">
        <v>4074</v>
      </c>
      <c r="D1383" t="s">
        <v>4113</v>
      </c>
      <c r="F1383" t="s">
        <v>4126</v>
      </c>
      <c r="G1383" s="9" t="s">
        <v>1457</v>
      </c>
      <c r="H1383" t="s">
        <v>1456</v>
      </c>
      <c r="I1383" t="s">
        <v>13</v>
      </c>
      <c r="J1383" s="2">
        <v>2365</v>
      </c>
    </row>
    <row r="1384" spans="1:10" hidden="1" x14ac:dyDescent="0.25">
      <c r="A1384" t="s">
        <v>3886</v>
      </c>
      <c r="C1384" t="s">
        <v>4074</v>
      </c>
      <c r="D1384" t="s">
        <v>4113</v>
      </c>
      <c r="F1384" t="s">
        <v>4126</v>
      </c>
      <c r="G1384" s="9" t="s">
        <v>1459</v>
      </c>
      <c r="H1384" t="s">
        <v>1458</v>
      </c>
      <c r="I1384" t="s">
        <v>13</v>
      </c>
      <c r="J1384" s="2">
        <v>2361</v>
      </c>
    </row>
    <row r="1385" spans="1:10" hidden="1" x14ac:dyDescent="0.25">
      <c r="A1385" t="s">
        <v>3887</v>
      </c>
      <c r="C1385" t="s">
        <v>4074</v>
      </c>
      <c r="D1385" t="s">
        <v>4113</v>
      </c>
      <c r="F1385" t="s">
        <v>4126</v>
      </c>
      <c r="G1385" s="9" t="s">
        <v>1460</v>
      </c>
      <c r="H1385" t="s">
        <v>1458</v>
      </c>
      <c r="I1385" t="s">
        <v>320</v>
      </c>
      <c r="J1385" s="2">
        <v>2361</v>
      </c>
    </row>
    <row r="1386" spans="1:10" hidden="1" x14ac:dyDescent="0.25">
      <c r="A1386" t="s">
        <v>3888</v>
      </c>
      <c r="C1386" t="s">
        <v>4074</v>
      </c>
      <c r="D1386" t="s">
        <v>4113</v>
      </c>
      <c r="F1386" t="s">
        <v>4126</v>
      </c>
      <c r="G1386" s="9" t="s">
        <v>1465</v>
      </c>
      <c r="H1386" t="s">
        <v>1464</v>
      </c>
      <c r="I1386" t="s">
        <v>320</v>
      </c>
      <c r="J1386" s="2">
        <v>2347</v>
      </c>
    </row>
    <row r="1387" spans="1:10" hidden="1" x14ac:dyDescent="0.25">
      <c r="A1387" t="s">
        <v>3889</v>
      </c>
      <c r="C1387" t="s">
        <v>4074</v>
      </c>
      <c r="D1387" t="s">
        <v>4113</v>
      </c>
      <c r="F1387" t="s">
        <v>4126</v>
      </c>
      <c r="G1387" s="9" t="s">
        <v>1474</v>
      </c>
      <c r="H1387" t="s">
        <v>1473</v>
      </c>
      <c r="I1387" t="s">
        <v>13</v>
      </c>
      <c r="J1387" s="2">
        <v>2343</v>
      </c>
    </row>
    <row r="1388" spans="1:10" hidden="1" x14ac:dyDescent="0.25">
      <c r="A1388" t="s">
        <v>3890</v>
      </c>
      <c r="C1388" t="s">
        <v>4074</v>
      </c>
      <c r="D1388" t="s">
        <v>4113</v>
      </c>
      <c r="F1388" t="s">
        <v>4126</v>
      </c>
      <c r="G1388" s="9" t="s">
        <v>1490</v>
      </c>
      <c r="H1388" t="s">
        <v>1489</v>
      </c>
      <c r="I1388" t="s">
        <v>13</v>
      </c>
      <c r="J1388" s="2">
        <v>2297</v>
      </c>
    </row>
    <row r="1389" spans="1:10" hidden="1" x14ac:dyDescent="0.25">
      <c r="A1389" t="s">
        <v>3891</v>
      </c>
      <c r="C1389" t="s">
        <v>4074</v>
      </c>
      <c r="D1389" t="s">
        <v>4113</v>
      </c>
      <c r="F1389" t="s">
        <v>4126</v>
      </c>
      <c r="G1389" s="9" t="s">
        <v>1491</v>
      </c>
      <c r="H1389" t="s">
        <v>1489</v>
      </c>
      <c r="I1389" t="s">
        <v>37</v>
      </c>
      <c r="J1389" s="2">
        <v>2297</v>
      </c>
    </row>
    <row r="1390" spans="1:10" hidden="1" x14ac:dyDescent="0.25">
      <c r="A1390" t="s">
        <v>3892</v>
      </c>
      <c r="C1390" t="s">
        <v>4074</v>
      </c>
      <c r="D1390" t="s">
        <v>4113</v>
      </c>
      <c r="F1390" t="s">
        <v>4126</v>
      </c>
      <c r="G1390" s="9" t="s">
        <v>1492</v>
      </c>
      <c r="H1390" t="s">
        <v>1489</v>
      </c>
      <c r="I1390" t="s">
        <v>5</v>
      </c>
      <c r="J1390" s="2">
        <v>2297</v>
      </c>
    </row>
    <row r="1391" spans="1:10" hidden="1" x14ac:dyDescent="0.25">
      <c r="A1391" t="s">
        <v>3893</v>
      </c>
      <c r="C1391" t="s">
        <v>4074</v>
      </c>
      <c r="D1391" t="s">
        <v>4113</v>
      </c>
      <c r="F1391" t="s">
        <v>4126</v>
      </c>
      <c r="G1391" s="9" t="s">
        <v>1513</v>
      </c>
      <c r="H1391" t="s">
        <v>1512</v>
      </c>
      <c r="I1391" t="s">
        <v>176</v>
      </c>
      <c r="J1391" s="2">
        <v>2224</v>
      </c>
    </row>
    <row r="1392" spans="1:10" hidden="1" x14ac:dyDescent="0.25">
      <c r="A1392" t="s">
        <v>3894</v>
      </c>
      <c r="C1392" t="s">
        <v>4074</v>
      </c>
      <c r="D1392" t="s">
        <v>4113</v>
      </c>
      <c r="F1392" t="s">
        <v>4126</v>
      </c>
      <c r="G1392" s="9" t="s">
        <v>1514</v>
      </c>
      <c r="H1392" t="s">
        <v>1512</v>
      </c>
      <c r="I1392" t="s">
        <v>176</v>
      </c>
      <c r="J1392" s="2">
        <v>2224</v>
      </c>
    </row>
    <row r="1393" spans="1:10" hidden="1" x14ac:dyDescent="0.25">
      <c r="A1393" t="s">
        <v>3895</v>
      </c>
      <c r="C1393" t="s">
        <v>4074</v>
      </c>
      <c r="D1393" t="s">
        <v>4113</v>
      </c>
      <c r="F1393" t="s">
        <v>4126</v>
      </c>
      <c r="G1393" s="9" t="s">
        <v>1515</v>
      </c>
      <c r="H1393" t="s">
        <v>1512</v>
      </c>
      <c r="I1393" t="s">
        <v>13</v>
      </c>
      <c r="J1393" s="2">
        <v>2224</v>
      </c>
    </row>
    <row r="1394" spans="1:10" hidden="1" x14ac:dyDescent="0.25">
      <c r="A1394" t="s">
        <v>3896</v>
      </c>
      <c r="C1394" t="s">
        <v>4074</v>
      </c>
      <c r="D1394" t="s">
        <v>4113</v>
      </c>
      <c r="F1394" t="s">
        <v>4126</v>
      </c>
      <c r="G1394" s="9" t="s">
        <v>1516</v>
      </c>
      <c r="H1394" t="s">
        <v>1512</v>
      </c>
      <c r="I1394" t="s">
        <v>13</v>
      </c>
      <c r="J1394" s="2">
        <v>2224</v>
      </c>
    </row>
    <row r="1395" spans="1:10" hidden="1" x14ac:dyDescent="0.25">
      <c r="A1395" t="s">
        <v>3897</v>
      </c>
      <c r="C1395" t="s">
        <v>4074</v>
      </c>
      <c r="D1395" t="s">
        <v>4113</v>
      </c>
      <c r="F1395" t="s">
        <v>4126</v>
      </c>
      <c r="G1395" s="9" t="s">
        <v>1524</v>
      </c>
      <c r="H1395" t="s">
        <v>1523</v>
      </c>
      <c r="I1395" t="s">
        <v>5</v>
      </c>
      <c r="J1395" s="2">
        <v>2211</v>
      </c>
    </row>
    <row r="1396" spans="1:10" hidden="1" x14ac:dyDescent="0.25">
      <c r="A1396" t="s">
        <v>3898</v>
      </c>
      <c r="C1396" t="s">
        <v>4074</v>
      </c>
      <c r="D1396" t="s">
        <v>4113</v>
      </c>
      <c r="F1396" t="s">
        <v>4126</v>
      </c>
      <c r="G1396" s="9" t="s">
        <v>1530</v>
      </c>
      <c r="H1396" t="s">
        <v>1529</v>
      </c>
      <c r="I1396" t="s">
        <v>37</v>
      </c>
      <c r="J1396" s="2">
        <v>2179</v>
      </c>
    </row>
    <row r="1397" spans="1:10" hidden="1" x14ac:dyDescent="0.25">
      <c r="A1397" t="s">
        <v>3899</v>
      </c>
      <c r="C1397" t="s">
        <v>4074</v>
      </c>
      <c r="D1397" t="s">
        <v>4113</v>
      </c>
      <c r="F1397" t="s">
        <v>4126</v>
      </c>
      <c r="G1397" s="9" t="s">
        <v>1531</v>
      </c>
      <c r="H1397" t="s">
        <v>1529</v>
      </c>
      <c r="I1397" t="s">
        <v>5</v>
      </c>
      <c r="J1397" s="2">
        <v>2179</v>
      </c>
    </row>
    <row r="1398" spans="1:10" hidden="1" x14ac:dyDescent="0.25">
      <c r="A1398" t="s">
        <v>3900</v>
      </c>
      <c r="C1398" t="s">
        <v>4074</v>
      </c>
      <c r="D1398" t="s">
        <v>4113</v>
      </c>
      <c r="F1398" t="s">
        <v>4126</v>
      </c>
      <c r="G1398" s="9" t="s">
        <v>1532</v>
      </c>
      <c r="H1398" t="s">
        <v>1529</v>
      </c>
      <c r="I1398" t="s">
        <v>5</v>
      </c>
      <c r="J1398" s="2">
        <v>2179</v>
      </c>
    </row>
    <row r="1399" spans="1:10" hidden="1" x14ac:dyDescent="0.25">
      <c r="A1399" t="s">
        <v>3901</v>
      </c>
      <c r="C1399" t="s">
        <v>4074</v>
      </c>
      <c r="D1399" t="s">
        <v>4113</v>
      </c>
      <c r="F1399" t="s">
        <v>4126</v>
      </c>
      <c r="G1399" s="9" t="s">
        <v>1534</v>
      </c>
      <c r="H1399" t="s">
        <v>1533</v>
      </c>
      <c r="I1399" t="s">
        <v>13</v>
      </c>
      <c r="J1399" s="2">
        <v>2178</v>
      </c>
    </row>
    <row r="1400" spans="1:10" hidden="1" x14ac:dyDescent="0.25">
      <c r="A1400" t="s">
        <v>3902</v>
      </c>
      <c r="C1400" t="s">
        <v>4074</v>
      </c>
      <c r="D1400" t="s">
        <v>4113</v>
      </c>
      <c r="F1400" t="s">
        <v>4126</v>
      </c>
      <c r="G1400" s="9" t="s">
        <v>1542</v>
      </c>
      <c r="H1400" t="s">
        <v>1541</v>
      </c>
      <c r="I1400" t="s">
        <v>320</v>
      </c>
      <c r="J1400" s="2">
        <v>2158</v>
      </c>
    </row>
    <row r="1401" spans="1:10" hidden="1" x14ac:dyDescent="0.25">
      <c r="A1401" t="s">
        <v>3903</v>
      </c>
      <c r="C1401" t="s">
        <v>4074</v>
      </c>
      <c r="D1401" t="s">
        <v>4113</v>
      </c>
      <c r="F1401" t="s">
        <v>4126</v>
      </c>
      <c r="G1401" s="9" t="s">
        <v>1543</v>
      </c>
      <c r="H1401" t="s">
        <v>1541</v>
      </c>
      <c r="I1401" t="s">
        <v>207</v>
      </c>
      <c r="J1401" s="2">
        <v>2158</v>
      </c>
    </row>
    <row r="1402" spans="1:10" hidden="1" x14ac:dyDescent="0.25">
      <c r="A1402" t="s">
        <v>3904</v>
      </c>
      <c r="C1402" t="s">
        <v>4074</v>
      </c>
      <c r="D1402" t="s">
        <v>4113</v>
      </c>
      <c r="F1402" t="s">
        <v>4126</v>
      </c>
      <c r="G1402" s="9" t="s">
        <v>906</v>
      </c>
      <c r="H1402" t="s">
        <v>1566</v>
      </c>
      <c r="I1402" t="s">
        <v>320</v>
      </c>
      <c r="J1402" s="2">
        <v>2145</v>
      </c>
    </row>
    <row r="1403" spans="1:10" hidden="1" x14ac:dyDescent="0.25">
      <c r="A1403" t="s">
        <v>3905</v>
      </c>
      <c r="C1403" t="s">
        <v>4074</v>
      </c>
      <c r="D1403" t="s">
        <v>4113</v>
      </c>
      <c r="F1403" t="s">
        <v>4126</v>
      </c>
      <c r="G1403" s="9" t="s">
        <v>1567</v>
      </c>
      <c r="H1403" t="s">
        <v>1566</v>
      </c>
      <c r="I1403" t="s">
        <v>207</v>
      </c>
      <c r="J1403" s="2">
        <v>2145</v>
      </c>
    </row>
    <row r="1404" spans="1:10" hidden="1" x14ac:dyDescent="0.25">
      <c r="A1404" t="s">
        <v>3906</v>
      </c>
      <c r="C1404" t="s">
        <v>4074</v>
      </c>
      <c r="D1404" t="s">
        <v>4113</v>
      </c>
      <c r="F1404" t="s">
        <v>4126</v>
      </c>
      <c r="G1404" s="9" t="s">
        <v>1578</v>
      </c>
      <c r="H1404" t="s">
        <v>1577</v>
      </c>
      <c r="I1404" t="s">
        <v>176</v>
      </c>
      <c r="J1404" s="2">
        <v>2132</v>
      </c>
    </row>
    <row r="1405" spans="1:10" hidden="1" x14ac:dyDescent="0.25">
      <c r="A1405" t="s">
        <v>3907</v>
      </c>
      <c r="C1405" t="s">
        <v>4074</v>
      </c>
      <c r="D1405" t="s">
        <v>4113</v>
      </c>
      <c r="F1405" t="s">
        <v>4126</v>
      </c>
      <c r="G1405" s="9" t="s">
        <v>1579</v>
      </c>
      <c r="H1405" t="s">
        <v>1577</v>
      </c>
      <c r="I1405" t="s">
        <v>13</v>
      </c>
      <c r="J1405" s="2">
        <v>2132</v>
      </c>
    </row>
    <row r="1406" spans="1:10" hidden="1" x14ac:dyDescent="0.25">
      <c r="A1406" t="s">
        <v>3908</v>
      </c>
      <c r="C1406" t="s">
        <v>4074</v>
      </c>
      <c r="D1406" t="s">
        <v>4113</v>
      </c>
      <c r="F1406" t="s">
        <v>4126</v>
      </c>
      <c r="G1406" s="9" t="s">
        <v>1580</v>
      </c>
      <c r="H1406" t="s">
        <v>1577</v>
      </c>
      <c r="I1406" t="s">
        <v>5</v>
      </c>
      <c r="J1406" s="2">
        <v>2132</v>
      </c>
    </row>
    <row r="1407" spans="1:10" hidden="1" x14ac:dyDescent="0.25">
      <c r="A1407" t="s">
        <v>3909</v>
      </c>
      <c r="C1407" t="s">
        <v>4074</v>
      </c>
      <c r="D1407" t="s">
        <v>4113</v>
      </c>
      <c r="F1407" t="s">
        <v>4126</v>
      </c>
      <c r="G1407" s="9" t="s">
        <v>1582</v>
      </c>
      <c r="H1407" t="s">
        <v>1577</v>
      </c>
      <c r="I1407" t="s">
        <v>1581</v>
      </c>
      <c r="J1407" s="2">
        <v>2132</v>
      </c>
    </row>
    <row r="1408" spans="1:10" hidden="1" x14ac:dyDescent="0.25">
      <c r="A1408" t="s">
        <v>3910</v>
      </c>
      <c r="C1408" t="s">
        <v>4074</v>
      </c>
      <c r="D1408" t="s">
        <v>4113</v>
      </c>
      <c r="F1408" t="s">
        <v>4126</v>
      </c>
      <c r="G1408" s="9" t="s">
        <v>1584</v>
      </c>
      <c r="H1408" t="s">
        <v>1583</v>
      </c>
      <c r="I1408" t="s">
        <v>5</v>
      </c>
      <c r="J1408" s="2">
        <v>2128</v>
      </c>
    </row>
    <row r="1409" spans="1:10" hidden="1" x14ac:dyDescent="0.25">
      <c r="A1409" t="s">
        <v>3911</v>
      </c>
      <c r="C1409" t="s">
        <v>4074</v>
      </c>
      <c r="D1409" t="s">
        <v>4113</v>
      </c>
      <c r="F1409" t="s">
        <v>4126</v>
      </c>
      <c r="G1409" s="9" t="s">
        <v>1585</v>
      </c>
      <c r="H1409" t="s">
        <v>1583</v>
      </c>
      <c r="I1409" t="s">
        <v>320</v>
      </c>
      <c r="J1409" s="2">
        <v>2128</v>
      </c>
    </row>
    <row r="1410" spans="1:10" hidden="1" x14ac:dyDescent="0.25">
      <c r="A1410" t="s">
        <v>3912</v>
      </c>
      <c r="C1410" t="s">
        <v>4074</v>
      </c>
      <c r="D1410" t="s">
        <v>4113</v>
      </c>
      <c r="F1410" t="s">
        <v>4126</v>
      </c>
      <c r="G1410" s="9" t="s">
        <v>1586</v>
      </c>
      <c r="H1410" t="s">
        <v>1583</v>
      </c>
      <c r="I1410" t="s">
        <v>207</v>
      </c>
      <c r="J1410" s="2">
        <v>2128</v>
      </c>
    </row>
    <row r="1411" spans="1:10" hidden="1" x14ac:dyDescent="0.25">
      <c r="A1411" t="s">
        <v>3913</v>
      </c>
      <c r="C1411" t="s">
        <v>4074</v>
      </c>
      <c r="D1411" t="s">
        <v>4113</v>
      </c>
      <c r="F1411" t="s">
        <v>4126</v>
      </c>
      <c r="G1411" s="9" t="s">
        <v>1596</v>
      </c>
      <c r="H1411" t="s">
        <v>1595</v>
      </c>
      <c r="I1411" t="s">
        <v>89</v>
      </c>
      <c r="J1411" s="2">
        <v>2087</v>
      </c>
    </row>
    <row r="1412" spans="1:10" hidden="1" x14ac:dyDescent="0.25">
      <c r="A1412" t="s">
        <v>3914</v>
      </c>
      <c r="C1412" t="s">
        <v>4074</v>
      </c>
      <c r="D1412" t="s">
        <v>4113</v>
      </c>
      <c r="F1412" t="s">
        <v>4126</v>
      </c>
      <c r="G1412" s="9" t="s">
        <v>1600</v>
      </c>
      <c r="H1412" t="s">
        <v>1599</v>
      </c>
      <c r="I1412" t="s">
        <v>13</v>
      </c>
      <c r="J1412" s="2">
        <v>2074</v>
      </c>
    </row>
    <row r="1413" spans="1:10" hidden="1" x14ac:dyDescent="0.25">
      <c r="A1413" t="s">
        <v>3915</v>
      </c>
      <c r="C1413" t="s">
        <v>4074</v>
      </c>
      <c r="D1413" t="s">
        <v>4113</v>
      </c>
      <c r="F1413" t="s">
        <v>4126</v>
      </c>
      <c r="G1413" s="9" t="s">
        <v>1601</v>
      </c>
      <c r="H1413" t="s">
        <v>1599</v>
      </c>
      <c r="I1413" t="s">
        <v>89</v>
      </c>
      <c r="J1413" s="2">
        <v>2074</v>
      </c>
    </row>
    <row r="1414" spans="1:10" hidden="1" x14ac:dyDescent="0.25">
      <c r="A1414" t="s">
        <v>3916</v>
      </c>
      <c r="C1414" t="s">
        <v>4074</v>
      </c>
      <c r="D1414" t="s">
        <v>4113</v>
      </c>
      <c r="F1414" t="s">
        <v>4126</v>
      </c>
      <c r="G1414" s="9" t="s">
        <v>1603</v>
      </c>
      <c r="H1414" t="s">
        <v>1599</v>
      </c>
      <c r="I1414" t="s">
        <v>1602</v>
      </c>
      <c r="J1414" s="2">
        <v>2074</v>
      </c>
    </row>
    <row r="1415" spans="1:10" hidden="1" x14ac:dyDescent="0.25">
      <c r="A1415" t="s">
        <v>3917</v>
      </c>
      <c r="C1415" t="s">
        <v>4074</v>
      </c>
      <c r="D1415" t="s">
        <v>4113</v>
      </c>
      <c r="F1415" t="s">
        <v>4126</v>
      </c>
      <c r="G1415" s="9" t="s">
        <v>1619</v>
      </c>
      <c r="H1415" t="s">
        <v>1618</v>
      </c>
      <c r="I1415" t="s">
        <v>37</v>
      </c>
      <c r="J1415" s="2">
        <v>2019</v>
      </c>
    </row>
    <row r="1416" spans="1:10" hidden="1" x14ac:dyDescent="0.25">
      <c r="A1416" t="s">
        <v>3918</v>
      </c>
      <c r="C1416" t="s">
        <v>4074</v>
      </c>
      <c r="D1416" t="s">
        <v>4113</v>
      </c>
      <c r="F1416" t="s">
        <v>4126</v>
      </c>
      <c r="G1416" s="9" t="s">
        <v>1631</v>
      </c>
      <c r="H1416" t="s">
        <v>1630</v>
      </c>
      <c r="I1416" t="s">
        <v>37</v>
      </c>
      <c r="J1416" s="2">
        <v>1986</v>
      </c>
    </row>
    <row r="1417" spans="1:10" hidden="1" x14ac:dyDescent="0.25">
      <c r="A1417" t="s">
        <v>3919</v>
      </c>
      <c r="C1417" t="s">
        <v>4074</v>
      </c>
      <c r="D1417" t="s">
        <v>4113</v>
      </c>
      <c r="F1417" t="s">
        <v>4126</v>
      </c>
      <c r="G1417" s="9" t="s">
        <v>1632</v>
      </c>
      <c r="H1417" t="s">
        <v>1630</v>
      </c>
      <c r="I1417" t="s">
        <v>320</v>
      </c>
      <c r="J1417" s="2">
        <v>1986</v>
      </c>
    </row>
    <row r="1418" spans="1:10" hidden="1" x14ac:dyDescent="0.25">
      <c r="A1418" t="s">
        <v>3920</v>
      </c>
      <c r="C1418" t="s">
        <v>4074</v>
      </c>
      <c r="D1418" t="s">
        <v>4113</v>
      </c>
      <c r="F1418" t="s">
        <v>4126</v>
      </c>
      <c r="G1418" s="9" t="s">
        <v>1633</v>
      </c>
      <c r="H1418" t="s">
        <v>1630</v>
      </c>
      <c r="I1418" t="s">
        <v>202</v>
      </c>
      <c r="J1418" s="2">
        <v>1986</v>
      </c>
    </row>
    <row r="1419" spans="1:10" hidden="1" x14ac:dyDescent="0.25">
      <c r="A1419" t="s">
        <v>3921</v>
      </c>
      <c r="C1419" t="s">
        <v>4074</v>
      </c>
      <c r="D1419" t="s">
        <v>4113</v>
      </c>
      <c r="F1419" t="s">
        <v>4126</v>
      </c>
      <c r="G1419" s="9" t="s">
        <v>1635</v>
      </c>
      <c r="H1419" t="s">
        <v>1634</v>
      </c>
      <c r="I1419" t="s">
        <v>13</v>
      </c>
      <c r="J1419" s="2">
        <v>1985</v>
      </c>
    </row>
    <row r="1420" spans="1:10" hidden="1" x14ac:dyDescent="0.25">
      <c r="A1420" t="s">
        <v>3922</v>
      </c>
      <c r="C1420" t="s">
        <v>4074</v>
      </c>
      <c r="D1420" t="s">
        <v>4113</v>
      </c>
      <c r="F1420" t="s">
        <v>4126</v>
      </c>
      <c r="G1420" s="9" t="s">
        <v>1636</v>
      </c>
      <c r="H1420" t="s">
        <v>1634</v>
      </c>
      <c r="I1420" t="s">
        <v>37</v>
      </c>
      <c r="J1420" s="2">
        <v>1985</v>
      </c>
    </row>
    <row r="1421" spans="1:10" hidden="1" x14ac:dyDescent="0.25">
      <c r="A1421" t="s">
        <v>3923</v>
      </c>
      <c r="C1421" t="s">
        <v>4074</v>
      </c>
      <c r="D1421" t="s">
        <v>4113</v>
      </c>
      <c r="F1421" t="s">
        <v>4126</v>
      </c>
      <c r="G1421" s="9" t="s">
        <v>649</v>
      </c>
      <c r="H1421" t="s">
        <v>1674</v>
      </c>
      <c r="I1421" t="s">
        <v>207</v>
      </c>
      <c r="J1421" s="2">
        <v>1931</v>
      </c>
    </row>
    <row r="1422" spans="1:10" hidden="1" x14ac:dyDescent="0.25">
      <c r="A1422" t="s">
        <v>3924</v>
      </c>
      <c r="C1422" t="s">
        <v>4074</v>
      </c>
      <c r="D1422" t="s">
        <v>4113</v>
      </c>
      <c r="F1422" t="s">
        <v>4126</v>
      </c>
      <c r="G1422" s="9" t="s">
        <v>1679</v>
      </c>
      <c r="H1422" t="s">
        <v>1678</v>
      </c>
      <c r="I1422" t="s">
        <v>13</v>
      </c>
      <c r="J1422" s="2">
        <v>1926</v>
      </c>
    </row>
    <row r="1423" spans="1:10" hidden="1" x14ac:dyDescent="0.25">
      <c r="A1423" t="s">
        <v>3925</v>
      </c>
      <c r="C1423" t="s">
        <v>4074</v>
      </c>
      <c r="D1423" t="s">
        <v>4113</v>
      </c>
      <c r="F1423" t="s">
        <v>4126</v>
      </c>
      <c r="G1423" s="9" t="s">
        <v>1680</v>
      </c>
      <c r="H1423" t="s">
        <v>1678</v>
      </c>
      <c r="I1423" t="s">
        <v>13</v>
      </c>
      <c r="J1423" s="2">
        <v>1926</v>
      </c>
    </row>
    <row r="1424" spans="1:10" hidden="1" x14ac:dyDescent="0.25">
      <c r="A1424" t="s">
        <v>3926</v>
      </c>
      <c r="C1424" t="s">
        <v>4074</v>
      </c>
      <c r="D1424" t="s">
        <v>4113</v>
      </c>
      <c r="F1424" t="s">
        <v>4126</v>
      </c>
      <c r="G1424" s="9" t="s">
        <v>1682</v>
      </c>
      <c r="H1424" t="s">
        <v>1678</v>
      </c>
      <c r="I1424" t="s">
        <v>1681</v>
      </c>
      <c r="J1424" s="2">
        <v>1926</v>
      </c>
    </row>
    <row r="1425" spans="1:10" hidden="1" x14ac:dyDescent="0.25">
      <c r="A1425" t="s">
        <v>3927</v>
      </c>
      <c r="C1425" t="s">
        <v>4074</v>
      </c>
      <c r="D1425" t="s">
        <v>4113</v>
      </c>
      <c r="F1425" t="s">
        <v>4126</v>
      </c>
      <c r="G1425" s="9" t="s">
        <v>1684</v>
      </c>
      <c r="H1425" t="s">
        <v>1678</v>
      </c>
      <c r="I1425" t="s">
        <v>1683</v>
      </c>
      <c r="J1425" s="2">
        <v>1926</v>
      </c>
    </row>
    <row r="1426" spans="1:10" hidden="1" x14ac:dyDescent="0.25">
      <c r="A1426" t="s">
        <v>3928</v>
      </c>
      <c r="C1426" t="s">
        <v>4074</v>
      </c>
      <c r="D1426" t="s">
        <v>4113</v>
      </c>
      <c r="F1426" t="s">
        <v>4126</v>
      </c>
      <c r="G1426" s="9" t="s">
        <v>1697</v>
      </c>
      <c r="H1426" t="s">
        <v>1696</v>
      </c>
      <c r="I1426" t="s">
        <v>5</v>
      </c>
      <c r="J1426" s="2">
        <v>1913</v>
      </c>
    </row>
    <row r="1427" spans="1:10" hidden="1" x14ac:dyDescent="0.25">
      <c r="A1427" t="s">
        <v>3929</v>
      </c>
      <c r="C1427" t="s">
        <v>4074</v>
      </c>
      <c r="D1427" t="s">
        <v>4113</v>
      </c>
      <c r="F1427" t="s">
        <v>4126</v>
      </c>
      <c r="G1427" s="9" t="s">
        <v>1698</v>
      </c>
      <c r="H1427" t="s">
        <v>1696</v>
      </c>
      <c r="I1427" t="s">
        <v>320</v>
      </c>
      <c r="J1427" s="2">
        <v>1913</v>
      </c>
    </row>
    <row r="1428" spans="1:10" hidden="1" x14ac:dyDescent="0.25">
      <c r="A1428" t="s">
        <v>3930</v>
      </c>
      <c r="C1428" t="s">
        <v>4074</v>
      </c>
      <c r="D1428" t="s">
        <v>4113</v>
      </c>
      <c r="F1428" t="s">
        <v>4126</v>
      </c>
      <c r="G1428" s="9" t="s">
        <v>1708</v>
      </c>
      <c r="H1428" t="s">
        <v>1707</v>
      </c>
      <c r="I1428" t="s">
        <v>13</v>
      </c>
      <c r="J1428" s="2">
        <v>1902</v>
      </c>
    </row>
    <row r="1429" spans="1:10" hidden="1" x14ac:dyDescent="0.25">
      <c r="A1429" t="s">
        <v>3931</v>
      </c>
      <c r="C1429" t="s">
        <v>4074</v>
      </c>
      <c r="D1429" t="s">
        <v>4113</v>
      </c>
      <c r="F1429" t="s">
        <v>4126</v>
      </c>
      <c r="G1429" s="9" t="s">
        <v>1710</v>
      </c>
      <c r="H1429" t="s">
        <v>1709</v>
      </c>
      <c r="I1429" t="s">
        <v>89</v>
      </c>
      <c r="J1429" s="2">
        <v>1888</v>
      </c>
    </row>
    <row r="1430" spans="1:10" hidden="1" x14ac:dyDescent="0.25">
      <c r="A1430" t="s">
        <v>3932</v>
      </c>
      <c r="C1430" t="s">
        <v>4074</v>
      </c>
      <c r="D1430" t="s">
        <v>4113</v>
      </c>
      <c r="F1430" t="s">
        <v>4126</v>
      </c>
      <c r="G1430" s="9" t="s">
        <v>1711</v>
      </c>
      <c r="H1430" t="s">
        <v>1709</v>
      </c>
      <c r="I1430" t="s">
        <v>89</v>
      </c>
      <c r="J1430" s="2">
        <v>1888</v>
      </c>
    </row>
    <row r="1431" spans="1:10" hidden="1" x14ac:dyDescent="0.25">
      <c r="A1431" t="s">
        <v>3933</v>
      </c>
      <c r="C1431" t="s">
        <v>4074</v>
      </c>
      <c r="D1431" t="s">
        <v>4113</v>
      </c>
      <c r="F1431" t="s">
        <v>4126</v>
      </c>
      <c r="G1431" s="9" t="s">
        <v>1713</v>
      </c>
      <c r="H1431" t="s">
        <v>1712</v>
      </c>
      <c r="I1431" t="s">
        <v>13</v>
      </c>
      <c r="J1431" s="2">
        <v>1883</v>
      </c>
    </row>
    <row r="1432" spans="1:10" hidden="1" x14ac:dyDescent="0.25">
      <c r="A1432" t="s">
        <v>3934</v>
      </c>
      <c r="C1432" t="s">
        <v>4074</v>
      </c>
      <c r="D1432" t="s">
        <v>4113</v>
      </c>
      <c r="F1432" t="s">
        <v>4126</v>
      </c>
      <c r="G1432" s="9" t="s">
        <v>1714</v>
      </c>
      <c r="H1432" t="s">
        <v>1712</v>
      </c>
      <c r="I1432" t="s">
        <v>37</v>
      </c>
      <c r="J1432" s="2">
        <v>1883</v>
      </c>
    </row>
    <row r="1433" spans="1:10" hidden="1" x14ac:dyDescent="0.25">
      <c r="A1433" t="s">
        <v>3935</v>
      </c>
      <c r="C1433" t="s">
        <v>4074</v>
      </c>
      <c r="D1433" t="s">
        <v>4113</v>
      </c>
      <c r="F1433" t="s">
        <v>4126</v>
      </c>
      <c r="G1433" s="9" t="s">
        <v>1715</v>
      </c>
      <c r="H1433" t="s">
        <v>1712</v>
      </c>
      <c r="I1433" t="s">
        <v>5</v>
      </c>
      <c r="J1433" s="2">
        <v>1883</v>
      </c>
    </row>
    <row r="1434" spans="1:10" hidden="1" x14ac:dyDescent="0.25">
      <c r="A1434" t="s">
        <v>3936</v>
      </c>
      <c r="C1434" t="s">
        <v>4074</v>
      </c>
      <c r="D1434" t="s">
        <v>4113</v>
      </c>
      <c r="F1434" t="s">
        <v>4126</v>
      </c>
      <c r="G1434" s="9" t="s">
        <v>1716</v>
      </c>
      <c r="H1434" t="s">
        <v>1712</v>
      </c>
      <c r="I1434" t="s">
        <v>320</v>
      </c>
      <c r="J1434" s="2">
        <v>1883</v>
      </c>
    </row>
    <row r="1435" spans="1:10" hidden="1" x14ac:dyDescent="0.25">
      <c r="A1435" t="s">
        <v>3937</v>
      </c>
      <c r="C1435" t="s">
        <v>4074</v>
      </c>
      <c r="D1435" t="s">
        <v>4113</v>
      </c>
      <c r="F1435" t="s">
        <v>4126</v>
      </c>
      <c r="G1435" s="9" t="s">
        <v>1717</v>
      </c>
      <c r="H1435" t="s">
        <v>1712</v>
      </c>
      <c r="I1435" t="s">
        <v>10</v>
      </c>
      <c r="J1435" s="2">
        <v>1883</v>
      </c>
    </row>
    <row r="1436" spans="1:10" hidden="1" x14ac:dyDescent="0.25">
      <c r="A1436" t="s">
        <v>3938</v>
      </c>
      <c r="C1436" t="s">
        <v>4074</v>
      </c>
      <c r="D1436" t="s">
        <v>4113</v>
      </c>
      <c r="F1436" t="s">
        <v>4126</v>
      </c>
      <c r="G1436" s="9" t="s">
        <v>1718</v>
      </c>
      <c r="H1436" t="s">
        <v>1712</v>
      </c>
      <c r="I1436" t="s">
        <v>89</v>
      </c>
      <c r="J1436" s="2">
        <v>1883</v>
      </c>
    </row>
    <row r="1437" spans="1:10" hidden="1" x14ac:dyDescent="0.25">
      <c r="A1437" t="s">
        <v>3939</v>
      </c>
      <c r="C1437" t="s">
        <v>4074</v>
      </c>
      <c r="D1437" t="s">
        <v>4113</v>
      </c>
      <c r="F1437" t="s">
        <v>4126</v>
      </c>
      <c r="G1437" s="9" t="s">
        <v>858</v>
      </c>
      <c r="H1437" t="s">
        <v>1724</v>
      </c>
      <c r="I1437" t="s">
        <v>320</v>
      </c>
      <c r="J1437" s="2">
        <v>1856</v>
      </c>
    </row>
    <row r="1438" spans="1:10" hidden="1" x14ac:dyDescent="0.25">
      <c r="A1438" t="s">
        <v>3940</v>
      </c>
      <c r="C1438" t="s">
        <v>4074</v>
      </c>
      <c r="D1438" t="s">
        <v>4113</v>
      </c>
      <c r="F1438" t="s">
        <v>4126</v>
      </c>
      <c r="G1438" s="9" t="s">
        <v>1725</v>
      </c>
      <c r="H1438" t="s">
        <v>1724</v>
      </c>
      <c r="I1438" t="s">
        <v>207</v>
      </c>
      <c r="J1438" s="2">
        <v>1856</v>
      </c>
    </row>
    <row r="1439" spans="1:10" hidden="1" x14ac:dyDescent="0.25">
      <c r="A1439" t="s">
        <v>3941</v>
      </c>
      <c r="C1439" t="s">
        <v>4074</v>
      </c>
      <c r="D1439" t="s">
        <v>4113</v>
      </c>
      <c r="F1439" t="s">
        <v>4126</v>
      </c>
      <c r="G1439" s="9" t="s">
        <v>1750</v>
      </c>
      <c r="H1439" t="s">
        <v>1749</v>
      </c>
      <c r="I1439" t="s">
        <v>13</v>
      </c>
      <c r="J1439" s="2">
        <v>1801</v>
      </c>
    </row>
    <row r="1440" spans="1:10" hidden="1" x14ac:dyDescent="0.25">
      <c r="A1440" t="s">
        <v>3942</v>
      </c>
      <c r="C1440" t="s">
        <v>4074</v>
      </c>
      <c r="D1440" t="s">
        <v>4113</v>
      </c>
      <c r="F1440" t="s">
        <v>4126</v>
      </c>
      <c r="G1440" s="9" t="s">
        <v>1753</v>
      </c>
      <c r="H1440" t="s">
        <v>1751</v>
      </c>
      <c r="I1440" t="s">
        <v>1752</v>
      </c>
      <c r="J1440" s="2">
        <v>1800</v>
      </c>
    </row>
    <row r="1441" spans="1:10" hidden="1" x14ac:dyDescent="0.25">
      <c r="A1441" t="s">
        <v>3943</v>
      </c>
      <c r="C1441" t="s">
        <v>4074</v>
      </c>
      <c r="D1441" t="s">
        <v>4113</v>
      </c>
      <c r="F1441" t="s">
        <v>4126</v>
      </c>
      <c r="G1441" s="9" t="s">
        <v>1754</v>
      </c>
      <c r="H1441" t="s">
        <v>1751</v>
      </c>
      <c r="I1441" t="s">
        <v>1752</v>
      </c>
      <c r="J1441" s="2">
        <v>1800</v>
      </c>
    </row>
    <row r="1442" spans="1:10" hidden="1" x14ac:dyDescent="0.25">
      <c r="A1442" t="s">
        <v>3944</v>
      </c>
      <c r="C1442" t="s">
        <v>4074</v>
      </c>
      <c r="D1442" t="s">
        <v>4113</v>
      </c>
      <c r="F1442" t="s">
        <v>4126</v>
      </c>
      <c r="G1442" s="9" t="s">
        <v>1762</v>
      </c>
      <c r="H1442" t="s">
        <v>1761</v>
      </c>
      <c r="I1442" t="s">
        <v>13</v>
      </c>
      <c r="J1442" s="2">
        <v>1783</v>
      </c>
    </row>
    <row r="1443" spans="1:10" hidden="1" x14ac:dyDescent="0.25">
      <c r="A1443" t="s">
        <v>3945</v>
      </c>
      <c r="C1443" t="s">
        <v>4074</v>
      </c>
      <c r="D1443" t="s">
        <v>4113</v>
      </c>
      <c r="F1443" t="s">
        <v>4126</v>
      </c>
      <c r="G1443" s="9" t="s">
        <v>1763</v>
      </c>
      <c r="H1443" t="s">
        <v>1761</v>
      </c>
      <c r="I1443" t="s">
        <v>5</v>
      </c>
      <c r="J1443" s="2">
        <v>1783</v>
      </c>
    </row>
    <row r="1444" spans="1:10" hidden="1" x14ac:dyDescent="0.25">
      <c r="A1444" t="s">
        <v>3946</v>
      </c>
      <c r="C1444" t="s">
        <v>4074</v>
      </c>
      <c r="D1444" t="s">
        <v>4113</v>
      </c>
      <c r="F1444" t="s">
        <v>4126</v>
      </c>
      <c r="G1444" s="9" t="s">
        <v>1764</v>
      </c>
      <c r="H1444" t="s">
        <v>1761</v>
      </c>
      <c r="I1444" t="s">
        <v>5</v>
      </c>
      <c r="J1444" s="2">
        <v>1783</v>
      </c>
    </row>
    <row r="1445" spans="1:10" hidden="1" x14ac:dyDescent="0.25">
      <c r="A1445" t="s">
        <v>3947</v>
      </c>
      <c r="C1445" t="s">
        <v>4074</v>
      </c>
      <c r="D1445" t="s">
        <v>4113</v>
      </c>
      <c r="F1445" t="s">
        <v>4126</v>
      </c>
      <c r="G1445" s="9" t="s">
        <v>1765</v>
      </c>
      <c r="H1445" t="s">
        <v>1761</v>
      </c>
      <c r="I1445" t="s">
        <v>10</v>
      </c>
      <c r="J1445" s="2">
        <v>1783</v>
      </c>
    </row>
    <row r="1446" spans="1:10" hidden="1" x14ac:dyDescent="0.25">
      <c r="A1446" t="s">
        <v>3948</v>
      </c>
      <c r="C1446" t="s">
        <v>4074</v>
      </c>
      <c r="D1446" t="s">
        <v>4113</v>
      </c>
      <c r="F1446" t="s">
        <v>4126</v>
      </c>
      <c r="G1446" s="9" t="s">
        <v>1773</v>
      </c>
      <c r="H1446" t="s">
        <v>1772</v>
      </c>
      <c r="I1446" t="s">
        <v>320</v>
      </c>
      <c r="J1446" s="2">
        <v>1743</v>
      </c>
    </row>
    <row r="1447" spans="1:10" hidden="1" x14ac:dyDescent="0.25">
      <c r="A1447" t="s">
        <v>3949</v>
      </c>
      <c r="C1447" t="s">
        <v>4074</v>
      </c>
      <c r="D1447" t="s">
        <v>4113</v>
      </c>
      <c r="F1447" t="s">
        <v>4126</v>
      </c>
      <c r="G1447" s="9" t="s">
        <v>1777</v>
      </c>
      <c r="H1447" t="s">
        <v>1776</v>
      </c>
      <c r="I1447" t="s">
        <v>176</v>
      </c>
      <c r="J1447" s="2">
        <v>1730</v>
      </c>
    </row>
    <row r="1448" spans="1:10" hidden="1" x14ac:dyDescent="0.25">
      <c r="A1448" t="s">
        <v>3950</v>
      </c>
      <c r="C1448" t="s">
        <v>4074</v>
      </c>
      <c r="D1448" t="s">
        <v>4113</v>
      </c>
      <c r="F1448" t="s">
        <v>4126</v>
      </c>
      <c r="G1448" s="9" t="s">
        <v>1778</v>
      </c>
      <c r="H1448" t="s">
        <v>1776</v>
      </c>
      <c r="I1448" t="s">
        <v>13</v>
      </c>
      <c r="J1448" s="2">
        <v>1730</v>
      </c>
    </row>
    <row r="1449" spans="1:10" hidden="1" x14ac:dyDescent="0.25">
      <c r="A1449" t="s">
        <v>3951</v>
      </c>
      <c r="C1449" t="s">
        <v>4074</v>
      </c>
      <c r="D1449" t="s">
        <v>4113</v>
      </c>
      <c r="F1449" t="s">
        <v>4126</v>
      </c>
      <c r="G1449" s="9" t="s">
        <v>1779</v>
      </c>
      <c r="H1449" t="s">
        <v>1776</v>
      </c>
      <c r="I1449" t="s">
        <v>320</v>
      </c>
      <c r="J1449" s="2">
        <v>1730</v>
      </c>
    </row>
    <row r="1450" spans="1:10" hidden="1" x14ac:dyDescent="0.25">
      <c r="A1450" t="s">
        <v>3952</v>
      </c>
      <c r="C1450" t="s">
        <v>4074</v>
      </c>
      <c r="D1450" t="s">
        <v>4113</v>
      </c>
      <c r="F1450" t="s">
        <v>4126</v>
      </c>
      <c r="G1450" s="9" t="s">
        <v>1794</v>
      </c>
      <c r="H1450" t="s">
        <v>1793</v>
      </c>
      <c r="I1450" t="s">
        <v>320</v>
      </c>
      <c r="J1450" s="2">
        <v>1703</v>
      </c>
    </row>
    <row r="1451" spans="1:10" hidden="1" x14ac:dyDescent="0.25">
      <c r="A1451" t="s">
        <v>3953</v>
      </c>
      <c r="C1451" t="s">
        <v>4074</v>
      </c>
      <c r="D1451" t="s">
        <v>4113</v>
      </c>
      <c r="F1451" t="s">
        <v>4126</v>
      </c>
      <c r="G1451" s="9" t="s">
        <v>1796</v>
      </c>
      <c r="H1451" t="s">
        <v>1795</v>
      </c>
      <c r="I1451" t="s">
        <v>37</v>
      </c>
      <c r="J1451" s="2">
        <v>1700</v>
      </c>
    </row>
    <row r="1452" spans="1:10" hidden="1" x14ac:dyDescent="0.25">
      <c r="A1452" t="s">
        <v>3954</v>
      </c>
      <c r="C1452" t="s">
        <v>4074</v>
      </c>
      <c r="D1452" t="s">
        <v>4113</v>
      </c>
      <c r="F1452" t="s">
        <v>4126</v>
      </c>
      <c r="G1452" s="9" t="s">
        <v>1797</v>
      </c>
      <c r="H1452" t="s">
        <v>1795</v>
      </c>
      <c r="I1452" t="s">
        <v>320</v>
      </c>
      <c r="J1452" s="2">
        <v>1700</v>
      </c>
    </row>
    <row r="1453" spans="1:10" hidden="1" x14ac:dyDescent="0.25">
      <c r="A1453" t="s">
        <v>3955</v>
      </c>
      <c r="C1453" t="s">
        <v>4074</v>
      </c>
      <c r="D1453" t="s">
        <v>4113</v>
      </c>
      <c r="F1453" t="s">
        <v>4126</v>
      </c>
      <c r="G1453" s="9" t="s">
        <v>1803</v>
      </c>
      <c r="H1453" t="s">
        <v>1802</v>
      </c>
      <c r="I1453" t="s">
        <v>5</v>
      </c>
      <c r="J1453" s="2">
        <v>1678</v>
      </c>
    </row>
    <row r="1454" spans="1:10" hidden="1" x14ac:dyDescent="0.25">
      <c r="A1454" t="s">
        <v>3956</v>
      </c>
      <c r="C1454" t="s">
        <v>4074</v>
      </c>
      <c r="D1454" t="s">
        <v>4113</v>
      </c>
      <c r="F1454" t="s">
        <v>4126</v>
      </c>
      <c r="G1454" s="9" t="s">
        <v>1804</v>
      </c>
      <c r="H1454" t="s">
        <v>1802</v>
      </c>
      <c r="I1454" t="s">
        <v>320</v>
      </c>
      <c r="J1454" s="2">
        <v>1678</v>
      </c>
    </row>
    <row r="1455" spans="1:10" hidden="1" x14ac:dyDescent="0.25">
      <c r="A1455" t="s">
        <v>3957</v>
      </c>
      <c r="C1455" t="s">
        <v>4074</v>
      </c>
      <c r="D1455" t="s">
        <v>4113</v>
      </c>
      <c r="F1455" t="s">
        <v>4126</v>
      </c>
      <c r="G1455" s="9" t="s">
        <v>1808</v>
      </c>
      <c r="H1455" t="s">
        <v>1807</v>
      </c>
      <c r="I1455" t="s">
        <v>13</v>
      </c>
      <c r="J1455" s="2">
        <v>1655</v>
      </c>
    </row>
    <row r="1456" spans="1:10" hidden="1" x14ac:dyDescent="0.25">
      <c r="A1456" t="s">
        <v>3958</v>
      </c>
      <c r="C1456" t="s">
        <v>4074</v>
      </c>
      <c r="D1456" t="s">
        <v>4113</v>
      </c>
      <c r="F1456" t="s">
        <v>4126</v>
      </c>
      <c r="G1456" s="9" t="s">
        <v>1811</v>
      </c>
      <c r="H1456" t="s">
        <v>1810</v>
      </c>
      <c r="I1456" t="s">
        <v>176</v>
      </c>
      <c r="J1456" s="2">
        <v>1644</v>
      </c>
    </row>
    <row r="1457" spans="1:10" hidden="1" x14ac:dyDescent="0.25">
      <c r="A1457" t="s">
        <v>3959</v>
      </c>
      <c r="C1457" t="s">
        <v>4074</v>
      </c>
      <c r="D1457" t="s">
        <v>4113</v>
      </c>
      <c r="F1457" t="s">
        <v>4126</v>
      </c>
      <c r="G1457" s="9" t="s">
        <v>1812</v>
      </c>
      <c r="H1457" t="s">
        <v>1810</v>
      </c>
      <c r="I1457" t="s">
        <v>320</v>
      </c>
      <c r="J1457" s="2">
        <v>1644</v>
      </c>
    </row>
    <row r="1458" spans="1:10" hidden="1" x14ac:dyDescent="0.25">
      <c r="A1458" t="s">
        <v>3960</v>
      </c>
      <c r="C1458" t="s">
        <v>4074</v>
      </c>
      <c r="D1458" t="s">
        <v>4113</v>
      </c>
      <c r="F1458" t="s">
        <v>4126</v>
      </c>
      <c r="G1458" s="9" t="s">
        <v>1813</v>
      </c>
      <c r="H1458" t="s">
        <v>1810</v>
      </c>
      <c r="I1458" t="s">
        <v>207</v>
      </c>
      <c r="J1458" s="2">
        <v>1644</v>
      </c>
    </row>
    <row r="1459" spans="1:10" hidden="1" x14ac:dyDescent="0.25">
      <c r="A1459" t="s">
        <v>3961</v>
      </c>
      <c r="C1459" t="s">
        <v>4074</v>
      </c>
      <c r="D1459" t="s">
        <v>4113</v>
      </c>
      <c r="F1459" t="s">
        <v>4126</v>
      </c>
      <c r="G1459" s="9" t="s">
        <v>1834</v>
      </c>
      <c r="H1459" t="s">
        <v>1833</v>
      </c>
      <c r="I1459" t="s">
        <v>176</v>
      </c>
      <c r="J1459" s="2">
        <v>1611</v>
      </c>
    </row>
    <row r="1460" spans="1:10" hidden="1" x14ac:dyDescent="0.25">
      <c r="A1460" t="s">
        <v>3962</v>
      </c>
      <c r="C1460" t="s">
        <v>4074</v>
      </c>
      <c r="D1460" t="s">
        <v>4113</v>
      </c>
      <c r="F1460" t="s">
        <v>4126</v>
      </c>
      <c r="G1460" s="9" t="s">
        <v>1835</v>
      </c>
      <c r="H1460" t="s">
        <v>1833</v>
      </c>
      <c r="I1460" t="s">
        <v>13</v>
      </c>
      <c r="J1460" s="2">
        <v>1611</v>
      </c>
    </row>
    <row r="1461" spans="1:10" hidden="1" x14ac:dyDescent="0.25">
      <c r="A1461" t="s">
        <v>3963</v>
      </c>
      <c r="C1461" t="s">
        <v>4074</v>
      </c>
      <c r="D1461" t="s">
        <v>4113</v>
      </c>
      <c r="F1461" t="s">
        <v>4126</v>
      </c>
      <c r="G1461" s="9" t="s">
        <v>1838</v>
      </c>
      <c r="H1461" t="s">
        <v>1837</v>
      </c>
      <c r="I1461" t="s">
        <v>5</v>
      </c>
      <c r="J1461" s="2">
        <v>1599</v>
      </c>
    </row>
    <row r="1462" spans="1:10" hidden="1" x14ac:dyDescent="0.25">
      <c r="A1462" t="s">
        <v>3964</v>
      </c>
      <c r="C1462" t="s">
        <v>4074</v>
      </c>
      <c r="D1462" t="s">
        <v>4113</v>
      </c>
      <c r="F1462" t="s">
        <v>4126</v>
      </c>
      <c r="G1462" s="9" t="s">
        <v>1839</v>
      </c>
      <c r="H1462" t="s">
        <v>1837</v>
      </c>
      <c r="I1462" t="s">
        <v>320</v>
      </c>
      <c r="J1462" s="2">
        <v>1599</v>
      </c>
    </row>
    <row r="1463" spans="1:10" hidden="1" x14ac:dyDescent="0.25">
      <c r="A1463" t="s">
        <v>3965</v>
      </c>
      <c r="C1463" t="s">
        <v>4074</v>
      </c>
      <c r="D1463" t="s">
        <v>4113</v>
      </c>
      <c r="F1463" t="s">
        <v>4126</v>
      </c>
      <c r="G1463" s="9" t="s">
        <v>1841</v>
      </c>
      <c r="H1463" t="s">
        <v>1840</v>
      </c>
      <c r="I1463" t="s">
        <v>37</v>
      </c>
      <c r="J1463" s="2">
        <v>1599</v>
      </c>
    </row>
    <row r="1464" spans="1:10" hidden="1" x14ac:dyDescent="0.25">
      <c r="A1464" t="s">
        <v>3966</v>
      </c>
      <c r="C1464" t="s">
        <v>4074</v>
      </c>
      <c r="D1464" t="s">
        <v>4113</v>
      </c>
      <c r="F1464" t="s">
        <v>4126</v>
      </c>
      <c r="G1464" s="9" t="s">
        <v>1842</v>
      </c>
      <c r="H1464" t="s">
        <v>1840</v>
      </c>
      <c r="I1464" t="s">
        <v>5</v>
      </c>
      <c r="J1464" s="2">
        <v>1599</v>
      </c>
    </row>
    <row r="1465" spans="1:10" hidden="1" x14ac:dyDescent="0.25">
      <c r="A1465" t="s">
        <v>3967</v>
      </c>
      <c r="C1465" t="s">
        <v>4074</v>
      </c>
      <c r="D1465" t="s">
        <v>4113</v>
      </c>
      <c r="F1465" t="s">
        <v>4126</v>
      </c>
      <c r="G1465" s="9" t="s">
        <v>1843</v>
      </c>
      <c r="H1465" t="s">
        <v>1840</v>
      </c>
      <c r="I1465" t="s">
        <v>320</v>
      </c>
      <c r="J1465" s="2">
        <v>1599</v>
      </c>
    </row>
    <row r="1466" spans="1:10" hidden="1" x14ac:dyDescent="0.25">
      <c r="A1466" t="s">
        <v>3968</v>
      </c>
      <c r="C1466" t="s">
        <v>4074</v>
      </c>
      <c r="D1466" t="s">
        <v>4113</v>
      </c>
      <c r="F1466" t="s">
        <v>4126</v>
      </c>
      <c r="G1466" s="9" t="s">
        <v>1846</v>
      </c>
      <c r="H1466" t="s">
        <v>1845</v>
      </c>
      <c r="I1466" t="s">
        <v>10</v>
      </c>
      <c r="J1466" s="2">
        <v>1590</v>
      </c>
    </row>
    <row r="1467" spans="1:10" hidden="1" x14ac:dyDescent="0.25">
      <c r="A1467" t="s">
        <v>3969</v>
      </c>
      <c r="C1467" t="s">
        <v>4074</v>
      </c>
      <c r="D1467" t="s">
        <v>4113</v>
      </c>
      <c r="F1467" t="s">
        <v>4126</v>
      </c>
      <c r="G1467" s="9" t="s">
        <v>1848</v>
      </c>
      <c r="H1467" t="s">
        <v>1847</v>
      </c>
      <c r="I1467" t="s">
        <v>13</v>
      </c>
      <c r="J1467" s="2">
        <v>1582</v>
      </c>
    </row>
    <row r="1468" spans="1:10" hidden="1" x14ac:dyDescent="0.25">
      <c r="A1468" t="s">
        <v>3970</v>
      </c>
      <c r="C1468" t="s">
        <v>4074</v>
      </c>
      <c r="D1468" t="s">
        <v>4113</v>
      </c>
      <c r="F1468" t="s">
        <v>4126</v>
      </c>
      <c r="G1468" s="9" t="s">
        <v>1849</v>
      </c>
      <c r="H1468" t="s">
        <v>1847</v>
      </c>
      <c r="I1468" t="s">
        <v>320</v>
      </c>
      <c r="J1468" s="2">
        <v>1582</v>
      </c>
    </row>
    <row r="1469" spans="1:10" hidden="1" x14ac:dyDescent="0.25">
      <c r="A1469" t="s">
        <v>3971</v>
      </c>
      <c r="C1469" t="s">
        <v>4074</v>
      </c>
      <c r="D1469" t="s">
        <v>4113</v>
      </c>
      <c r="F1469" t="s">
        <v>4126</v>
      </c>
      <c r="G1469" s="9" t="s">
        <v>318</v>
      </c>
      <c r="H1469" t="s">
        <v>1850</v>
      </c>
      <c r="I1469" t="s">
        <v>13</v>
      </c>
      <c r="J1469" s="2">
        <v>1575</v>
      </c>
    </row>
    <row r="1470" spans="1:10" hidden="1" x14ac:dyDescent="0.25">
      <c r="A1470" t="s">
        <v>3972</v>
      </c>
      <c r="C1470" t="s">
        <v>4074</v>
      </c>
      <c r="D1470" t="s">
        <v>4113</v>
      </c>
      <c r="F1470" t="s">
        <v>4126</v>
      </c>
      <c r="G1470" s="9" t="s">
        <v>1851</v>
      </c>
      <c r="H1470" t="s">
        <v>1850</v>
      </c>
      <c r="I1470" t="s">
        <v>37</v>
      </c>
      <c r="J1470" s="2">
        <v>1575</v>
      </c>
    </row>
    <row r="1471" spans="1:10" hidden="1" x14ac:dyDescent="0.25">
      <c r="A1471" t="s">
        <v>3973</v>
      </c>
      <c r="C1471" t="s">
        <v>4074</v>
      </c>
      <c r="D1471" t="s">
        <v>4113</v>
      </c>
      <c r="F1471" t="s">
        <v>4126</v>
      </c>
      <c r="G1471" s="9" t="s">
        <v>1852</v>
      </c>
      <c r="H1471" t="s">
        <v>1850</v>
      </c>
      <c r="I1471" t="s">
        <v>89</v>
      </c>
      <c r="J1471" s="2">
        <v>1575</v>
      </c>
    </row>
    <row r="1472" spans="1:10" hidden="1" x14ac:dyDescent="0.25">
      <c r="A1472" t="s">
        <v>3974</v>
      </c>
      <c r="C1472" t="s">
        <v>4074</v>
      </c>
      <c r="D1472" t="s">
        <v>4113</v>
      </c>
      <c r="F1472" t="s">
        <v>4126</v>
      </c>
      <c r="G1472" s="9" t="s">
        <v>1857</v>
      </c>
      <c r="H1472" t="s">
        <v>1856</v>
      </c>
      <c r="I1472" t="s">
        <v>13</v>
      </c>
      <c r="J1472" s="2">
        <v>1561</v>
      </c>
    </row>
    <row r="1473" spans="1:10" hidden="1" x14ac:dyDescent="0.25">
      <c r="A1473" t="s">
        <v>3975</v>
      </c>
      <c r="C1473" t="s">
        <v>4074</v>
      </c>
      <c r="D1473" t="s">
        <v>4113</v>
      </c>
      <c r="F1473" t="s">
        <v>4126</v>
      </c>
      <c r="G1473" s="9" t="s">
        <v>1858</v>
      </c>
      <c r="H1473" t="s">
        <v>1856</v>
      </c>
      <c r="I1473" t="s">
        <v>89</v>
      </c>
      <c r="J1473" s="2">
        <v>1561</v>
      </c>
    </row>
    <row r="1474" spans="1:10" hidden="1" x14ac:dyDescent="0.25">
      <c r="A1474" t="s">
        <v>3976</v>
      </c>
      <c r="C1474" t="s">
        <v>4074</v>
      </c>
      <c r="D1474" t="s">
        <v>4113</v>
      </c>
      <c r="F1474" t="s">
        <v>4126</v>
      </c>
      <c r="G1474" s="9" t="s">
        <v>1888</v>
      </c>
      <c r="H1474" t="s">
        <v>1887</v>
      </c>
      <c r="I1474" t="s">
        <v>13</v>
      </c>
      <c r="J1474" s="2">
        <v>1481</v>
      </c>
    </row>
    <row r="1475" spans="1:10" hidden="1" x14ac:dyDescent="0.25">
      <c r="A1475" t="s">
        <v>3977</v>
      </c>
      <c r="C1475" t="s">
        <v>4074</v>
      </c>
      <c r="D1475" t="s">
        <v>4113</v>
      </c>
      <c r="F1475" t="s">
        <v>4126</v>
      </c>
      <c r="G1475" s="9" t="s">
        <v>1901</v>
      </c>
      <c r="H1475" t="s">
        <v>1900</v>
      </c>
      <c r="I1475" t="s">
        <v>320</v>
      </c>
      <c r="J1475" s="2">
        <v>1414</v>
      </c>
    </row>
    <row r="1476" spans="1:10" hidden="1" x14ac:dyDescent="0.25">
      <c r="A1476" t="s">
        <v>3978</v>
      </c>
      <c r="C1476" t="s">
        <v>4074</v>
      </c>
      <c r="D1476" t="s">
        <v>4113</v>
      </c>
      <c r="F1476" t="s">
        <v>4126</v>
      </c>
      <c r="G1476" s="9" t="s">
        <v>1920</v>
      </c>
      <c r="H1476" t="s">
        <v>1919</v>
      </c>
      <c r="I1476" t="s">
        <v>10</v>
      </c>
      <c r="J1476" s="2">
        <v>1395</v>
      </c>
    </row>
    <row r="1477" spans="1:10" hidden="1" x14ac:dyDescent="0.25">
      <c r="A1477" t="s">
        <v>3979</v>
      </c>
      <c r="C1477" t="s">
        <v>4074</v>
      </c>
      <c r="D1477" t="s">
        <v>4113</v>
      </c>
      <c r="F1477" t="s">
        <v>4126</v>
      </c>
      <c r="G1477" s="9" t="s">
        <v>1922</v>
      </c>
      <c r="H1477" t="s">
        <v>1921</v>
      </c>
      <c r="I1477" t="s">
        <v>207</v>
      </c>
      <c r="J1477" s="2">
        <v>1389</v>
      </c>
    </row>
    <row r="1478" spans="1:10" hidden="1" x14ac:dyDescent="0.25">
      <c r="A1478" t="s">
        <v>3980</v>
      </c>
      <c r="C1478" t="s">
        <v>4074</v>
      </c>
      <c r="D1478" t="s">
        <v>4113</v>
      </c>
      <c r="F1478" t="s">
        <v>4126</v>
      </c>
      <c r="G1478" s="9" t="s">
        <v>164</v>
      </c>
      <c r="H1478" t="s">
        <v>1942</v>
      </c>
      <c r="I1478" t="s">
        <v>13</v>
      </c>
      <c r="J1478" s="2">
        <v>1331</v>
      </c>
    </row>
    <row r="1479" spans="1:10" hidden="1" x14ac:dyDescent="0.25">
      <c r="A1479" t="s">
        <v>3981</v>
      </c>
      <c r="C1479" t="s">
        <v>4074</v>
      </c>
      <c r="D1479" t="s">
        <v>4113</v>
      </c>
      <c r="F1479" t="s">
        <v>4126</v>
      </c>
      <c r="G1479" s="9" t="s">
        <v>1943</v>
      </c>
      <c r="H1479" t="s">
        <v>1942</v>
      </c>
      <c r="I1479" t="s">
        <v>89</v>
      </c>
      <c r="J1479" s="2">
        <v>1331</v>
      </c>
    </row>
    <row r="1480" spans="1:10" hidden="1" x14ac:dyDescent="0.25">
      <c r="A1480" t="s">
        <v>3982</v>
      </c>
      <c r="C1480" t="s">
        <v>4074</v>
      </c>
      <c r="D1480" t="s">
        <v>4113</v>
      </c>
      <c r="F1480" t="s">
        <v>4126</v>
      </c>
      <c r="G1480" s="9" t="s">
        <v>1948</v>
      </c>
      <c r="H1480" t="s">
        <v>1947</v>
      </c>
      <c r="I1480" t="s">
        <v>13</v>
      </c>
      <c r="J1480" s="2">
        <v>1325</v>
      </c>
    </row>
    <row r="1481" spans="1:10" hidden="1" x14ac:dyDescent="0.25">
      <c r="A1481" t="s">
        <v>3983</v>
      </c>
      <c r="C1481" t="s">
        <v>4074</v>
      </c>
      <c r="D1481" t="s">
        <v>4113</v>
      </c>
      <c r="F1481" t="s">
        <v>4126</v>
      </c>
      <c r="G1481" s="9" t="s">
        <v>1955</v>
      </c>
      <c r="H1481" t="s">
        <v>1954</v>
      </c>
      <c r="I1481" t="s">
        <v>13</v>
      </c>
      <c r="J1481" s="2">
        <v>1321</v>
      </c>
    </row>
    <row r="1482" spans="1:10" hidden="1" x14ac:dyDescent="0.25">
      <c r="A1482" t="s">
        <v>3984</v>
      </c>
      <c r="C1482" t="s">
        <v>4074</v>
      </c>
      <c r="D1482" t="s">
        <v>4113</v>
      </c>
      <c r="F1482" t="s">
        <v>4126</v>
      </c>
      <c r="G1482" s="9" t="s">
        <v>1957</v>
      </c>
      <c r="H1482" t="s">
        <v>1956</v>
      </c>
      <c r="I1482" t="s">
        <v>13</v>
      </c>
      <c r="J1482" s="2">
        <v>1317</v>
      </c>
    </row>
    <row r="1483" spans="1:10" hidden="1" x14ac:dyDescent="0.25">
      <c r="A1483" t="s">
        <v>3985</v>
      </c>
      <c r="C1483" t="s">
        <v>4074</v>
      </c>
      <c r="D1483" t="s">
        <v>4113</v>
      </c>
      <c r="F1483" t="s">
        <v>4126</v>
      </c>
      <c r="G1483" s="9" t="s">
        <v>1970</v>
      </c>
      <c r="H1483" t="s">
        <v>1969</v>
      </c>
      <c r="I1483" t="s">
        <v>13</v>
      </c>
      <c r="J1483" s="2">
        <v>1311</v>
      </c>
    </row>
    <row r="1484" spans="1:10" hidden="1" x14ac:dyDescent="0.25">
      <c r="A1484" t="s">
        <v>3986</v>
      </c>
      <c r="C1484" t="s">
        <v>4074</v>
      </c>
      <c r="D1484" t="s">
        <v>4113</v>
      </c>
      <c r="F1484" t="s">
        <v>4126</v>
      </c>
      <c r="G1484" s="9" t="s">
        <v>1971</v>
      </c>
      <c r="H1484" t="s">
        <v>1969</v>
      </c>
      <c r="I1484" t="s">
        <v>37</v>
      </c>
      <c r="J1484" s="2">
        <v>1311</v>
      </c>
    </row>
    <row r="1485" spans="1:10" hidden="1" x14ac:dyDescent="0.25">
      <c r="A1485" t="s">
        <v>3987</v>
      </c>
      <c r="C1485" t="s">
        <v>4074</v>
      </c>
      <c r="D1485" t="s">
        <v>4113</v>
      </c>
      <c r="F1485" t="s">
        <v>4126</v>
      </c>
      <c r="G1485" s="9" t="s">
        <v>1976</v>
      </c>
      <c r="H1485" t="s">
        <v>1975</v>
      </c>
      <c r="I1485" t="s">
        <v>13</v>
      </c>
      <c r="J1485" s="2">
        <v>1307</v>
      </c>
    </row>
    <row r="1486" spans="1:10" hidden="1" x14ac:dyDescent="0.25">
      <c r="A1486" t="s">
        <v>3988</v>
      </c>
      <c r="C1486" t="s">
        <v>4074</v>
      </c>
      <c r="D1486" t="s">
        <v>4113</v>
      </c>
      <c r="F1486" t="s">
        <v>4126</v>
      </c>
      <c r="G1486" s="9" t="s">
        <v>1978</v>
      </c>
      <c r="H1486" t="s">
        <v>1977</v>
      </c>
      <c r="I1486" t="s">
        <v>13</v>
      </c>
      <c r="J1486" s="2">
        <v>1302</v>
      </c>
    </row>
    <row r="1487" spans="1:10" hidden="1" x14ac:dyDescent="0.25">
      <c r="A1487" t="s">
        <v>3989</v>
      </c>
      <c r="C1487" t="s">
        <v>4074</v>
      </c>
      <c r="D1487" t="s">
        <v>4113</v>
      </c>
      <c r="F1487" t="s">
        <v>4126</v>
      </c>
      <c r="G1487" s="9" t="s">
        <v>1980</v>
      </c>
      <c r="H1487" t="s">
        <v>1979</v>
      </c>
      <c r="I1487" t="s">
        <v>13</v>
      </c>
      <c r="J1487" s="2">
        <v>1297</v>
      </c>
    </row>
    <row r="1488" spans="1:10" hidden="1" x14ac:dyDescent="0.25">
      <c r="A1488" t="s">
        <v>3990</v>
      </c>
      <c r="C1488" t="s">
        <v>4074</v>
      </c>
      <c r="D1488" t="s">
        <v>4113</v>
      </c>
      <c r="F1488" t="s">
        <v>4126</v>
      </c>
      <c r="G1488" s="9" t="s">
        <v>1982</v>
      </c>
      <c r="H1488" t="s">
        <v>1981</v>
      </c>
      <c r="I1488" t="s">
        <v>13</v>
      </c>
      <c r="J1488" s="2">
        <v>1294</v>
      </c>
    </row>
    <row r="1489" spans="1:10" hidden="1" x14ac:dyDescent="0.25">
      <c r="A1489" t="s">
        <v>3991</v>
      </c>
      <c r="C1489" t="s">
        <v>4074</v>
      </c>
      <c r="D1489" t="s">
        <v>4113</v>
      </c>
      <c r="F1489" t="s">
        <v>4126</v>
      </c>
      <c r="G1489" s="9" t="s">
        <v>1984</v>
      </c>
      <c r="H1489" t="s">
        <v>1983</v>
      </c>
      <c r="I1489" t="s">
        <v>13</v>
      </c>
      <c r="J1489" s="2">
        <v>1292</v>
      </c>
    </row>
    <row r="1490" spans="1:10" hidden="1" x14ac:dyDescent="0.25">
      <c r="A1490" t="s">
        <v>3992</v>
      </c>
      <c r="C1490" t="s">
        <v>4074</v>
      </c>
      <c r="D1490" t="s">
        <v>4113</v>
      </c>
      <c r="F1490" t="s">
        <v>4126</v>
      </c>
      <c r="G1490" s="9" t="s">
        <v>1990</v>
      </c>
      <c r="H1490" t="s">
        <v>1989</v>
      </c>
      <c r="I1490" t="s">
        <v>89</v>
      </c>
      <c r="J1490" s="2">
        <v>1276</v>
      </c>
    </row>
    <row r="1491" spans="1:10" hidden="1" x14ac:dyDescent="0.25">
      <c r="A1491" t="s">
        <v>3993</v>
      </c>
      <c r="C1491" t="s">
        <v>4074</v>
      </c>
      <c r="D1491" t="s">
        <v>4113</v>
      </c>
      <c r="F1491" t="s">
        <v>4126</v>
      </c>
      <c r="G1491" s="9" t="s">
        <v>1992</v>
      </c>
      <c r="H1491" t="s">
        <v>1989</v>
      </c>
      <c r="I1491" t="s">
        <v>1991</v>
      </c>
      <c r="J1491" s="2">
        <v>1276</v>
      </c>
    </row>
    <row r="1492" spans="1:10" hidden="1" x14ac:dyDescent="0.25">
      <c r="A1492" t="s">
        <v>3994</v>
      </c>
      <c r="C1492" t="s">
        <v>4074</v>
      </c>
      <c r="D1492" t="s">
        <v>4113</v>
      </c>
      <c r="F1492" t="s">
        <v>4126</v>
      </c>
      <c r="G1492" s="9" t="s">
        <v>1998</v>
      </c>
      <c r="H1492" t="s">
        <v>1997</v>
      </c>
      <c r="I1492" t="s">
        <v>13</v>
      </c>
      <c r="J1492" s="2">
        <v>1272</v>
      </c>
    </row>
    <row r="1493" spans="1:10" hidden="1" x14ac:dyDescent="0.25">
      <c r="A1493" t="s">
        <v>3995</v>
      </c>
      <c r="C1493" t="s">
        <v>4074</v>
      </c>
      <c r="D1493" t="s">
        <v>4113</v>
      </c>
      <c r="F1493" t="s">
        <v>4126</v>
      </c>
      <c r="G1493" s="9" t="s">
        <v>2011</v>
      </c>
      <c r="H1493" t="s">
        <v>2010</v>
      </c>
      <c r="I1493" t="s">
        <v>37</v>
      </c>
      <c r="J1493" s="2">
        <v>1220</v>
      </c>
    </row>
    <row r="1494" spans="1:10" hidden="1" x14ac:dyDescent="0.25">
      <c r="A1494" t="s">
        <v>3996</v>
      </c>
      <c r="C1494" t="s">
        <v>4074</v>
      </c>
      <c r="D1494" t="s">
        <v>4113</v>
      </c>
      <c r="F1494" t="s">
        <v>4126</v>
      </c>
      <c r="G1494" s="9" t="s">
        <v>2012</v>
      </c>
      <c r="H1494" t="s">
        <v>2010</v>
      </c>
      <c r="I1494" t="s">
        <v>37</v>
      </c>
      <c r="J1494" s="2">
        <v>1220</v>
      </c>
    </row>
    <row r="1495" spans="1:10" hidden="1" x14ac:dyDescent="0.25">
      <c r="A1495" t="s">
        <v>3997</v>
      </c>
      <c r="C1495" t="s">
        <v>4074</v>
      </c>
      <c r="D1495" t="s">
        <v>4113</v>
      </c>
      <c r="F1495" t="s">
        <v>4126</v>
      </c>
      <c r="G1495" s="9" t="s">
        <v>2042</v>
      </c>
      <c r="H1495" t="s">
        <v>2041</v>
      </c>
      <c r="I1495" t="s">
        <v>37</v>
      </c>
      <c r="J1495" s="2">
        <v>1153</v>
      </c>
    </row>
    <row r="1496" spans="1:10" hidden="1" x14ac:dyDescent="0.25">
      <c r="A1496" t="s">
        <v>3998</v>
      </c>
      <c r="C1496" t="s">
        <v>4074</v>
      </c>
      <c r="D1496" t="s">
        <v>4113</v>
      </c>
      <c r="F1496" t="s">
        <v>4126</v>
      </c>
      <c r="G1496" s="9" t="s">
        <v>2043</v>
      </c>
      <c r="H1496" t="s">
        <v>2041</v>
      </c>
      <c r="I1496" t="s">
        <v>320</v>
      </c>
      <c r="J1496" s="2">
        <v>1153</v>
      </c>
    </row>
    <row r="1497" spans="1:10" hidden="1" x14ac:dyDescent="0.25">
      <c r="A1497" t="s">
        <v>3999</v>
      </c>
      <c r="C1497" t="s">
        <v>4074</v>
      </c>
      <c r="D1497" t="s">
        <v>4113</v>
      </c>
      <c r="F1497" t="s">
        <v>4126</v>
      </c>
      <c r="G1497" s="9" t="s">
        <v>2045</v>
      </c>
      <c r="H1497" t="s">
        <v>2044</v>
      </c>
      <c r="I1497" t="s">
        <v>207</v>
      </c>
      <c r="J1497" s="2">
        <v>1137</v>
      </c>
    </row>
    <row r="1498" spans="1:10" hidden="1" x14ac:dyDescent="0.25">
      <c r="A1498" t="s">
        <v>4000</v>
      </c>
      <c r="C1498" t="s">
        <v>4074</v>
      </c>
      <c r="D1498" t="s">
        <v>4113</v>
      </c>
      <c r="F1498" t="s">
        <v>4126</v>
      </c>
      <c r="G1498" s="9" t="s">
        <v>2051</v>
      </c>
      <c r="H1498" t="s">
        <v>2049</v>
      </c>
      <c r="I1498" t="s">
        <v>2050</v>
      </c>
      <c r="J1498" s="2">
        <v>1121</v>
      </c>
    </row>
    <row r="1499" spans="1:10" hidden="1" x14ac:dyDescent="0.25">
      <c r="A1499" t="s">
        <v>4001</v>
      </c>
      <c r="C1499" t="s">
        <v>4074</v>
      </c>
      <c r="D1499" t="s">
        <v>4113</v>
      </c>
      <c r="F1499" t="s">
        <v>4126</v>
      </c>
      <c r="G1499" s="9" t="s">
        <v>2052</v>
      </c>
      <c r="H1499" t="s">
        <v>2049</v>
      </c>
      <c r="I1499" t="s">
        <v>202</v>
      </c>
      <c r="J1499" s="2">
        <v>1121</v>
      </c>
    </row>
    <row r="1500" spans="1:10" hidden="1" x14ac:dyDescent="0.25">
      <c r="A1500" t="s">
        <v>4002</v>
      </c>
      <c r="C1500" t="s">
        <v>4074</v>
      </c>
      <c r="D1500" t="s">
        <v>4113</v>
      </c>
      <c r="F1500" t="s">
        <v>4126</v>
      </c>
      <c r="G1500" s="9" t="s">
        <v>2062</v>
      </c>
      <c r="H1500" t="s">
        <v>2061</v>
      </c>
      <c r="I1500" t="s">
        <v>13</v>
      </c>
      <c r="J1500" s="2">
        <v>1107</v>
      </c>
    </row>
    <row r="1501" spans="1:10" hidden="1" x14ac:dyDescent="0.25">
      <c r="A1501" t="s">
        <v>4003</v>
      </c>
      <c r="C1501" t="s">
        <v>4074</v>
      </c>
      <c r="D1501" t="s">
        <v>4113</v>
      </c>
      <c r="F1501" t="s">
        <v>4126</v>
      </c>
      <c r="G1501" s="9" t="s">
        <v>2063</v>
      </c>
      <c r="H1501" t="s">
        <v>2061</v>
      </c>
      <c r="I1501" t="s">
        <v>10</v>
      </c>
      <c r="J1501" s="2">
        <v>1107</v>
      </c>
    </row>
    <row r="1502" spans="1:10" hidden="1" x14ac:dyDescent="0.25">
      <c r="A1502" t="s">
        <v>4004</v>
      </c>
      <c r="C1502" t="s">
        <v>4074</v>
      </c>
      <c r="D1502" t="s">
        <v>4113</v>
      </c>
      <c r="F1502" t="s">
        <v>4126</v>
      </c>
      <c r="G1502" s="9" t="s">
        <v>2091</v>
      </c>
      <c r="H1502" t="s">
        <v>2090</v>
      </c>
      <c r="I1502" t="s">
        <v>37</v>
      </c>
      <c r="J1502" s="2">
        <v>1054</v>
      </c>
    </row>
    <row r="1503" spans="1:10" hidden="1" x14ac:dyDescent="0.25">
      <c r="A1503" t="s">
        <v>4005</v>
      </c>
      <c r="C1503" t="s">
        <v>4074</v>
      </c>
      <c r="D1503" t="s">
        <v>4113</v>
      </c>
      <c r="F1503" t="s">
        <v>4126</v>
      </c>
      <c r="G1503" s="9" t="s">
        <v>2092</v>
      </c>
      <c r="H1503" t="s">
        <v>2090</v>
      </c>
      <c r="I1503" t="s">
        <v>1683</v>
      </c>
      <c r="J1503" s="2">
        <v>1054</v>
      </c>
    </row>
    <row r="1504" spans="1:10" hidden="1" x14ac:dyDescent="0.25">
      <c r="A1504" t="s">
        <v>4006</v>
      </c>
      <c r="C1504" t="s">
        <v>4074</v>
      </c>
      <c r="D1504" t="s">
        <v>4113</v>
      </c>
      <c r="F1504" t="s">
        <v>4126</v>
      </c>
      <c r="G1504" s="9" t="s">
        <v>2104</v>
      </c>
      <c r="H1504" t="s">
        <v>2103</v>
      </c>
      <c r="I1504" t="s">
        <v>13</v>
      </c>
      <c r="J1504" s="2">
        <v>1021</v>
      </c>
    </row>
    <row r="1505" spans="1:10" hidden="1" x14ac:dyDescent="0.25">
      <c r="A1505" t="s">
        <v>4007</v>
      </c>
      <c r="C1505" t="s">
        <v>4074</v>
      </c>
      <c r="D1505" t="s">
        <v>4113</v>
      </c>
      <c r="F1505" t="s">
        <v>4126</v>
      </c>
      <c r="G1505" s="9" t="s">
        <v>2105</v>
      </c>
      <c r="H1505" t="s">
        <v>2103</v>
      </c>
      <c r="I1505" t="s">
        <v>5</v>
      </c>
      <c r="J1505" s="2">
        <v>1021</v>
      </c>
    </row>
    <row r="1506" spans="1:10" hidden="1" x14ac:dyDescent="0.25">
      <c r="A1506" t="s">
        <v>4008</v>
      </c>
      <c r="C1506" t="s">
        <v>4074</v>
      </c>
      <c r="D1506" t="s">
        <v>4113</v>
      </c>
      <c r="F1506" t="s">
        <v>4126</v>
      </c>
      <c r="G1506" s="9" t="s">
        <v>2106</v>
      </c>
      <c r="H1506" t="s">
        <v>2103</v>
      </c>
      <c r="I1506" t="s">
        <v>320</v>
      </c>
      <c r="J1506" s="2">
        <v>1021</v>
      </c>
    </row>
    <row r="1507" spans="1:10" hidden="1" x14ac:dyDescent="0.25">
      <c r="A1507" t="s">
        <v>4009</v>
      </c>
      <c r="C1507" t="s">
        <v>4074</v>
      </c>
      <c r="D1507" t="s">
        <v>4113</v>
      </c>
      <c r="F1507" t="s">
        <v>4126</v>
      </c>
      <c r="G1507" s="9" t="s">
        <v>2118</v>
      </c>
      <c r="H1507" t="s">
        <v>2117</v>
      </c>
      <c r="I1507" t="s">
        <v>5</v>
      </c>
      <c r="J1507" s="2">
        <v>1000</v>
      </c>
    </row>
    <row r="1508" spans="1:10" hidden="1" x14ac:dyDescent="0.25">
      <c r="A1508" t="s">
        <v>4010</v>
      </c>
      <c r="C1508" t="s">
        <v>4095</v>
      </c>
      <c r="D1508" t="s">
        <v>4119</v>
      </c>
      <c r="F1508" t="s">
        <v>4126</v>
      </c>
      <c r="G1508" s="9" t="s">
        <v>1815</v>
      </c>
      <c r="H1508" t="s">
        <v>1814</v>
      </c>
      <c r="I1508" t="s">
        <v>45</v>
      </c>
      <c r="J1508" s="2">
        <v>1641</v>
      </c>
    </row>
    <row r="1509" spans="1:10" hidden="1" x14ac:dyDescent="0.25">
      <c r="A1509" t="s">
        <v>4011</v>
      </c>
      <c r="C1509" t="s">
        <v>4089</v>
      </c>
      <c r="D1509" t="s">
        <v>4120</v>
      </c>
      <c r="F1509" t="s">
        <v>4126</v>
      </c>
      <c r="G1509" s="9" t="s">
        <v>385</v>
      </c>
      <c r="H1509" t="s">
        <v>383</v>
      </c>
      <c r="I1509" t="s">
        <v>384</v>
      </c>
      <c r="J1509" s="2">
        <v>9942</v>
      </c>
    </row>
    <row r="1510" spans="1:10" hidden="1" x14ac:dyDescent="0.25">
      <c r="A1510" t="s">
        <v>4012</v>
      </c>
      <c r="C1510" t="s">
        <v>4089</v>
      </c>
      <c r="D1510" t="s">
        <v>4120</v>
      </c>
      <c r="F1510" t="s">
        <v>4126</v>
      </c>
      <c r="G1510" s="9" t="s">
        <v>386</v>
      </c>
      <c r="H1510" t="s">
        <v>383</v>
      </c>
      <c r="I1510" t="s">
        <v>384</v>
      </c>
      <c r="J1510" s="2">
        <v>9942</v>
      </c>
    </row>
    <row r="1511" spans="1:10" hidden="1" x14ac:dyDescent="0.25">
      <c r="A1511" t="s">
        <v>4013</v>
      </c>
      <c r="C1511" t="s">
        <v>4091</v>
      </c>
      <c r="D1511" t="s">
        <v>2490</v>
      </c>
      <c r="F1511" t="s">
        <v>4126</v>
      </c>
      <c r="G1511" s="9" t="s">
        <v>1166</v>
      </c>
      <c r="H1511" t="s">
        <v>1165</v>
      </c>
      <c r="I1511" t="s">
        <v>510</v>
      </c>
      <c r="J1511" s="2">
        <v>3324</v>
      </c>
    </row>
    <row r="1512" spans="1:10" hidden="1" x14ac:dyDescent="0.25">
      <c r="A1512" t="s">
        <v>4014</v>
      </c>
      <c r="C1512" t="s">
        <v>4096</v>
      </c>
      <c r="D1512" t="s">
        <v>4121</v>
      </c>
      <c r="F1512" t="s">
        <v>4126</v>
      </c>
      <c r="G1512" s="9" t="s">
        <v>1377</v>
      </c>
      <c r="H1512" t="s">
        <v>1377</v>
      </c>
      <c r="I1512" t="s">
        <v>1378</v>
      </c>
      <c r="J1512" s="2">
        <v>2570</v>
      </c>
    </row>
    <row r="1513" spans="1:10" hidden="1" x14ac:dyDescent="0.25">
      <c r="A1513" t="s">
        <v>4015</v>
      </c>
      <c r="C1513" t="s">
        <v>4096</v>
      </c>
      <c r="D1513" t="s">
        <v>4121</v>
      </c>
      <c r="F1513" t="s">
        <v>4126</v>
      </c>
      <c r="G1513" s="9" t="s">
        <v>1496</v>
      </c>
      <c r="H1513" t="s">
        <v>1494</v>
      </c>
      <c r="I1513" t="s">
        <v>1495</v>
      </c>
      <c r="J1513" s="2">
        <v>2284</v>
      </c>
    </row>
    <row r="1514" spans="1:10" hidden="1" x14ac:dyDescent="0.25">
      <c r="A1514" t="s">
        <v>4016</v>
      </c>
      <c r="C1514" t="s">
        <v>4096</v>
      </c>
      <c r="D1514" t="s">
        <v>4121</v>
      </c>
      <c r="F1514" t="s">
        <v>4126</v>
      </c>
      <c r="G1514" s="9" t="s">
        <v>1844</v>
      </c>
      <c r="H1514" t="s">
        <v>1844</v>
      </c>
      <c r="I1514" t="s">
        <v>1378</v>
      </c>
      <c r="J1514" s="2">
        <v>1598</v>
      </c>
    </row>
    <row r="1515" spans="1:10" hidden="1" x14ac:dyDescent="0.25">
      <c r="A1515" t="s">
        <v>4017</v>
      </c>
      <c r="C1515" t="s">
        <v>4090</v>
      </c>
      <c r="D1515" t="s">
        <v>4122</v>
      </c>
      <c r="F1515" t="s">
        <v>4126</v>
      </c>
      <c r="G1515" s="9" t="s">
        <v>1172</v>
      </c>
      <c r="H1515" t="s">
        <v>1170</v>
      </c>
      <c r="I1515" t="s">
        <v>1171</v>
      </c>
      <c r="J1515" s="2">
        <v>3309</v>
      </c>
    </row>
    <row r="1516" spans="1:10" hidden="1" x14ac:dyDescent="0.25">
      <c r="A1516" t="s">
        <v>4018</v>
      </c>
      <c r="C1516" t="s">
        <v>4090</v>
      </c>
      <c r="D1516" t="s">
        <v>4122</v>
      </c>
      <c r="F1516" t="s">
        <v>4126</v>
      </c>
      <c r="G1516" s="9" t="s">
        <v>1927</v>
      </c>
      <c r="H1516" t="s">
        <v>1925</v>
      </c>
      <c r="I1516" t="s">
        <v>1926</v>
      </c>
      <c r="J1516" s="2">
        <v>1385</v>
      </c>
    </row>
    <row r="1517" spans="1:10" hidden="1" x14ac:dyDescent="0.25">
      <c r="A1517" t="s">
        <v>4019</v>
      </c>
      <c r="C1517" t="s">
        <v>4086</v>
      </c>
      <c r="D1517" t="s">
        <v>2186</v>
      </c>
      <c r="F1517" t="s">
        <v>4126</v>
      </c>
      <c r="G1517" s="9" t="s">
        <v>2067</v>
      </c>
      <c r="H1517" t="s">
        <v>2065</v>
      </c>
      <c r="I1517" t="s">
        <v>2066</v>
      </c>
      <c r="J1517" s="2">
        <v>1100</v>
      </c>
    </row>
    <row r="1518" spans="1:10" hidden="1" x14ac:dyDescent="0.25">
      <c r="A1518" t="s">
        <v>4020</v>
      </c>
      <c r="C1518" t="s">
        <v>4086</v>
      </c>
      <c r="D1518" t="s">
        <v>2186</v>
      </c>
      <c r="F1518" t="s">
        <v>4126</v>
      </c>
      <c r="G1518" s="9" t="s">
        <v>2068</v>
      </c>
      <c r="H1518" t="s">
        <v>2065</v>
      </c>
      <c r="I1518" t="s">
        <v>2066</v>
      </c>
      <c r="J1518" s="2">
        <v>1100</v>
      </c>
    </row>
    <row r="1519" spans="1:10" hidden="1" x14ac:dyDescent="0.25">
      <c r="A1519" t="s">
        <v>4021</v>
      </c>
      <c r="C1519" t="s">
        <v>4086</v>
      </c>
      <c r="D1519" t="s">
        <v>2186</v>
      </c>
      <c r="F1519" t="s">
        <v>4126</v>
      </c>
      <c r="G1519" s="9" t="s">
        <v>2067</v>
      </c>
      <c r="H1519" t="s">
        <v>2065</v>
      </c>
      <c r="I1519" t="s">
        <v>2069</v>
      </c>
      <c r="J1519" s="2">
        <v>1100</v>
      </c>
    </row>
    <row r="1520" spans="1:10" hidden="1" x14ac:dyDescent="0.25">
      <c r="A1520" t="s">
        <v>4022</v>
      </c>
      <c r="C1520" t="s">
        <v>4077</v>
      </c>
      <c r="D1520" t="s">
        <v>4114</v>
      </c>
      <c r="F1520" t="s">
        <v>4126</v>
      </c>
      <c r="G1520" s="9" t="s">
        <v>402</v>
      </c>
      <c r="H1520" t="s">
        <v>401</v>
      </c>
      <c r="I1520" t="s">
        <v>28</v>
      </c>
      <c r="J1520" s="2">
        <v>9709</v>
      </c>
    </row>
    <row r="1521" spans="1:10" hidden="1" x14ac:dyDescent="0.25">
      <c r="A1521" t="s">
        <v>4023</v>
      </c>
      <c r="C1521" t="s">
        <v>4077</v>
      </c>
      <c r="D1521" t="s">
        <v>4114</v>
      </c>
      <c r="F1521" t="s">
        <v>4126</v>
      </c>
      <c r="G1521" s="9" t="s">
        <v>1121</v>
      </c>
      <c r="H1521" t="s">
        <v>1120</v>
      </c>
      <c r="I1521" t="s">
        <v>28</v>
      </c>
      <c r="J1521" s="2">
        <v>3436</v>
      </c>
    </row>
    <row r="1522" spans="1:10" hidden="1" x14ac:dyDescent="0.25">
      <c r="A1522" t="s">
        <v>4024</v>
      </c>
      <c r="C1522" t="s">
        <v>4077</v>
      </c>
      <c r="D1522" t="s">
        <v>4114</v>
      </c>
      <c r="F1522" t="s">
        <v>4126</v>
      </c>
      <c r="G1522" s="9" t="s">
        <v>1177</v>
      </c>
      <c r="H1522" t="s">
        <v>1176</v>
      </c>
      <c r="I1522" t="s">
        <v>2467</v>
      </c>
      <c r="J1522" s="2">
        <v>3293</v>
      </c>
    </row>
    <row r="1523" spans="1:10" hidden="1" x14ac:dyDescent="0.25">
      <c r="A1523" t="s">
        <v>4025</v>
      </c>
      <c r="C1523" t="s">
        <v>4077</v>
      </c>
      <c r="D1523" t="s">
        <v>4114</v>
      </c>
      <c r="F1523" t="s">
        <v>4126</v>
      </c>
      <c r="G1523" s="9" t="s">
        <v>1177</v>
      </c>
      <c r="H1523" t="s">
        <v>1176</v>
      </c>
      <c r="I1523" t="s">
        <v>28</v>
      </c>
      <c r="J1523" s="2">
        <v>3293</v>
      </c>
    </row>
    <row r="1524" spans="1:10" hidden="1" x14ac:dyDescent="0.25">
      <c r="A1524" t="s">
        <v>4026</v>
      </c>
      <c r="C1524" t="s">
        <v>4077</v>
      </c>
      <c r="D1524" t="s">
        <v>4114</v>
      </c>
      <c r="F1524" t="s">
        <v>4126</v>
      </c>
      <c r="G1524" s="9" t="s">
        <v>1178</v>
      </c>
      <c r="H1524" t="s">
        <v>1176</v>
      </c>
      <c r="I1524" t="s">
        <v>28</v>
      </c>
      <c r="J1524" s="2">
        <v>3293</v>
      </c>
    </row>
    <row r="1525" spans="1:10" hidden="1" x14ac:dyDescent="0.25">
      <c r="A1525" t="s">
        <v>4027</v>
      </c>
      <c r="C1525" t="s">
        <v>4077</v>
      </c>
      <c r="D1525" t="s">
        <v>4114</v>
      </c>
      <c r="F1525" t="s">
        <v>4126</v>
      </c>
      <c r="G1525" s="9" t="s">
        <v>1179</v>
      </c>
      <c r="H1525" t="s">
        <v>1176</v>
      </c>
      <c r="I1525" t="s">
        <v>28</v>
      </c>
      <c r="J1525" s="2">
        <v>3293</v>
      </c>
    </row>
    <row r="1526" spans="1:10" hidden="1" x14ac:dyDescent="0.25">
      <c r="A1526" t="s">
        <v>4028</v>
      </c>
      <c r="C1526" t="s">
        <v>4077</v>
      </c>
      <c r="D1526" t="s">
        <v>4114</v>
      </c>
      <c r="F1526" t="s">
        <v>4126</v>
      </c>
      <c r="G1526" s="9" t="s">
        <v>1180</v>
      </c>
      <c r="H1526" t="s">
        <v>1176</v>
      </c>
      <c r="I1526" t="s">
        <v>28</v>
      </c>
      <c r="J1526" s="2">
        <v>3293</v>
      </c>
    </row>
    <row r="1527" spans="1:10" hidden="1" x14ac:dyDescent="0.25">
      <c r="A1527" t="s">
        <v>4029</v>
      </c>
      <c r="C1527" t="s">
        <v>4077</v>
      </c>
      <c r="D1527" t="s">
        <v>4114</v>
      </c>
      <c r="F1527" t="s">
        <v>4126</v>
      </c>
      <c r="G1527" s="9" t="s">
        <v>1181</v>
      </c>
      <c r="H1527" t="s">
        <v>1176</v>
      </c>
      <c r="I1527" t="s">
        <v>28</v>
      </c>
      <c r="J1527" s="2">
        <v>3293</v>
      </c>
    </row>
    <row r="1528" spans="1:10" hidden="1" x14ac:dyDescent="0.25">
      <c r="A1528" t="s">
        <v>4030</v>
      </c>
      <c r="C1528" t="s">
        <v>4077</v>
      </c>
      <c r="D1528" t="s">
        <v>4114</v>
      </c>
      <c r="F1528" t="s">
        <v>4126</v>
      </c>
      <c r="G1528" s="9" t="s">
        <v>1182</v>
      </c>
      <c r="H1528" t="s">
        <v>1176</v>
      </c>
      <c r="I1528" t="s">
        <v>30</v>
      </c>
      <c r="J1528" s="2">
        <v>3293</v>
      </c>
    </row>
    <row r="1529" spans="1:10" hidden="1" x14ac:dyDescent="0.25">
      <c r="A1529" t="s">
        <v>4031</v>
      </c>
      <c r="C1529" t="s">
        <v>4077</v>
      </c>
      <c r="D1529" t="s">
        <v>4114</v>
      </c>
      <c r="F1529" t="s">
        <v>4126</v>
      </c>
      <c r="G1529" s="9" t="s">
        <v>1228</v>
      </c>
      <c r="H1529" t="s">
        <v>1227</v>
      </c>
      <c r="I1529" t="s">
        <v>2467</v>
      </c>
      <c r="J1529" s="2">
        <v>3162</v>
      </c>
    </row>
    <row r="1530" spans="1:10" hidden="1" x14ac:dyDescent="0.25">
      <c r="A1530" t="s">
        <v>4032</v>
      </c>
      <c r="C1530" t="s">
        <v>4077</v>
      </c>
      <c r="D1530" t="s">
        <v>4114</v>
      </c>
      <c r="F1530" t="s">
        <v>4126</v>
      </c>
      <c r="G1530" s="9" t="s">
        <v>1229</v>
      </c>
      <c r="H1530" t="s">
        <v>1227</v>
      </c>
      <c r="I1530" t="s">
        <v>2467</v>
      </c>
      <c r="J1530" s="2">
        <v>3162</v>
      </c>
    </row>
    <row r="1531" spans="1:10" hidden="1" x14ac:dyDescent="0.25">
      <c r="A1531" t="s">
        <v>4033</v>
      </c>
      <c r="C1531" t="s">
        <v>4077</v>
      </c>
      <c r="D1531" t="s">
        <v>4114</v>
      </c>
      <c r="F1531" t="s">
        <v>4126</v>
      </c>
      <c r="G1531" s="9" t="s">
        <v>1359</v>
      </c>
      <c r="H1531" t="s">
        <v>1358</v>
      </c>
      <c r="I1531" t="s">
        <v>37</v>
      </c>
      <c r="J1531" s="2">
        <v>2654</v>
      </c>
    </row>
    <row r="1532" spans="1:10" hidden="1" x14ac:dyDescent="0.25">
      <c r="A1532" t="s">
        <v>4034</v>
      </c>
      <c r="C1532" t="s">
        <v>4077</v>
      </c>
      <c r="D1532" t="s">
        <v>4114</v>
      </c>
      <c r="F1532" t="s">
        <v>4126</v>
      </c>
      <c r="G1532" s="9" t="s">
        <v>1360</v>
      </c>
      <c r="H1532" t="s">
        <v>1358</v>
      </c>
      <c r="I1532" t="s">
        <v>23</v>
      </c>
      <c r="J1532" s="2">
        <v>2654</v>
      </c>
    </row>
    <row r="1533" spans="1:10" hidden="1" x14ac:dyDescent="0.25">
      <c r="A1533" t="s">
        <v>4035</v>
      </c>
      <c r="C1533" t="s">
        <v>4077</v>
      </c>
      <c r="D1533" t="s">
        <v>4114</v>
      </c>
      <c r="F1533" t="s">
        <v>4126</v>
      </c>
      <c r="G1533" s="9" t="s">
        <v>1401</v>
      </c>
      <c r="H1533" t="s">
        <v>1400</v>
      </c>
      <c r="I1533" t="s">
        <v>28</v>
      </c>
      <c r="J1533" s="2">
        <v>2532</v>
      </c>
    </row>
    <row r="1534" spans="1:10" hidden="1" x14ac:dyDescent="0.25">
      <c r="A1534" t="s">
        <v>4036</v>
      </c>
      <c r="C1534" t="s">
        <v>4077</v>
      </c>
      <c r="D1534" t="s">
        <v>4114</v>
      </c>
      <c r="F1534" t="s">
        <v>4126</v>
      </c>
      <c r="G1534" s="9" t="s">
        <v>1402</v>
      </c>
      <c r="H1534" t="s">
        <v>1400</v>
      </c>
      <c r="I1534" t="s">
        <v>30</v>
      </c>
      <c r="J1534" s="2">
        <v>2532</v>
      </c>
    </row>
    <row r="1535" spans="1:10" hidden="1" x14ac:dyDescent="0.25">
      <c r="A1535" t="s">
        <v>4037</v>
      </c>
      <c r="C1535" t="s">
        <v>4077</v>
      </c>
      <c r="D1535" t="s">
        <v>4114</v>
      </c>
      <c r="F1535" t="s">
        <v>4126</v>
      </c>
      <c r="G1535" s="9" t="s">
        <v>1484</v>
      </c>
      <c r="H1535" t="s">
        <v>1483</v>
      </c>
      <c r="I1535" t="s">
        <v>589</v>
      </c>
      <c r="J1535" s="2">
        <v>2335</v>
      </c>
    </row>
    <row r="1536" spans="1:10" hidden="1" x14ac:dyDescent="0.25">
      <c r="A1536" t="s">
        <v>4038</v>
      </c>
      <c r="C1536" t="s">
        <v>4077</v>
      </c>
      <c r="D1536" t="s">
        <v>4114</v>
      </c>
      <c r="F1536" t="s">
        <v>4126</v>
      </c>
      <c r="G1536" s="9" t="s">
        <v>1484</v>
      </c>
      <c r="H1536" t="s">
        <v>1483</v>
      </c>
      <c r="I1536" t="s">
        <v>1485</v>
      </c>
      <c r="J1536" s="2">
        <v>2335</v>
      </c>
    </row>
    <row r="1537" spans="1:10" hidden="1" x14ac:dyDescent="0.25">
      <c r="A1537" t="s">
        <v>4039</v>
      </c>
      <c r="C1537" t="s">
        <v>4077</v>
      </c>
      <c r="D1537" t="s">
        <v>4114</v>
      </c>
      <c r="F1537" t="s">
        <v>4126</v>
      </c>
      <c r="G1537" s="9" t="s">
        <v>1924</v>
      </c>
      <c r="H1537" t="s">
        <v>1923</v>
      </c>
      <c r="I1537" t="s">
        <v>2467</v>
      </c>
      <c r="J1537" s="2">
        <v>1387</v>
      </c>
    </row>
    <row r="1538" spans="1:10" hidden="1" x14ac:dyDescent="0.25">
      <c r="A1538" t="s">
        <v>4040</v>
      </c>
      <c r="C1538" t="s">
        <v>4079</v>
      </c>
      <c r="D1538" t="s">
        <v>4123</v>
      </c>
      <c r="F1538" t="s">
        <v>4126</v>
      </c>
      <c r="G1538" s="9" t="s">
        <v>288</v>
      </c>
      <c r="H1538" t="s">
        <v>287</v>
      </c>
      <c r="I1538" t="s">
        <v>57</v>
      </c>
      <c r="J1538" s="2">
        <v>14131</v>
      </c>
    </row>
    <row r="1539" spans="1:10" hidden="1" x14ac:dyDescent="0.25">
      <c r="A1539" t="s">
        <v>4041</v>
      </c>
      <c r="C1539" t="s">
        <v>4079</v>
      </c>
      <c r="D1539" t="s">
        <v>4123</v>
      </c>
      <c r="F1539" t="s">
        <v>4126</v>
      </c>
      <c r="G1539" s="9" t="s">
        <v>289</v>
      </c>
      <c r="H1539" t="s">
        <v>287</v>
      </c>
      <c r="I1539" t="s">
        <v>57</v>
      </c>
      <c r="J1539" s="2">
        <v>14131</v>
      </c>
    </row>
    <row r="1540" spans="1:10" hidden="1" x14ac:dyDescent="0.25">
      <c r="A1540" t="s">
        <v>4042</v>
      </c>
      <c r="C1540" t="s">
        <v>4079</v>
      </c>
      <c r="D1540" t="s">
        <v>4123</v>
      </c>
      <c r="F1540" t="s">
        <v>4126</v>
      </c>
      <c r="G1540" s="9" t="s">
        <v>394</v>
      </c>
      <c r="H1540" t="s">
        <v>393</v>
      </c>
      <c r="I1540" t="s">
        <v>45</v>
      </c>
      <c r="J1540" s="2">
        <v>9775</v>
      </c>
    </row>
    <row r="1541" spans="1:10" hidden="1" x14ac:dyDescent="0.25">
      <c r="A1541" t="s">
        <v>4043</v>
      </c>
      <c r="C1541" t="s">
        <v>4079</v>
      </c>
      <c r="D1541" t="s">
        <v>4123</v>
      </c>
      <c r="F1541" t="s">
        <v>4126</v>
      </c>
      <c r="G1541" s="9" t="s">
        <v>395</v>
      </c>
      <c r="H1541" t="s">
        <v>393</v>
      </c>
      <c r="I1541" t="s">
        <v>45</v>
      </c>
      <c r="J1541" s="2">
        <v>9775</v>
      </c>
    </row>
    <row r="1542" spans="1:10" hidden="1" x14ac:dyDescent="0.25">
      <c r="A1542" t="s">
        <v>4044</v>
      </c>
      <c r="C1542" t="s">
        <v>4079</v>
      </c>
      <c r="D1542" t="s">
        <v>4123</v>
      </c>
      <c r="F1542" t="s">
        <v>4126</v>
      </c>
      <c r="G1542" s="9" t="s">
        <v>396</v>
      </c>
      <c r="H1542" t="s">
        <v>393</v>
      </c>
      <c r="I1542" t="s">
        <v>45</v>
      </c>
      <c r="J1542" s="2">
        <v>9775</v>
      </c>
    </row>
    <row r="1543" spans="1:10" hidden="1" x14ac:dyDescent="0.25">
      <c r="A1543" t="s">
        <v>4045</v>
      </c>
      <c r="C1543" t="s">
        <v>4079</v>
      </c>
      <c r="D1543" t="s">
        <v>4123</v>
      </c>
      <c r="F1543" t="s">
        <v>4126</v>
      </c>
      <c r="G1543" s="9" t="s">
        <v>1332</v>
      </c>
      <c r="H1543" t="s">
        <v>1331</v>
      </c>
      <c r="I1543" t="s">
        <v>57</v>
      </c>
      <c r="J1543" s="2">
        <v>2788</v>
      </c>
    </row>
    <row r="1544" spans="1:10" hidden="1" x14ac:dyDescent="0.25">
      <c r="A1544" t="s">
        <v>4046</v>
      </c>
      <c r="C1544" t="s">
        <v>4079</v>
      </c>
      <c r="D1544" t="s">
        <v>4123</v>
      </c>
      <c r="F1544" t="s">
        <v>4126</v>
      </c>
      <c r="G1544" s="9" t="s">
        <v>1334</v>
      </c>
      <c r="H1544" t="s">
        <v>1331</v>
      </c>
      <c r="I1544" t="s">
        <v>1333</v>
      </c>
      <c r="J1544" s="2">
        <v>2788</v>
      </c>
    </row>
    <row r="1545" spans="1:10" hidden="1" x14ac:dyDescent="0.25">
      <c r="A1545" t="s">
        <v>4047</v>
      </c>
      <c r="C1545" t="s">
        <v>4079</v>
      </c>
      <c r="D1545" t="s">
        <v>4123</v>
      </c>
      <c r="F1545" t="s">
        <v>4126</v>
      </c>
      <c r="G1545" s="9" t="s">
        <v>1938</v>
      </c>
      <c r="H1545" t="s">
        <v>1937</v>
      </c>
      <c r="I1545" t="s">
        <v>57</v>
      </c>
      <c r="J1545" s="2">
        <v>1342</v>
      </c>
    </row>
    <row r="1546" spans="1:10" hidden="1" x14ac:dyDescent="0.25">
      <c r="A1546" t="s">
        <v>4048</v>
      </c>
      <c r="C1546" t="s">
        <v>4079</v>
      </c>
      <c r="D1546" t="s">
        <v>4123</v>
      </c>
      <c r="F1546" t="s">
        <v>4126</v>
      </c>
      <c r="G1546" s="9" t="s">
        <v>1939</v>
      </c>
      <c r="H1546" t="s">
        <v>1937</v>
      </c>
      <c r="I1546" t="s">
        <v>89</v>
      </c>
      <c r="J1546" s="2">
        <v>1342</v>
      </c>
    </row>
    <row r="1547" spans="1:10" hidden="1" x14ac:dyDescent="0.25">
      <c r="A1547" t="s">
        <v>4049</v>
      </c>
      <c r="C1547" t="s">
        <v>4079</v>
      </c>
      <c r="D1547" t="s">
        <v>4123</v>
      </c>
      <c r="F1547" t="s">
        <v>4126</v>
      </c>
      <c r="G1547" s="9" t="s">
        <v>2037</v>
      </c>
      <c r="H1547" t="s">
        <v>2036</v>
      </c>
      <c r="I1547" t="s">
        <v>57</v>
      </c>
      <c r="J1547" s="2">
        <v>1179</v>
      </c>
    </row>
    <row r="1548" spans="1:10" hidden="1" x14ac:dyDescent="0.25">
      <c r="A1548" t="s">
        <v>4050</v>
      </c>
      <c r="C1548" t="s">
        <v>4078</v>
      </c>
      <c r="D1548" t="s">
        <v>2184</v>
      </c>
      <c r="F1548" t="s">
        <v>4126</v>
      </c>
      <c r="G1548" s="9" t="s">
        <v>2015</v>
      </c>
      <c r="H1548" t="s">
        <v>2013</v>
      </c>
      <c r="I1548" t="s">
        <v>2014</v>
      </c>
      <c r="J1548" s="2">
        <v>1206</v>
      </c>
    </row>
    <row r="1549" spans="1:10" hidden="1" x14ac:dyDescent="0.25">
      <c r="A1549" t="s">
        <v>4051</v>
      </c>
      <c r="C1549" t="s">
        <v>4078</v>
      </c>
      <c r="D1549" t="s">
        <v>2184</v>
      </c>
      <c r="F1549" t="s">
        <v>4126</v>
      </c>
      <c r="G1549" s="9" t="s">
        <v>2016</v>
      </c>
      <c r="H1549" t="s">
        <v>2013</v>
      </c>
      <c r="I1549" t="s">
        <v>2014</v>
      </c>
      <c r="J1549" s="2">
        <v>1206</v>
      </c>
    </row>
    <row r="1550" spans="1:10" hidden="1" x14ac:dyDescent="0.25">
      <c r="A1550" t="s">
        <v>4052</v>
      </c>
      <c r="C1550" t="s">
        <v>4078</v>
      </c>
      <c r="D1550" t="s">
        <v>2184</v>
      </c>
      <c r="F1550" t="s">
        <v>4126</v>
      </c>
      <c r="G1550" s="9" t="s">
        <v>2017</v>
      </c>
      <c r="H1550" t="s">
        <v>2013</v>
      </c>
      <c r="I1550" t="s">
        <v>2014</v>
      </c>
      <c r="J1550" s="2">
        <v>1206</v>
      </c>
    </row>
    <row r="1551" spans="1:10" hidden="1" x14ac:dyDescent="0.25">
      <c r="A1551" t="s">
        <v>4053</v>
      </c>
      <c r="C1551" t="s">
        <v>4101</v>
      </c>
      <c r="D1551" t="s">
        <v>4124</v>
      </c>
      <c r="F1551" t="s">
        <v>4126</v>
      </c>
      <c r="G1551" s="9" t="s">
        <v>694</v>
      </c>
      <c r="H1551" t="s">
        <v>692</v>
      </c>
      <c r="I1551" t="s">
        <v>693</v>
      </c>
      <c r="J1551" s="2">
        <v>5099</v>
      </c>
    </row>
    <row r="1552" spans="1:10" hidden="1" x14ac:dyDescent="0.25">
      <c r="A1552" t="s">
        <v>4054</v>
      </c>
      <c r="C1552" t="s">
        <v>4101</v>
      </c>
      <c r="D1552" t="s">
        <v>4124</v>
      </c>
      <c r="F1552" t="s">
        <v>4126</v>
      </c>
      <c r="G1552" s="9" t="s">
        <v>1756</v>
      </c>
      <c r="H1552" t="s">
        <v>1755</v>
      </c>
      <c r="I1552" t="s">
        <v>1151</v>
      </c>
      <c r="J1552" s="2">
        <v>1793</v>
      </c>
    </row>
    <row r="1553" spans="10:10" x14ac:dyDescent="0.25">
      <c r="J1553" s="3"/>
    </row>
  </sheetData>
  <autoFilter ref="A1:J1552" xr:uid="{C8330161-61D3-4C5E-B098-95C0A35E16D2}">
    <filterColumn colId="2">
      <filters>
        <filter val="ic"/>
      </filters>
    </filterColumn>
  </autoFilter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92D8-8F74-4F85-B6D4-20215BBC1A4F}">
  <dimension ref="C2:G37"/>
  <sheetViews>
    <sheetView workbookViewId="0">
      <selection activeCell="G11" sqref="G11"/>
    </sheetView>
  </sheetViews>
  <sheetFormatPr defaultRowHeight="13.2" x14ac:dyDescent="0.25"/>
  <cols>
    <col min="3" max="4" width="12.44140625" customWidth="1"/>
    <col min="5" max="6" width="17.77734375" customWidth="1"/>
    <col min="7" max="7" width="22.5546875" customWidth="1"/>
    <col min="8" max="8" width="15.109375" customWidth="1"/>
  </cols>
  <sheetData>
    <row r="2" spans="3:7" x14ac:dyDescent="0.25">
      <c r="C2" t="s">
        <v>4102</v>
      </c>
      <c r="D2" t="s">
        <v>4125</v>
      </c>
      <c r="E2" t="str">
        <f>LOWER(C2)</f>
        <v>wire</v>
      </c>
      <c r="G2" t="str">
        <f>CONCATENATE("{",D2,":","""",E2,"""","}",",")</f>
        <v>{name:"wire"},</v>
      </c>
    </row>
    <row r="3" spans="3:7" x14ac:dyDescent="0.25">
      <c r="C3" t="s">
        <v>4103</v>
      </c>
      <c r="D3" t="s">
        <v>4125</v>
      </c>
      <c r="E3" t="str">
        <f t="shared" ref="E3:E37" si="0">LOWER(C3)</f>
        <v>connector</v>
      </c>
      <c r="G3" t="str">
        <f t="shared" ref="G3:G37" si="1">CONCATENATE("{",D3,":","""",E3,"""","}",",")</f>
        <v>{name:"connector"},</v>
      </c>
    </row>
    <row r="4" spans="3:7" x14ac:dyDescent="0.25">
      <c r="C4" t="s">
        <v>2491</v>
      </c>
      <c r="D4" t="s">
        <v>4125</v>
      </c>
      <c r="E4" t="str">
        <f t="shared" si="0"/>
        <v>antenna</v>
      </c>
      <c r="G4" t="str">
        <f t="shared" si="1"/>
        <v>{name:"antenna"},</v>
      </c>
    </row>
    <row r="5" spans="3:7" x14ac:dyDescent="0.25">
      <c r="C5" t="s">
        <v>2165</v>
      </c>
      <c r="D5" t="s">
        <v>4125</v>
      </c>
      <c r="E5" t="str">
        <f t="shared" si="0"/>
        <v>base</v>
      </c>
      <c r="G5" t="str">
        <f t="shared" si="1"/>
        <v>{name:"base"},</v>
      </c>
    </row>
    <row r="6" spans="3:7" x14ac:dyDescent="0.25">
      <c r="C6" t="s">
        <v>2496</v>
      </c>
      <c r="D6" t="s">
        <v>4125</v>
      </c>
      <c r="E6" t="str">
        <f t="shared" si="0"/>
        <v>battery</v>
      </c>
      <c r="G6" t="str">
        <f t="shared" si="1"/>
        <v>{name:"battery"},</v>
      </c>
    </row>
    <row r="7" spans="3:7" x14ac:dyDescent="0.25">
      <c r="C7" t="s">
        <v>2485</v>
      </c>
      <c r="D7" t="s">
        <v>4125</v>
      </c>
      <c r="E7" t="str">
        <f t="shared" si="0"/>
        <v>bluetooth</v>
      </c>
      <c r="G7" t="str">
        <f t="shared" si="1"/>
        <v>{name:"bluetooth"},</v>
      </c>
    </row>
    <row r="8" spans="3:7" x14ac:dyDescent="0.25">
      <c r="C8" t="s">
        <v>2493</v>
      </c>
      <c r="D8" t="s">
        <v>4125</v>
      </c>
      <c r="E8" t="str">
        <f t="shared" si="0"/>
        <v>bobbin</v>
      </c>
      <c r="G8" t="str">
        <f t="shared" si="1"/>
        <v>{name:"bobbin"},</v>
      </c>
    </row>
    <row r="9" spans="3:7" x14ac:dyDescent="0.25">
      <c r="C9" t="s">
        <v>4104</v>
      </c>
      <c r="D9" t="s">
        <v>4125</v>
      </c>
      <c r="E9" t="str">
        <f t="shared" si="0"/>
        <v>capacitor</v>
      </c>
      <c r="G9" t="str">
        <f t="shared" si="1"/>
        <v>{name:"capacitor"},</v>
      </c>
    </row>
    <row r="10" spans="3:7" x14ac:dyDescent="0.25">
      <c r="C10" t="s">
        <v>2126</v>
      </c>
      <c r="D10" t="s">
        <v>4125</v>
      </c>
      <c r="E10" t="str">
        <f t="shared" si="0"/>
        <v>fuse</v>
      </c>
      <c r="G10" t="str">
        <f t="shared" si="1"/>
        <v>{name:"fuse"},</v>
      </c>
    </row>
    <row r="11" spans="3:7" x14ac:dyDescent="0.25">
      <c r="C11" t="s">
        <v>4105</v>
      </c>
      <c r="D11" t="s">
        <v>4125</v>
      </c>
      <c r="E11" t="str">
        <f t="shared" si="0"/>
        <v>inductor</v>
      </c>
      <c r="G11" t="str">
        <f t="shared" si="1"/>
        <v>{name:"inductor"},</v>
      </c>
    </row>
    <row r="12" spans="3:7" x14ac:dyDescent="0.25">
      <c r="C12" t="s">
        <v>2157</v>
      </c>
      <c r="D12" t="s">
        <v>4125</v>
      </c>
      <c r="E12" t="str">
        <f t="shared" si="0"/>
        <v>clip</v>
      </c>
      <c r="G12" t="str">
        <f t="shared" si="1"/>
        <v>{name:"clip"},</v>
      </c>
    </row>
    <row r="13" spans="3:7" x14ac:dyDescent="0.25">
      <c r="C13" t="s">
        <v>4106</v>
      </c>
      <c r="D13" t="s">
        <v>4125</v>
      </c>
      <c r="E13" t="str">
        <f t="shared" si="0"/>
        <v>contact</v>
      </c>
      <c r="G13" t="str">
        <f t="shared" si="1"/>
        <v>{name:"contact"},</v>
      </c>
    </row>
    <row r="14" spans="3:7" x14ac:dyDescent="0.25">
      <c r="C14" t="s">
        <v>4107</v>
      </c>
      <c r="D14" t="s">
        <v>4125</v>
      </c>
      <c r="E14" t="str">
        <f t="shared" si="0"/>
        <v>coppertape</v>
      </c>
      <c r="G14" t="str">
        <f t="shared" si="1"/>
        <v>{name:"coppertape"},</v>
      </c>
    </row>
    <row r="15" spans="3:7" x14ac:dyDescent="0.25">
      <c r="C15" t="s">
        <v>4108</v>
      </c>
      <c r="D15" t="s">
        <v>4125</v>
      </c>
      <c r="E15" t="str">
        <f t="shared" si="0"/>
        <v>covertape</v>
      </c>
      <c r="G15" t="str">
        <f t="shared" si="1"/>
        <v>{name:"covertape"},</v>
      </c>
    </row>
    <row r="16" spans="3:7" x14ac:dyDescent="0.25">
      <c r="C16" t="s">
        <v>4059</v>
      </c>
      <c r="D16" t="s">
        <v>4125</v>
      </c>
      <c r="E16" t="str">
        <f t="shared" si="0"/>
        <v>crystal</v>
      </c>
      <c r="G16" t="str">
        <f t="shared" si="1"/>
        <v>{name:"crystal"},</v>
      </c>
    </row>
    <row r="17" spans="3:7" x14ac:dyDescent="0.25">
      <c r="C17" t="s">
        <v>4109</v>
      </c>
      <c r="D17" t="s">
        <v>4125</v>
      </c>
      <c r="E17" t="str">
        <f t="shared" si="0"/>
        <v>diode</v>
      </c>
      <c r="G17" t="str">
        <f t="shared" si="1"/>
        <v>{name:"diode"},</v>
      </c>
    </row>
    <row r="18" spans="3:7" x14ac:dyDescent="0.25">
      <c r="C18" t="s">
        <v>4110</v>
      </c>
      <c r="D18" t="s">
        <v>4125</v>
      </c>
      <c r="E18" t="str">
        <f t="shared" si="0"/>
        <v>others</v>
      </c>
      <c r="G18" t="str">
        <f t="shared" si="1"/>
        <v>{name:"others"},</v>
      </c>
    </row>
    <row r="19" spans="3:7" x14ac:dyDescent="0.25">
      <c r="C19" t="s">
        <v>2154</v>
      </c>
      <c r="D19" t="s">
        <v>4125</v>
      </c>
      <c r="E19" t="str">
        <f t="shared" si="0"/>
        <v>head</v>
      </c>
      <c r="G19" t="str">
        <f t="shared" si="1"/>
        <v>{name:"head"},</v>
      </c>
    </row>
    <row r="20" spans="3:7" x14ac:dyDescent="0.25">
      <c r="C20" t="s">
        <v>2382</v>
      </c>
      <c r="D20" t="s">
        <v>4125</v>
      </c>
      <c r="E20" t="str">
        <f t="shared" si="0"/>
        <v>ic</v>
      </c>
      <c r="G20" t="str">
        <f t="shared" si="1"/>
        <v>{name:"ic"},</v>
      </c>
    </row>
    <row r="21" spans="3:7" x14ac:dyDescent="0.25">
      <c r="C21" t="s">
        <v>4111</v>
      </c>
      <c r="D21" t="s">
        <v>4125</v>
      </c>
      <c r="E21" t="str">
        <f t="shared" si="0"/>
        <v>jumper</v>
      </c>
      <c r="G21" t="str">
        <f t="shared" si="1"/>
        <v>{name:"jumper"},</v>
      </c>
    </row>
    <row r="22" spans="3:7" x14ac:dyDescent="0.25">
      <c r="C22" t="s">
        <v>4112</v>
      </c>
      <c r="D22" t="s">
        <v>4125</v>
      </c>
      <c r="E22" t="str">
        <f t="shared" si="0"/>
        <v>led</v>
      </c>
      <c r="G22" t="str">
        <f t="shared" si="1"/>
        <v>{name:"led"},</v>
      </c>
    </row>
    <row r="23" spans="3:7" x14ac:dyDescent="0.25">
      <c r="C23" t="s">
        <v>4113</v>
      </c>
      <c r="D23" t="s">
        <v>4125</v>
      </c>
      <c r="E23" t="str">
        <f t="shared" si="0"/>
        <v>resistor</v>
      </c>
      <c r="G23" t="str">
        <f t="shared" si="1"/>
        <v>{name:"resistor"},</v>
      </c>
    </row>
    <row r="24" spans="3:7" x14ac:dyDescent="0.25">
      <c r="C24" t="s">
        <v>4114</v>
      </c>
      <c r="D24" t="s">
        <v>4125</v>
      </c>
      <c r="E24" t="str">
        <f t="shared" si="0"/>
        <v>transistor</v>
      </c>
      <c r="G24" t="str">
        <f t="shared" si="1"/>
        <v>{name:"transistor"},</v>
      </c>
    </row>
    <row r="25" spans="3:7" x14ac:dyDescent="0.25">
      <c r="C25" t="s">
        <v>4115</v>
      </c>
      <c r="D25" t="s">
        <v>4125</v>
      </c>
      <c r="E25" t="str">
        <f t="shared" si="0"/>
        <v>ntc</v>
      </c>
      <c r="G25" t="str">
        <f t="shared" si="1"/>
        <v>{name:"ntc"},</v>
      </c>
    </row>
    <row r="26" spans="3:7" x14ac:dyDescent="0.25">
      <c r="C26" t="s">
        <v>4116</v>
      </c>
      <c r="D26" t="s">
        <v>4125</v>
      </c>
      <c r="E26" t="str">
        <f t="shared" si="0"/>
        <v>opto</v>
      </c>
      <c r="G26" t="str">
        <f t="shared" si="1"/>
        <v>{name:"opto"},</v>
      </c>
    </row>
    <row r="27" spans="3:7" x14ac:dyDescent="0.25">
      <c r="C27" t="s">
        <v>4117</v>
      </c>
      <c r="D27" t="s">
        <v>4125</v>
      </c>
      <c r="E27" t="str">
        <f t="shared" si="0"/>
        <v>ptc</v>
      </c>
      <c r="G27" t="str">
        <f t="shared" si="1"/>
        <v>{name:"ptc"},</v>
      </c>
    </row>
    <row r="28" spans="3:7" x14ac:dyDescent="0.25">
      <c r="C28" t="s">
        <v>4118</v>
      </c>
      <c r="D28" t="s">
        <v>4125</v>
      </c>
      <c r="E28" t="str">
        <f t="shared" si="0"/>
        <v>relay</v>
      </c>
      <c r="G28" t="str">
        <f t="shared" si="1"/>
        <v>{name:"relay"},</v>
      </c>
    </row>
    <row r="29" spans="3:7" x14ac:dyDescent="0.25">
      <c r="C29" t="s">
        <v>4119</v>
      </c>
      <c r="D29" t="s">
        <v>4125</v>
      </c>
      <c r="E29" t="str">
        <f t="shared" si="0"/>
        <v>ferrite</v>
      </c>
      <c r="G29" t="str">
        <f t="shared" si="1"/>
        <v>{name:"ferrite"},</v>
      </c>
    </row>
    <row r="30" spans="3:7" x14ac:dyDescent="0.25">
      <c r="C30" t="s">
        <v>4120</v>
      </c>
      <c r="D30" t="s">
        <v>4125</v>
      </c>
      <c r="E30" t="str">
        <f t="shared" si="0"/>
        <v>scr</v>
      </c>
      <c r="G30" t="str">
        <f t="shared" si="1"/>
        <v>{name:"scr"},</v>
      </c>
    </row>
    <row r="31" spans="3:7" x14ac:dyDescent="0.25">
      <c r="C31" t="s">
        <v>2490</v>
      </c>
      <c r="D31" t="s">
        <v>4125</v>
      </c>
      <c r="E31" t="str">
        <f t="shared" si="0"/>
        <v>sensor</v>
      </c>
      <c r="G31" t="str">
        <f t="shared" si="1"/>
        <v>{name:"sensor"},</v>
      </c>
    </row>
    <row r="32" spans="3:7" x14ac:dyDescent="0.25">
      <c r="C32" t="s">
        <v>4121</v>
      </c>
      <c r="D32" t="s">
        <v>4125</v>
      </c>
      <c r="E32" t="str">
        <f t="shared" si="0"/>
        <v>spacer</v>
      </c>
      <c r="G32" t="str">
        <f t="shared" si="1"/>
        <v>{name:"spacer"},</v>
      </c>
    </row>
    <row r="33" spans="3:7" x14ac:dyDescent="0.25">
      <c r="C33" t="s">
        <v>4122</v>
      </c>
      <c r="D33" t="s">
        <v>4125</v>
      </c>
      <c r="E33" t="str">
        <f t="shared" si="0"/>
        <v>sw</v>
      </c>
      <c r="G33" t="str">
        <f t="shared" si="1"/>
        <v>{name:"sw"},</v>
      </c>
    </row>
    <row r="34" spans="3:7" x14ac:dyDescent="0.25">
      <c r="C34" t="s">
        <v>2186</v>
      </c>
      <c r="D34" t="s">
        <v>4125</v>
      </c>
      <c r="E34" t="str">
        <f t="shared" si="0"/>
        <v>tape</v>
      </c>
      <c r="G34" t="str">
        <f t="shared" si="1"/>
        <v>{name:"tape"},</v>
      </c>
    </row>
    <row r="35" spans="3:7" x14ac:dyDescent="0.25">
      <c r="C35" t="s">
        <v>4123</v>
      </c>
      <c r="D35" t="s">
        <v>4125</v>
      </c>
      <c r="E35" t="str">
        <f t="shared" si="0"/>
        <v>varistor</v>
      </c>
      <c r="G35" t="str">
        <f t="shared" si="1"/>
        <v>{name:"varistor"},</v>
      </c>
    </row>
    <row r="36" spans="3:7" x14ac:dyDescent="0.25">
      <c r="C36" t="s">
        <v>2184</v>
      </c>
      <c r="D36" t="s">
        <v>4125</v>
      </c>
      <c r="E36" t="str">
        <f t="shared" si="0"/>
        <v>wave</v>
      </c>
      <c r="G36" t="str">
        <f t="shared" si="1"/>
        <v>{name:"wave"},</v>
      </c>
    </row>
    <row r="37" spans="3:7" x14ac:dyDescent="0.25">
      <c r="C37" t="s">
        <v>4124</v>
      </c>
      <c r="D37" t="s">
        <v>4125</v>
      </c>
      <c r="E37" t="str">
        <f t="shared" si="0"/>
        <v>oscillator</v>
      </c>
      <c r="G37" t="str">
        <f t="shared" si="1"/>
        <v>{name:"oscillator"},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617F-86E2-4E25-9E28-8FD61AE5C734}">
  <dimension ref="E5:BHC1569"/>
  <sheetViews>
    <sheetView topLeftCell="S1407" zoomScale="115" zoomScaleNormal="115" workbookViewId="0">
      <selection activeCell="T1505" sqref="T1505"/>
    </sheetView>
  </sheetViews>
  <sheetFormatPr defaultRowHeight="13.2" x14ac:dyDescent="0.25"/>
  <cols>
    <col min="4" max="4" width="12.21875" bestFit="1" customWidth="1"/>
    <col min="5" max="5" width="13.21875" customWidth="1"/>
    <col min="6" max="6" width="34.44140625" customWidth="1"/>
    <col min="7" max="7" width="27.77734375" customWidth="1"/>
    <col min="8" max="8" width="27.33203125" bestFit="1" customWidth="1"/>
    <col min="9" max="9" width="14.109375" customWidth="1"/>
    <col min="12" max="12" width="11.77734375" customWidth="1"/>
    <col min="13" max="13" width="26.5546875" bestFit="1" customWidth="1"/>
    <col min="14" max="14" width="35.109375" customWidth="1"/>
    <col min="15" max="15" width="23.6640625" customWidth="1"/>
    <col min="16" max="16" width="17.6640625" customWidth="1"/>
    <col min="20" max="20" width="131.77734375" bestFit="1" customWidth="1"/>
    <col min="1563" max="1563" width="12.33203125" customWidth="1"/>
  </cols>
  <sheetData>
    <row r="5" spans="5:1563" x14ac:dyDescent="0.25">
      <c r="E5" s="5" t="s">
        <v>2120</v>
      </c>
      <c r="F5" s="5" t="s">
        <v>2191</v>
      </c>
      <c r="G5" s="5" t="s">
        <v>2189</v>
      </c>
      <c r="H5" s="5" t="s">
        <v>2192</v>
      </c>
      <c r="I5" s="5" t="s">
        <v>2190</v>
      </c>
    </row>
    <row r="6" spans="5:1563" x14ac:dyDescent="0.25">
      <c r="E6" t="s">
        <v>2193</v>
      </c>
      <c r="F6" t="s">
        <v>4</v>
      </c>
      <c r="G6" t="s">
        <v>5</v>
      </c>
      <c r="H6" t="s">
        <v>6</v>
      </c>
      <c r="I6">
        <v>358146</v>
      </c>
      <c r="L6" t="s">
        <v>2120</v>
      </c>
      <c r="M6" t="s">
        <v>2193</v>
      </c>
      <c r="N6" t="s">
        <v>2193</v>
      </c>
      <c r="O6" t="s">
        <v>2194</v>
      </c>
      <c r="P6" t="s">
        <v>2194</v>
      </c>
      <c r="Q6" t="s">
        <v>2193</v>
      </c>
      <c r="R6" t="s">
        <v>2193</v>
      </c>
      <c r="S6" t="s">
        <v>2193</v>
      </c>
      <c r="T6" t="s">
        <v>2193</v>
      </c>
      <c r="U6" t="s">
        <v>2193</v>
      </c>
      <c r="V6" t="s">
        <v>2405</v>
      </c>
      <c r="W6" t="s">
        <v>2486</v>
      </c>
      <c r="X6" t="s">
        <v>2486</v>
      </c>
      <c r="Y6" t="s">
        <v>2382</v>
      </c>
      <c r="Z6" t="s">
        <v>2382</v>
      </c>
      <c r="AA6" t="s">
        <v>2382</v>
      </c>
      <c r="AB6" t="s">
        <v>2193</v>
      </c>
      <c r="AC6" t="s">
        <v>2193</v>
      </c>
      <c r="AD6" t="s">
        <v>2194</v>
      </c>
      <c r="AE6" t="s">
        <v>2194</v>
      </c>
      <c r="AF6" t="s">
        <v>2122</v>
      </c>
      <c r="AG6" t="s">
        <v>2122</v>
      </c>
      <c r="AH6" t="s">
        <v>2122</v>
      </c>
      <c r="AI6" t="s">
        <v>2122</v>
      </c>
      <c r="AJ6" t="s">
        <v>2122</v>
      </c>
      <c r="AK6" t="s">
        <v>2193</v>
      </c>
      <c r="AL6" t="s">
        <v>2394</v>
      </c>
      <c r="AM6" t="s">
        <v>2194</v>
      </c>
      <c r="AN6" t="s">
        <v>2194</v>
      </c>
      <c r="AO6" t="s">
        <v>2194</v>
      </c>
      <c r="AP6" t="s">
        <v>2194</v>
      </c>
      <c r="AQ6" t="s">
        <v>2194</v>
      </c>
      <c r="AR6" t="s">
        <v>2194</v>
      </c>
      <c r="AS6" t="s">
        <v>2194</v>
      </c>
      <c r="AT6" t="s">
        <v>2194</v>
      </c>
      <c r="AU6" t="s">
        <v>2405</v>
      </c>
      <c r="AV6" t="s">
        <v>2405</v>
      </c>
      <c r="AW6" t="s">
        <v>2405</v>
      </c>
      <c r="AX6" t="s">
        <v>2405</v>
      </c>
      <c r="AY6" t="s">
        <v>2394</v>
      </c>
      <c r="AZ6" t="s">
        <v>2194</v>
      </c>
      <c r="BA6" t="s">
        <v>2194</v>
      </c>
      <c r="BB6" t="s">
        <v>2194</v>
      </c>
      <c r="BC6" t="s">
        <v>2194</v>
      </c>
      <c r="BD6" t="s">
        <v>2194</v>
      </c>
      <c r="BE6" t="s">
        <v>2194</v>
      </c>
      <c r="BF6" t="s">
        <v>2194</v>
      </c>
      <c r="BG6" t="s">
        <v>2194</v>
      </c>
      <c r="BH6" t="s">
        <v>2194</v>
      </c>
      <c r="BI6" t="s">
        <v>2194</v>
      </c>
      <c r="BJ6" t="s">
        <v>2194</v>
      </c>
      <c r="BK6" t="s">
        <v>2194</v>
      </c>
      <c r="BL6" t="s">
        <v>2194</v>
      </c>
      <c r="BM6" t="s">
        <v>2194</v>
      </c>
      <c r="BN6" t="s">
        <v>2193</v>
      </c>
      <c r="BO6" t="s">
        <v>2382</v>
      </c>
      <c r="BP6" t="s">
        <v>2193</v>
      </c>
      <c r="BQ6" t="s">
        <v>2193</v>
      </c>
      <c r="BR6" t="s">
        <v>2193</v>
      </c>
      <c r="BS6" t="s">
        <v>2193</v>
      </c>
      <c r="BT6" t="s">
        <v>2193</v>
      </c>
      <c r="BU6" t="s">
        <v>2193</v>
      </c>
      <c r="BV6" t="s">
        <v>2194</v>
      </c>
      <c r="BW6" t="s">
        <v>2474</v>
      </c>
      <c r="BX6" t="s">
        <v>2474</v>
      </c>
      <c r="BY6" t="s">
        <v>2474</v>
      </c>
      <c r="BZ6" t="s">
        <v>2194</v>
      </c>
      <c r="CA6" t="s">
        <v>2194</v>
      </c>
      <c r="CB6" t="s">
        <v>2194</v>
      </c>
      <c r="CC6" t="s">
        <v>2194</v>
      </c>
      <c r="CD6" t="s">
        <v>2194</v>
      </c>
      <c r="CE6" t="s">
        <v>2194</v>
      </c>
      <c r="CF6" t="s">
        <v>2194</v>
      </c>
      <c r="CG6" t="s">
        <v>2193</v>
      </c>
      <c r="CH6" t="s">
        <v>2193</v>
      </c>
      <c r="CI6" t="s">
        <v>2193</v>
      </c>
      <c r="CJ6" t="s">
        <v>2193</v>
      </c>
      <c r="CK6" t="s">
        <v>2193</v>
      </c>
      <c r="CL6" t="s">
        <v>2123</v>
      </c>
      <c r="CM6" t="s">
        <v>2123</v>
      </c>
      <c r="CN6" t="s">
        <v>2123</v>
      </c>
      <c r="CO6" t="s">
        <v>2123</v>
      </c>
      <c r="CP6" t="s">
        <v>2123</v>
      </c>
      <c r="CQ6" t="s">
        <v>2123</v>
      </c>
      <c r="CR6" t="s">
        <v>2123</v>
      </c>
      <c r="CS6" t="s">
        <v>2193</v>
      </c>
      <c r="CT6" t="s">
        <v>2193</v>
      </c>
      <c r="CU6" t="s">
        <v>2193</v>
      </c>
      <c r="CV6" t="s">
        <v>2194</v>
      </c>
      <c r="CW6" t="s">
        <v>2194</v>
      </c>
      <c r="CX6" t="s">
        <v>2194</v>
      </c>
      <c r="CY6" t="s">
        <v>2194</v>
      </c>
      <c r="CZ6" t="s">
        <v>2194</v>
      </c>
      <c r="DA6" t="s">
        <v>2123</v>
      </c>
      <c r="DB6" t="s">
        <v>2123</v>
      </c>
      <c r="DC6" t="s">
        <v>2123</v>
      </c>
      <c r="DD6" t="s">
        <v>2123</v>
      </c>
      <c r="DE6" t="s">
        <v>2123</v>
      </c>
      <c r="DF6" t="s">
        <v>2123</v>
      </c>
      <c r="DG6" t="s">
        <v>2123</v>
      </c>
      <c r="DH6" t="s">
        <v>2194</v>
      </c>
      <c r="DI6" t="s">
        <v>2382</v>
      </c>
      <c r="DJ6" t="s">
        <v>2193</v>
      </c>
      <c r="DK6" t="s">
        <v>2194</v>
      </c>
      <c r="DL6" t="s">
        <v>2194</v>
      </c>
      <c r="DM6" t="s">
        <v>2194</v>
      </c>
      <c r="DN6" t="s">
        <v>2382</v>
      </c>
      <c r="DO6" t="s">
        <v>2382</v>
      </c>
      <c r="DP6" t="s">
        <v>2382</v>
      </c>
      <c r="DQ6" t="s">
        <v>2194</v>
      </c>
      <c r="DR6" t="s">
        <v>2194</v>
      </c>
      <c r="DS6" t="s">
        <v>2194</v>
      </c>
      <c r="DT6" t="s">
        <v>2194</v>
      </c>
      <c r="DU6" t="s">
        <v>2194</v>
      </c>
      <c r="DV6" t="s">
        <v>2125</v>
      </c>
      <c r="DW6" t="s">
        <v>2194</v>
      </c>
      <c r="DX6" t="s">
        <v>2194</v>
      </c>
      <c r="DY6" t="s">
        <v>2193</v>
      </c>
      <c r="DZ6" t="s">
        <v>2193</v>
      </c>
      <c r="EA6" t="s">
        <v>2194</v>
      </c>
      <c r="EB6" t="s">
        <v>2194</v>
      </c>
      <c r="EC6" t="s">
        <v>2194</v>
      </c>
      <c r="ED6" t="s">
        <v>2194</v>
      </c>
      <c r="EE6" t="s">
        <v>2194</v>
      </c>
      <c r="EF6" t="s">
        <v>2123</v>
      </c>
      <c r="EG6" t="s">
        <v>2193</v>
      </c>
      <c r="EH6" t="s">
        <v>2193</v>
      </c>
      <c r="EI6" t="s">
        <v>2193</v>
      </c>
      <c r="EJ6" t="s">
        <v>2193</v>
      </c>
      <c r="EK6" t="s">
        <v>2126</v>
      </c>
      <c r="EL6" t="s">
        <v>2127</v>
      </c>
      <c r="EM6" t="s">
        <v>2127</v>
      </c>
      <c r="EN6" t="s">
        <v>2194</v>
      </c>
      <c r="EO6" t="s">
        <v>2194</v>
      </c>
      <c r="EP6" t="s">
        <v>2193</v>
      </c>
      <c r="EQ6" t="s">
        <v>2194</v>
      </c>
      <c r="ER6" t="s">
        <v>2194</v>
      </c>
      <c r="ES6" t="s">
        <v>2194</v>
      </c>
      <c r="ET6" t="s">
        <v>2194</v>
      </c>
      <c r="EU6" t="s">
        <v>2194</v>
      </c>
      <c r="EV6" t="s">
        <v>2405</v>
      </c>
      <c r="EW6" t="s">
        <v>2405</v>
      </c>
      <c r="EX6" t="s">
        <v>2405</v>
      </c>
      <c r="EY6" t="s">
        <v>2405</v>
      </c>
      <c r="EZ6" t="s">
        <v>2494</v>
      </c>
      <c r="FA6" t="s">
        <v>2194</v>
      </c>
      <c r="FB6" t="s">
        <v>2193</v>
      </c>
      <c r="FC6" t="s">
        <v>2193</v>
      </c>
      <c r="FD6" t="s">
        <v>2194</v>
      </c>
      <c r="FE6" t="s">
        <v>2194</v>
      </c>
      <c r="FF6" t="s">
        <v>2193</v>
      </c>
      <c r="FG6" t="s">
        <v>2405</v>
      </c>
      <c r="FH6" t="s">
        <v>2405</v>
      </c>
      <c r="FI6" t="s">
        <v>2194</v>
      </c>
      <c r="FJ6" t="s">
        <v>2194</v>
      </c>
      <c r="FK6" t="s">
        <v>2194</v>
      </c>
      <c r="FL6" t="s">
        <v>2405</v>
      </c>
      <c r="FM6" t="s">
        <v>2405</v>
      </c>
      <c r="FN6" t="s">
        <v>2123</v>
      </c>
      <c r="FO6" t="s">
        <v>2123</v>
      </c>
      <c r="FP6" t="s">
        <v>2123</v>
      </c>
      <c r="FQ6" t="s">
        <v>2382</v>
      </c>
      <c r="FR6" t="s">
        <v>2382</v>
      </c>
      <c r="FS6" t="s">
        <v>2193</v>
      </c>
      <c r="FT6" t="s">
        <v>2382</v>
      </c>
      <c r="FU6" t="s">
        <v>2382</v>
      </c>
      <c r="FV6" t="s">
        <v>2130</v>
      </c>
      <c r="FW6" t="s">
        <v>2130</v>
      </c>
      <c r="FX6" t="s">
        <v>2194</v>
      </c>
      <c r="FY6" t="s">
        <v>2194</v>
      </c>
      <c r="FZ6" t="s">
        <v>2194</v>
      </c>
      <c r="GA6" t="s">
        <v>2194</v>
      </c>
      <c r="GB6" t="s">
        <v>2194</v>
      </c>
      <c r="GC6" t="s">
        <v>2194</v>
      </c>
      <c r="GD6" t="s">
        <v>2193</v>
      </c>
      <c r="GE6" t="s">
        <v>2131</v>
      </c>
      <c r="GF6" t="s">
        <v>2131</v>
      </c>
      <c r="GG6" t="s">
        <v>2131</v>
      </c>
      <c r="GH6" t="s">
        <v>2194</v>
      </c>
      <c r="GI6" t="s">
        <v>2194</v>
      </c>
      <c r="GJ6" t="s">
        <v>2193</v>
      </c>
      <c r="GK6" t="s">
        <v>2193</v>
      </c>
      <c r="GL6" t="s">
        <v>2382</v>
      </c>
      <c r="GM6" t="s">
        <v>2382</v>
      </c>
      <c r="GN6" t="s">
        <v>2193</v>
      </c>
      <c r="GO6" t="s">
        <v>2194</v>
      </c>
      <c r="GP6" t="s">
        <v>2194</v>
      </c>
      <c r="GQ6" t="s">
        <v>2194</v>
      </c>
      <c r="GR6" t="s">
        <v>2194</v>
      </c>
      <c r="GS6" t="s">
        <v>2133</v>
      </c>
      <c r="GT6" t="s">
        <v>2193</v>
      </c>
      <c r="GU6" t="s">
        <v>2194</v>
      </c>
      <c r="GV6" t="s">
        <v>2394</v>
      </c>
      <c r="GW6" t="s">
        <v>2193</v>
      </c>
      <c r="GX6" t="s">
        <v>2193</v>
      </c>
      <c r="GY6" t="s">
        <v>2194</v>
      </c>
      <c r="GZ6" t="s">
        <v>2194</v>
      </c>
      <c r="HA6" t="s">
        <v>2193</v>
      </c>
      <c r="HB6" t="s">
        <v>2193</v>
      </c>
      <c r="HC6" t="s">
        <v>2130</v>
      </c>
      <c r="HD6" t="s">
        <v>2193</v>
      </c>
      <c r="HE6" t="s">
        <v>2193</v>
      </c>
      <c r="HF6" t="s">
        <v>2193</v>
      </c>
      <c r="HG6" t="s">
        <v>2193</v>
      </c>
      <c r="HH6" t="s">
        <v>2489</v>
      </c>
      <c r="HI6" t="s">
        <v>2489</v>
      </c>
      <c r="HJ6" t="s">
        <v>2194</v>
      </c>
      <c r="HK6" t="s">
        <v>2193</v>
      </c>
      <c r="HL6" t="s">
        <v>2405</v>
      </c>
      <c r="HM6" t="s">
        <v>2405</v>
      </c>
      <c r="HN6" t="s">
        <v>2405</v>
      </c>
      <c r="HO6" t="s">
        <v>2405</v>
      </c>
      <c r="HP6" t="s">
        <v>2405</v>
      </c>
      <c r="HQ6" t="s">
        <v>2193</v>
      </c>
      <c r="HR6" t="s">
        <v>2193</v>
      </c>
      <c r="HS6" t="s">
        <v>2193</v>
      </c>
      <c r="HT6" t="s">
        <v>2193</v>
      </c>
      <c r="HU6" t="s">
        <v>2193</v>
      </c>
      <c r="HV6" t="s">
        <v>2394</v>
      </c>
      <c r="HW6" t="s">
        <v>2193</v>
      </c>
      <c r="HX6" t="s">
        <v>2193</v>
      </c>
      <c r="HY6" t="s">
        <v>2193</v>
      </c>
      <c r="HZ6" t="s">
        <v>2193</v>
      </c>
      <c r="IA6" t="s">
        <v>2194</v>
      </c>
      <c r="IB6" t="s">
        <v>2194</v>
      </c>
      <c r="IC6" t="s">
        <v>2194</v>
      </c>
      <c r="ID6" t="s">
        <v>2193</v>
      </c>
      <c r="IE6" t="s">
        <v>2193</v>
      </c>
      <c r="IF6" t="s">
        <v>2193</v>
      </c>
      <c r="IG6" t="s">
        <v>2193</v>
      </c>
      <c r="IH6" t="s">
        <v>2193</v>
      </c>
      <c r="II6" t="s">
        <v>2193</v>
      </c>
      <c r="IJ6" t="s">
        <v>2405</v>
      </c>
      <c r="IK6" t="s">
        <v>2405</v>
      </c>
      <c r="IL6" t="s">
        <v>2194</v>
      </c>
      <c r="IM6" t="s">
        <v>2194</v>
      </c>
      <c r="IN6" t="s">
        <v>2194</v>
      </c>
      <c r="IO6" t="s">
        <v>2194</v>
      </c>
      <c r="IP6" t="s">
        <v>2193</v>
      </c>
      <c r="IQ6" t="s">
        <v>2193</v>
      </c>
      <c r="IR6" t="s">
        <v>2193</v>
      </c>
      <c r="IS6" t="s">
        <v>2194</v>
      </c>
      <c r="IT6" t="s">
        <v>2194</v>
      </c>
      <c r="IU6" t="s">
        <v>2194</v>
      </c>
      <c r="IV6" t="s">
        <v>2491</v>
      </c>
      <c r="IW6" t="s">
        <v>2126</v>
      </c>
      <c r="IX6" t="s">
        <v>2194</v>
      </c>
      <c r="IY6" t="s">
        <v>2194</v>
      </c>
      <c r="IZ6" t="s">
        <v>2193</v>
      </c>
      <c r="JA6" t="s">
        <v>2193</v>
      </c>
      <c r="JB6" t="s">
        <v>2123</v>
      </c>
      <c r="JC6" t="s">
        <v>2193</v>
      </c>
      <c r="JD6" t="s">
        <v>2394</v>
      </c>
      <c r="JE6" t="s">
        <v>2193</v>
      </c>
      <c r="JF6" t="s">
        <v>2193</v>
      </c>
      <c r="JG6" t="s">
        <v>2193</v>
      </c>
      <c r="JH6" t="s">
        <v>2123</v>
      </c>
      <c r="JI6" t="s">
        <v>2123</v>
      </c>
      <c r="JJ6" t="s">
        <v>2193</v>
      </c>
      <c r="JK6" t="s">
        <v>2193</v>
      </c>
      <c r="JL6" t="s">
        <v>2193</v>
      </c>
      <c r="JM6" t="s">
        <v>2193</v>
      </c>
      <c r="JN6" t="s">
        <v>2193</v>
      </c>
      <c r="JO6" t="s">
        <v>2193</v>
      </c>
      <c r="JP6" t="s">
        <v>2193</v>
      </c>
      <c r="JQ6" t="s">
        <v>2193</v>
      </c>
      <c r="JR6" t="s">
        <v>2193</v>
      </c>
      <c r="JS6" t="s">
        <v>2193</v>
      </c>
      <c r="JT6" t="s">
        <v>2496</v>
      </c>
      <c r="JU6" t="s">
        <v>2193</v>
      </c>
      <c r="JV6" t="s">
        <v>2137</v>
      </c>
      <c r="JW6" t="s">
        <v>2137</v>
      </c>
      <c r="JX6" t="s">
        <v>2194</v>
      </c>
      <c r="JY6" t="s">
        <v>2405</v>
      </c>
      <c r="JZ6" t="s">
        <v>2194</v>
      </c>
      <c r="KA6" t="s">
        <v>2382</v>
      </c>
      <c r="KB6" t="s">
        <v>2382</v>
      </c>
      <c r="KC6" t="s">
        <v>2382</v>
      </c>
      <c r="KD6" t="s">
        <v>2489</v>
      </c>
      <c r="KE6" t="s">
        <v>2489</v>
      </c>
      <c r="KF6" t="s">
        <v>2489</v>
      </c>
      <c r="KG6" t="s">
        <v>2194</v>
      </c>
      <c r="KH6" t="s">
        <v>2194</v>
      </c>
      <c r="KI6" t="s">
        <v>2193</v>
      </c>
      <c r="KJ6" t="s">
        <v>2488</v>
      </c>
      <c r="KK6" t="s">
        <v>2193</v>
      </c>
      <c r="KL6" t="s">
        <v>2193</v>
      </c>
      <c r="KM6" t="s">
        <v>2193</v>
      </c>
      <c r="KN6" t="s">
        <v>2193</v>
      </c>
      <c r="KO6" t="s">
        <v>2194</v>
      </c>
      <c r="KP6" t="s">
        <v>2194</v>
      </c>
      <c r="KQ6" t="s">
        <v>2194</v>
      </c>
      <c r="KR6" t="s">
        <v>2194</v>
      </c>
      <c r="KS6" t="s">
        <v>2193</v>
      </c>
      <c r="KT6" t="s">
        <v>2486</v>
      </c>
      <c r="KU6" t="s">
        <v>2486</v>
      </c>
      <c r="KV6" t="s">
        <v>2486</v>
      </c>
      <c r="KW6" t="s">
        <v>2193</v>
      </c>
      <c r="KX6" t="s">
        <v>2193</v>
      </c>
      <c r="KY6" t="s">
        <v>2405</v>
      </c>
      <c r="KZ6" t="s">
        <v>2405</v>
      </c>
      <c r="LA6" t="s">
        <v>2405</v>
      </c>
      <c r="LB6" t="s">
        <v>2405</v>
      </c>
      <c r="LC6" t="s">
        <v>2194</v>
      </c>
      <c r="LD6" t="s">
        <v>2194</v>
      </c>
      <c r="LE6" t="s">
        <v>2194</v>
      </c>
      <c r="LF6" t="s">
        <v>2194</v>
      </c>
      <c r="LG6" t="s">
        <v>2194</v>
      </c>
      <c r="LH6" t="s">
        <v>2193</v>
      </c>
      <c r="LI6" t="s">
        <v>2193</v>
      </c>
      <c r="LJ6" t="s">
        <v>2193</v>
      </c>
      <c r="LK6" t="s">
        <v>2194</v>
      </c>
      <c r="LL6" t="s">
        <v>2139</v>
      </c>
      <c r="LM6" t="s">
        <v>2139</v>
      </c>
      <c r="LN6" t="s">
        <v>2139</v>
      </c>
      <c r="LO6" t="s">
        <v>2139</v>
      </c>
      <c r="LP6" t="s">
        <v>2139</v>
      </c>
      <c r="LQ6" t="s">
        <v>2139</v>
      </c>
      <c r="LR6" t="s">
        <v>2139</v>
      </c>
      <c r="LS6" t="s">
        <v>2139</v>
      </c>
      <c r="LT6" t="s">
        <v>2139</v>
      </c>
      <c r="LU6" t="s">
        <v>2193</v>
      </c>
      <c r="LV6" t="s">
        <v>2193</v>
      </c>
      <c r="LW6" t="s">
        <v>2193</v>
      </c>
      <c r="LX6" t="s">
        <v>2194</v>
      </c>
      <c r="LY6" t="s">
        <v>2193</v>
      </c>
      <c r="LZ6" t="s">
        <v>2193</v>
      </c>
      <c r="MA6" t="s">
        <v>2193</v>
      </c>
      <c r="MB6" t="s">
        <v>2193</v>
      </c>
      <c r="MC6" t="s">
        <v>2193</v>
      </c>
      <c r="MD6" t="s">
        <v>2193</v>
      </c>
      <c r="ME6" t="s">
        <v>2193</v>
      </c>
      <c r="MF6" t="s">
        <v>2193</v>
      </c>
      <c r="MG6" t="s">
        <v>2193</v>
      </c>
      <c r="MH6" t="s">
        <v>2193</v>
      </c>
      <c r="MI6" t="s">
        <v>2140</v>
      </c>
      <c r="MJ6" t="s">
        <v>2140</v>
      </c>
      <c r="MK6" t="s">
        <v>2193</v>
      </c>
      <c r="ML6" t="s">
        <v>2194</v>
      </c>
      <c r="MM6" t="s">
        <v>2193</v>
      </c>
      <c r="MN6" t="s">
        <v>2193</v>
      </c>
      <c r="MO6" t="s">
        <v>2193</v>
      </c>
      <c r="MP6" t="s">
        <v>2193</v>
      </c>
      <c r="MQ6" t="s">
        <v>2139</v>
      </c>
      <c r="MR6" t="s">
        <v>2139</v>
      </c>
      <c r="MS6" t="s">
        <v>2139</v>
      </c>
      <c r="MT6" t="s">
        <v>2193</v>
      </c>
      <c r="MU6" t="s">
        <v>2193</v>
      </c>
      <c r="MV6" t="s">
        <v>2193</v>
      </c>
      <c r="MW6" t="s">
        <v>2193</v>
      </c>
      <c r="MX6" t="s">
        <v>2194</v>
      </c>
      <c r="MY6" t="s">
        <v>2194</v>
      </c>
      <c r="MZ6" t="s">
        <v>2194</v>
      </c>
      <c r="NA6" t="s">
        <v>2193</v>
      </c>
      <c r="NB6" t="s">
        <v>2123</v>
      </c>
      <c r="NC6" t="s">
        <v>2123</v>
      </c>
      <c r="ND6" t="s">
        <v>2193</v>
      </c>
      <c r="NE6" t="s">
        <v>2193</v>
      </c>
      <c r="NF6" t="s">
        <v>2193</v>
      </c>
      <c r="NG6" t="s">
        <v>2126</v>
      </c>
      <c r="NH6" t="s">
        <v>2405</v>
      </c>
      <c r="NI6" t="s">
        <v>2405</v>
      </c>
      <c r="NJ6" t="s">
        <v>2194</v>
      </c>
      <c r="NK6" t="s">
        <v>2141</v>
      </c>
      <c r="NL6" t="s">
        <v>2193</v>
      </c>
      <c r="NM6" t="s">
        <v>2193</v>
      </c>
      <c r="NN6" t="s">
        <v>2382</v>
      </c>
      <c r="NO6" t="s">
        <v>2382</v>
      </c>
      <c r="NP6" t="s">
        <v>2474</v>
      </c>
      <c r="NQ6" t="s">
        <v>2474</v>
      </c>
      <c r="NR6" t="s">
        <v>2193</v>
      </c>
      <c r="NS6" t="s">
        <v>2193</v>
      </c>
      <c r="NT6" t="s">
        <v>2139</v>
      </c>
      <c r="NU6" t="s">
        <v>2139</v>
      </c>
      <c r="NV6" t="s">
        <v>2193</v>
      </c>
      <c r="NW6" t="s">
        <v>2193</v>
      </c>
      <c r="NX6" t="s">
        <v>2193</v>
      </c>
      <c r="NY6" t="s">
        <v>2193</v>
      </c>
      <c r="NZ6" t="s">
        <v>2193</v>
      </c>
      <c r="OA6" t="s">
        <v>2193</v>
      </c>
      <c r="OB6" t="s">
        <v>2193</v>
      </c>
      <c r="OC6" t="s">
        <v>2382</v>
      </c>
      <c r="OD6" t="s">
        <v>2382</v>
      </c>
      <c r="OE6" t="s">
        <v>2193</v>
      </c>
      <c r="OF6" t="s">
        <v>2194</v>
      </c>
      <c r="OG6" t="s">
        <v>2194</v>
      </c>
      <c r="OH6" t="s">
        <v>2194</v>
      </c>
      <c r="OI6" t="s">
        <v>2193</v>
      </c>
      <c r="OJ6" t="s">
        <v>2193</v>
      </c>
      <c r="OK6" t="s">
        <v>2193</v>
      </c>
      <c r="OL6" t="s">
        <v>2193</v>
      </c>
      <c r="OM6" t="s">
        <v>2474</v>
      </c>
      <c r="ON6" t="s">
        <v>2474</v>
      </c>
      <c r="OO6" t="s">
        <v>2194</v>
      </c>
      <c r="OP6" t="s">
        <v>2405</v>
      </c>
      <c r="OQ6" t="s">
        <v>2405</v>
      </c>
      <c r="OR6" t="s">
        <v>2193</v>
      </c>
      <c r="OS6" t="s">
        <v>2193</v>
      </c>
      <c r="OT6" t="s">
        <v>2193</v>
      </c>
      <c r="OU6" t="s">
        <v>2193</v>
      </c>
      <c r="OV6" t="s">
        <v>2194</v>
      </c>
      <c r="OW6" t="s">
        <v>2194</v>
      </c>
      <c r="OX6" t="s">
        <v>2194</v>
      </c>
      <c r="OY6" t="s">
        <v>2193</v>
      </c>
      <c r="OZ6" t="s">
        <v>2193</v>
      </c>
      <c r="PA6" t="s">
        <v>2194</v>
      </c>
      <c r="PB6" t="s">
        <v>2193</v>
      </c>
      <c r="PC6" t="s">
        <v>2193</v>
      </c>
      <c r="PD6" t="s">
        <v>2143</v>
      </c>
      <c r="PE6" t="s">
        <v>2143</v>
      </c>
      <c r="PF6" t="s">
        <v>2194</v>
      </c>
      <c r="PG6" t="s">
        <v>2194</v>
      </c>
      <c r="PH6" t="s">
        <v>2194</v>
      </c>
      <c r="PI6" t="s">
        <v>2193</v>
      </c>
      <c r="PJ6" t="s">
        <v>2193</v>
      </c>
      <c r="PK6" t="s">
        <v>2194</v>
      </c>
      <c r="PL6" t="s">
        <v>2194</v>
      </c>
      <c r="PM6" t="s">
        <v>2194</v>
      </c>
      <c r="PN6" t="s">
        <v>2405</v>
      </c>
      <c r="PO6" t="s">
        <v>2405</v>
      </c>
      <c r="PP6" t="s">
        <v>2405</v>
      </c>
      <c r="PQ6" t="s">
        <v>2194</v>
      </c>
      <c r="PR6" t="s">
        <v>2194</v>
      </c>
      <c r="PS6" t="s">
        <v>2193</v>
      </c>
      <c r="PT6" t="s">
        <v>2193</v>
      </c>
      <c r="PU6" t="s">
        <v>2193</v>
      </c>
      <c r="PV6" t="s">
        <v>2193</v>
      </c>
      <c r="PW6" t="s">
        <v>2194</v>
      </c>
      <c r="PX6" t="s">
        <v>2194</v>
      </c>
      <c r="PY6" t="s">
        <v>2405</v>
      </c>
      <c r="PZ6" t="s">
        <v>2139</v>
      </c>
      <c r="QA6" t="s">
        <v>2139</v>
      </c>
      <c r="QB6" t="s">
        <v>2139</v>
      </c>
      <c r="QC6" t="s">
        <v>2139</v>
      </c>
      <c r="QD6" t="s">
        <v>2193</v>
      </c>
      <c r="QE6" t="s">
        <v>2193</v>
      </c>
      <c r="QF6" t="s">
        <v>2193</v>
      </c>
      <c r="QG6" t="s">
        <v>2193</v>
      </c>
      <c r="QH6" t="s">
        <v>2126</v>
      </c>
      <c r="QI6" t="s">
        <v>2126</v>
      </c>
      <c r="QJ6" t="s">
        <v>2139</v>
      </c>
      <c r="QK6" t="s">
        <v>2139</v>
      </c>
      <c r="QL6" t="s">
        <v>2193</v>
      </c>
      <c r="QM6" t="s">
        <v>2194</v>
      </c>
      <c r="QN6" t="s">
        <v>2194</v>
      </c>
      <c r="QO6" t="s">
        <v>2193</v>
      </c>
      <c r="QP6" t="s">
        <v>2194</v>
      </c>
      <c r="QQ6" t="s">
        <v>2194</v>
      </c>
      <c r="QR6" t="s">
        <v>2127</v>
      </c>
      <c r="QS6" t="s">
        <v>2126</v>
      </c>
      <c r="QT6" t="s">
        <v>2394</v>
      </c>
      <c r="QU6" t="s">
        <v>2405</v>
      </c>
      <c r="QV6" t="s">
        <v>2405</v>
      </c>
      <c r="QW6" t="s">
        <v>2405</v>
      </c>
      <c r="QX6" t="s">
        <v>2405</v>
      </c>
      <c r="QY6" t="s">
        <v>2405</v>
      </c>
      <c r="QZ6" t="s">
        <v>2405</v>
      </c>
      <c r="RA6" t="s">
        <v>2405</v>
      </c>
      <c r="RB6" t="s">
        <v>2193</v>
      </c>
      <c r="RC6" t="s">
        <v>2193</v>
      </c>
      <c r="RD6" t="s">
        <v>2193</v>
      </c>
      <c r="RE6" t="s">
        <v>2382</v>
      </c>
      <c r="RF6" t="s">
        <v>2193</v>
      </c>
      <c r="RG6" t="s">
        <v>2193</v>
      </c>
      <c r="RH6" t="s">
        <v>2193</v>
      </c>
      <c r="RI6" t="s">
        <v>2145</v>
      </c>
      <c r="RJ6" t="s">
        <v>2145</v>
      </c>
      <c r="RK6" t="s">
        <v>2133</v>
      </c>
      <c r="RL6" t="s">
        <v>2405</v>
      </c>
      <c r="RM6" t="s">
        <v>2193</v>
      </c>
      <c r="RN6" t="s">
        <v>2193</v>
      </c>
      <c r="RO6" t="s">
        <v>2193</v>
      </c>
      <c r="RP6" t="s">
        <v>2130</v>
      </c>
      <c r="RQ6" t="s">
        <v>2193</v>
      </c>
      <c r="RR6" t="s">
        <v>2193</v>
      </c>
      <c r="RS6" t="s">
        <v>2193</v>
      </c>
      <c r="RT6" t="s">
        <v>2146</v>
      </c>
      <c r="RU6" t="s">
        <v>2193</v>
      </c>
      <c r="RV6" t="s">
        <v>2193</v>
      </c>
      <c r="RW6" t="s">
        <v>2193</v>
      </c>
      <c r="RX6" t="s">
        <v>2193</v>
      </c>
      <c r="RY6" t="s">
        <v>2495</v>
      </c>
      <c r="RZ6" t="s">
        <v>2495</v>
      </c>
      <c r="SA6" t="s">
        <v>2495</v>
      </c>
      <c r="SB6" t="s">
        <v>2148</v>
      </c>
      <c r="SC6" t="s">
        <v>2405</v>
      </c>
      <c r="SD6" t="s">
        <v>2405</v>
      </c>
      <c r="SE6" t="s">
        <v>2405</v>
      </c>
      <c r="SF6" t="s">
        <v>2193</v>
      </c>
      <c r="SG6" t="s">
        <v>2193</v>
      </c>
      <c r="SH6" t="s">
        <v>2193</v>
      </c>
      <c r="SI6" t="s">
        <v>2149</v>
      </c>
      <c r="SJ6" t="s">
        <v>2193</v>
      </c>
      <c r="SK6" t="s">
        <v>2193</v>
      </c>
      <c r="SL6" t="s">
        <v>2193</v>
      </c>
      <c r="SM6" t="s">
        <v>2194</v>
      </c>
      <c r="SN6" t="s">
        <v>2139</v>
      </c>
      <c r="SO6" t="s">
        <v>2139</v>
      </c>
      <c r="SP6" t="s">
        <v>2139</v>
      </c>
      <c r="SQ6" t="s">
        <v>2139</v>
      </c>
      <c r="SR6" t="s">
        <v>2139</v>
      </c>
      <c r="SS6" t="s">
        <v>2194</v>
      </c>
      <c r="ST6" t="s">
        <v>2126</v>
      </c>
      <c r="SU6" t="s">
        <v>2193</v>
      </c>
      <c r="SV6" t="s">
        <v>2193</v>
      </c>
      <c r="SW6" t="s">
        <v>2193</v>
      </c>
      <c r="SX6" t="s">
        <v>2194</v>
      </c>
      <c r="SY6" t="s">
        <v>2194</v>
      </c>
      <c r="SZ6" t="s">
        <v>2193</v>
      </c>
      <c r="TA6" t="s">
        <v>2193</v>
      </c>
      <c r="TB6" t="s">
        <v>2193</v>
      </c>
      <c r="TC6" t="s">
        <v>2193</v>
      </c>
      <c r="TD6" t="s">
        <v>2193</v>
      </c>
      <c r="TE6" t="s">
        <v>2193</v>
      </c>
      <c r="TF6" t="s">
        <v>2193</v>
      </c>
      <c r="TG6" t="s">
        <v>2193</v>
      </c>
      <c r="TH6" t="s">
        <v>2193</v>
      </c>
      <c r="TI6" t="s">
        <v>2127</v>
      </c>
      <c r="TJ6" t="s">
        <v>2193</v>
      </c>
      <c r="TK6" t="s">
        <v>2193</v>
      </c>
      <c r="TL6" t="s">
        <v>2193</v>
      </c>
      <c r="TM6" t="s">
        <v>2193</v>
      </c>
      <c r="TN6" t="s">
        <v>2193</v>
      </c>
      <c r="TO6" t="s">
        <v>2193</v>
      </c>
      <c r="TP6" t="s">
        <v>2193</v>
      </c>
      <c r="TQ6" t="s">
        <v>2193</v>
      </c>
      <c r="TR6" t="s">
        <v>2193</v>
      </c>
      <c r="TS6" t="s">
        <v>2193</v>
      </c>
      <c r="TT6" t="s">
        <v>2194</v>
      </c>
      <c r="TU6" t="s">
        <v>2193</v>
      </c>
      <c r="TV6" t="s">
        <v>2193</v>
      </c>
      <c r="TW6" t="s">
        <v>2193</v>
      </c>
      <c r="TX6" t="s">
        <v>2193</v>
      </c>
      <c r="TY6" t="s">
        <v>2123</v>
      </c>
      <c r="TZ6" t="s">
        <v>2123</v>
      </c>
      <c r="UA6" t="s">
        <v>2127</v>
      </c>
      <c r="UB6" t="s">
        <v>2193</v>
      </c>
      <c r="UC6" t="s">
        <v>2193</v>
      </c>
      <c r="UD6" t="s">
        <v>2193</v>
      </c>
      <c r="UE6" t="s">
        <v>2193</v>
      </c>
      <c r="UF6" t="s">
        <v>2193</v>
      </c>
      <c r="UG6" t="s">
        <v>2193</v>
      </c>
      <c r="UH6" t="s">
        <v>2193</v>
      </c>
      <c r="UI6" t="s">
        <v>2193</v>
      </c>
      <c r="UJ6" t="s">
        <v>2194</v>
      </c>
      <c r="UK6" t="s">
        <v>2193</v>
      </c>
      <c r="UL6" t="s">
        <v>2193</v>
      </c>
      <c r="UM6" t="s">
        <v>2193</v>
      </c>
      <c r="UN6" t="s">
        <v>2405</v>
      </c>
      <c r="UO6" t="s">
        <v>2193</v>
      </c>
      <c r="UP6" t="s">
        <v>2382</v>
      </c>
      <c r="UQ6" t="s">
        <v>2382</v>
      </c>
      <c r="UR6" t="s">
        <v>2194</v>
      </c>
      <c r="US6" t="s">
        <v>2474</v>
      </c>
      <c r="UT6" t="s">
        <v>2474</v>
      </c>
      <c r="UU6" t="s">
        <v>2474</v>
      </c>
      <c r="UV6" t="s">
        <v>2141</v>
      </c>
      <c r="UW6" t="s">
        <v>2123</v>
      </c>
      <c r="UX6" t="s">
        <v>2123</v>
      </c>
      <c r="UY6" t="s">
        <v>2193</v>
      </c>
      <c r="UZ6" t="s">
        <v>2194</v>
      </c>
      <c r="VA6" t="s">
        <v>2474</v>
      </c>
      <c r="VB6" t="s">
        <v>2474</v>
      </c>
      <c r="VC6" t="s">
        <v>2474</v>
      </c>
      <c r="VD6" t="s">
        <v>2194</v>
      </c>
      <c r="VE6" t="s">
        <v>2123</v>
      </c>
      <c r="VF6" t="s">
        <v>2123</v>
      </c>
      <c r="VG6" t="s">
        <v>2123</v>
      </c>
      <c r="VH6" t="s">
        <v>2123</v>
      </c>
      <c r="VI6" t="s">
        <v>2123</v>
      </c>
      <c r="VJ6" t="s">
        <v>2123</v>
      </c>
      <c r="VK6" t="s">
        <v>2123</v>
      </c>
      <c r="VL6" t="s">
        <v>2123</v>
      </c>
      <c r="VM6" t="s">
        <v>2193</v>
      </c>
      <c r="VN6" t="s">
        <v>2193</v>
      </c>
      <c r="VO6" t="s">
        <v>2193</v>
      </c>
      <c r="VP6" t="s">
        <v>2193</v>
      </c>
      <c r="VQ6" t="s">
        <v>2193</v>
      </c>
      <c r="VR6" t="s">
        <v>2382</v>
      </c>
      <c r="VS6" t="s">
        <v>2382</v>
      </c>
      <c r="VT6" t="s">
        <v>2382</v>
      </c>
      <c r="VU6" t="s">
        <v>2405</v>
      </c>
      <c r="VV6" t="s">
        <v>2193</v>
      </c>
      <c r="VW6" t="s">
        <v>2194</v>
      </c>
      <c r="VX6" t="s">
        <v>2194</v>
      </c>
      <c r="VY6" t="s">
        <v>2193</v>
      </c>
      <c r="VZ6" t="s">
        <v>2193</v>
      </c>
      <c r="WA6" t="s">
        <v>2193</v>
      </c>
      <c r="WB6" t="s">
        <v>2193</v>
      </c>
      <c r="WC6" t="s">
        <v>2405</v>
      </c>
      <c r="WD6" t="s">
        <v>2193</v>
      </c>
      <c r="WE6" t="s">
        <v>2193</v>
      </c>
      <c r="WF6" t="s">
        <v>2193</v>
      </c>
      <c r="WG6" t="s">
        <v>2193</v>
      </c>
      <c r="WH6" t="s">
        <v>2152</v>
      </c>
      <c r="WI6" t="s">
        <v>2152</v>
      </c>
      <c r="WJ6" t="s">
        <v>2152</v>
      </c>
      <c r="WK6" t="s">
        <v>2152</v>
      </c>
      <c r="WL6" t="s">
        <v>2405</v>
      </c>
      <c r="WM6" t="s">
        <v>2405</v>
      </c>
      <c r="WN6" t="s">
        <v>2193</v>
      </c>
      <c r="WO6" t="s">
        <v>2194</v>
      </c>
      <c r="WP6" t="s">
        <v>2194</v>
      </c>
      <c r="WQ6" t="s">
        <v>2194</v>
      </c>
      <c r="WR6" t="s">
        <v>2193</v>
      </c>
      <c r="WS6" t="s">
        <v>2193</v>
      </c>
      <c r="WT6" t="s">
        <v>2193</v>
      </c>
      <c r="WU6" t="s">
        <v>2193</v>
      </c>
      <c r="WV6" t="s">
        <v>2193</v>
      </c>
      <c r="WW6" t="s">
        <v>2193</v>
      </c>
      <c r="WX6" t="s">
        <v>2193</v>
      </c>
      <c r="WY6" t="s">
        <v>2193</v>
      </c>
      <c r="WZ6" t="s">
        <v>2193</v>
      </c>
      <c r="XA6" t="s">
        <v>2193</v>
      </c>
      <c r="XB6" t="s">
        <v>2382</v>
      </c>
      <c r="XC6" t="s">
        <v>2382</v>
      </c>
      <c r="XD6" t="s">
        <v>2382</v>
      </c>
      <c r="XE6" t="s">
        <v>2193</v>
      </c>
      <c r="XF6" t="s">
        <v>2139</v>
      </c>
      <c r="XG6" t="s">
        <v>2139</v>
      </c>
      <c r="XH6" t="s">
        <v>2139</v>
      </c>
      <c r="XI6" t="s">
        <v>2194</v>
      </c>
      <c r="XJ6" t="s">
        <v>2194</v>
      </c>
      <c r="XK6" t="s">
        <v>2193</v>
      </c>
      <c r="XL6" t="s">
        <v>2405</v>
      </c>
      <c r="XM6" t="s">
        <v>2405</v>
      </c>
      <c r="XN6" t="s">
        <v>2405</v>
      </c>
      <c r="XO6" t="s">
        <v>2405</v>
      </c>
      <c r="XP6" t="s">
        <v>2194</v>
      </c>
      <c r="XQ6" t="s">
        <v>2127</v>
      </c>
      <c r="XR6" t="s">
        <v>2127</v>
      </c>
      <c r="XS6" t="s">
        <v>2127</v>
      </c>
      <c r="XT6" t="s">
        <v>2193</v>
      </c>
      <c r="XU6" t="s">
        <v>2194</v>
      </c>
      <c r="XV6" t="s">
        <v>2194</v>
      </c>
      <c r="XW6" t="s">
        <v>2194</v>
      </c>
      <c r="XX6" t="s">
        <v>2193</v>
      </c>
      <c r="XY6" t="s">
        <v>2193</v>
      </c>
      <c r="XZ6" t="s">
        <v>2193</v>
      </c>
      <c r="YA6" t="s">
        <v>2193</v>
      </c>
      <c r="YB6" t="s">
        <v>2193</v>
      </c>
      <c r="YC6" t="s">
        <v>2193</v>
      </c>
      <c r="YD6" t="s">
        <v>2193</v>
      </c>
      <c r="YE6" t="s">
        <v>2193</v>
      </c>
      <c r="YF6" t="s">
        <v>2193</v>
      </c>
      <c r="YG6" t="s">
        <v>2193</v>
      </c>
      <c r="YH6" t="s">
        <v>2193</v>
      </c>
      <c r="YI6" t="s">
        <v>2139</v>
      </c>
      <c r="YJ6" t="s">
        <v>2139</v>
      </c>
      <c r="YK6" t="s">
        <v>2139</v>
      </c>
      <c r="YL6" t="s">
        <v>2139</v>
      </c>
      <c r="YM6" t="s">
        <v>2139</v>
      </c>
      <c r="YN6" t="s">
        <v>2139</v>
      </c>
      <c r="YO6" t="s">
        <v>2139</v>
      </c>
      <c r="YP6" t="s">
        <v>2139</v>
      </c>
      <c r="YQ6" t="s">
        <v>2139</v>
      </c>
      <c r="YR6" t="s">
        <v>2139</v>
      </c>
      <c r="YS6" t="s">
        <v>2193</v>
      </c>
      <c r="YT6" t="s">
        <v>2139</v>
      </c>
      <c r="YU6" t="s">
        <v>2139</v>
      </c>
      <c r="YV6" t="s">
        <v>2126</v>
      </c>
      <c r="YW6" t="s">
        <v>2405</v>
      </c>
      <c r="YX6" t="s">
        <v>2193</v>
      </c>
      <c r="YY6" t="s">
        <v>2193</v>
      </c>
      <c r="YZ6" t="s">
        <v>2193</v>
      </c>
      <c r="ZA6" t="s">
        <v>2405</v>
      </c>
      <c r="ZB6" t="s">
        <v>2193</v>
      </c>
      <c r="ZC6" t="s">
        <v>2193</v>
      </c>
      <c r="ZD6" t="s">
        <v>2193</v>
      </c>
      <c r="ZE6" t="s">
        <v>2154</v>
      </c>
      <c r="ZF6" t="s">
        <v>2382</v>
      </c>
      <c r="ZG6" t="s">
        <v>2382</v>
      </c>
      <c r="ZH6" t="s">
        <v>2193</v>
      </c>
      <c r="ZI6" t="s">
        <v>2193</v>
      </c>
      <c r="ZJ6" t="s">
        <v>2194</v>
      </c>
      <c r="ZK6" t="s">
        <v>2194</v>
      </c>
      <c r="ZL6" t="s">
        <v>2123</v>
      </c>
      <c r="ZM6" t="s">
        <v>2193</v>
      </c>
      <c r="ZN6" t="s">
        <v>2193</v>
      </c>
      <c r="ZO6" t="s">
        <v>2155</v>
      </c>
      <c r="ZP6" t="s">
        <v>2485</v>
      </c>
      <c r="ZQ6" t="s">
        <v>2193</v>
      </c>
      <c r="ZR6" t="s">
        <v>2193</v>
      </c>
      <c r="ZS6" t="s">
        <v>2194</v>
      </c>
      <c r="ZT6" t="s">
        <v>2194</v>
      </c>
      <c r="ZU6" t="s">
        <v>2157</v>
      </c>
      <c r="ZV6" t="s">
        <v>2193</v>
      </c>
      <c r="ZW6" t="s">
        <v>2193</v>
      </c>
      <c r="ZX6" t="s">
        <v>2193</v>
      </c>
      <c r="ZY6" t="s">
        <v>2194</v>
      </c>
      <c r="ZZ6" t="s">
        <v>2194</v>
      </c>
      <c r="AAA6" t="s">
        <v>2194</v>
      </c>
      <c r="AAB6" t="s">
        <v>2193</v>
      </c>
      <c r="AAC6" t="s">
        <v>2193</v>
      </c>
      <c r="AAD6" t="s">
        <v>2193</v>
      </c>
      <c r="AAE6" t="s">
        <v>2194</v>
      </c>
      <c r="AAF6" t="s">
        <v>2193</v>
      </c>
      <c r="AAG6" t="s">
        <v>2193</v>
      </c>
      <c r="AAH6" t="s">
        <v>2193</v>
      </c>
      <c r="AAI6" t="s">
        <v>2193</v>
      </c>
      <c r="AAJ6" t="s">
        <v>2193</v>
      </c>
      <c r="AAK6" t="s">
        <v>2194</v>
      </c>
      <c r="AAL6" t="s">
        <v>2194</v>
      </c>
      <c r="AAM6" t="s">
        <v>2194</v>
      </c>
      <c r="AAN6" t="s">
        <v>2194</v>
      </c>
      <c r="AAO6" t="s">
        <v>2194</v>
      </c>
      <c r="AAP6" t="s">
        <v>2194</v>
      </c>
      <c r="AAQ6" t="s">
        <v>2194</v>
      </c>
      <c r="AAR6" t="s">
        <v>2194</v>
      </c>
      <c r="AAS6" t="s">
        <v>2405</v>
      </c>
      <c r="AAT6" t="s">
        <v>2193</v>
      </c>
      <c r="AAU6" t="s">
        <v>2193</v>
      </c>
      <c r="AAV6" t="s">
        <v>2193</v>
      </c>
      <c r="AAW6" t="s">
        <v>2394</v>
      </c>
      <c r="AAX6" t="s">
        <v>2193</v>
      </c>
      <c r="AAY6" t="s">
        <v>2194</v>
      </c>
      <c r="AAZ6" t="s">
        <v>2194</v>
      </c>
      <c r="ABA6" t="s">
        <v>2194</v>
      </c>
      <c r="ABB6" t="s">
        <v>2194</v>
      </c>
      <c r="ABC6" t="s">
        <v>2194</v>
      </c>
      <c r="ABD6" t="s">
        <v>2194</v>
      </c>
      <c r="ABE6" t="s">
        <v>2194</v>
      </c>
      <c r="ABF6" t="s">
        <v>2193</v>
      </c>
      <c r="ABG6" t="s">
        <v>2193</v>
      </c>
      <c r="ABH6" t="s">
        <v>2193</v>
      </c>
      <c r="ABI6" t="s">
        <v>2193</v>
      </c>
      <c r="ABJ6" t="s">
        <v>2193</v>
      </c>
      <c r="ABK6" t="s">
        <v>2193</v>
      </c>
      <c r="ABL6" t="s">
        <v>2193</v>
      </c>
      <c r="ABM6" t="s">
        <v>2194</v>
      </c>
      <c r="ABN6" t="s">
        <v>2194</v>
      </c>
      <c r="ABO6" t="s">
        <v>2194</v>
      </c>
      <c r="ABP6" t="s">
        <v>2405</v>
      </c>
      <c r="ABQ6" t="s">
        <v>2193</v>
      </c>
      <c r="ABR6" t="s">
        <v>2193</v>
      </c>
      <c r="ABS6" t="s">
        <v>2193</v>
      </c>
      <c r="ABT6" t="s">
        <v>2193</v>
      </c>
      <c r="ABU6" t="s">
        <v>2193</v>
      </c>
      <c r="ABV6" t="s">
        <v>2193</v>
      </c>
      <c r="ABW6" t="s">
        <v>2193</v>
      </c>
      <c r="ABX6" t="s">
        <v>2193</v>
      </c>
      <c r="ABY6" t="s">
        <v>2193</v>
      </c>
      <c r="ABZ6" t="s">
        <v>2193</v>
      </c>
      <c r="ACA6" t="s">
        <v>2193</v>
      </c>
      <c r="ACB6" t="s">
        <v>2193</v>
      </c>
      <c r="ACC6" t="s">
        <v>2193</v>
      </c>
      <c r="ACD6" t="s">
        <v>2193</v>
      </c>
      <c r="ACE6" t="s">
        <v>2194</v>
      </c>
      <c r="ACF6" t="s">
        <v>2194</v>
      </c>
      <c r="ACG6" t="s">
        <v>2193</v>
      </c>
      <c r="ACH6" t="s">
        <v>2194</v>
      </c>
      <c r="ACI6" t="s">
        <v>2193</v>
      </c>
      <c r="ACJ6" t="s">
        <v>2193</v>
      </c>
      <c r="ACK6" t="s">
        <v>2193</v>
      </c>
      <c r="ACL6" t="s">
        <v>2194</v>
      </c>
      <c r="ACM6" t="s">
        <v>2194</v>
      </c>
      <c r="ACN6" t="s">
        <v>2394</v>
      </c>
      <c r="ACO6" t="s">
        <v>2126</v>
      </c>
      <c r="ACP6" t="s">
        <v>2193</v>
      </c>
      <c r="ACQ6" t="s">
        <v>2193</v>
      </c>
      <c r="ACR6" t="s">
        <v>2193</v>
      </c>
      <c r="ACS6" t="s">
        <v>2193</v>
      </c>
      <c r="ACT6" t="s">
        <v>2193</v>
      </c>
      <c r="ACU6" t="s">
        <v>2193</v>
      </c>
      <c r="ACV6" t="s">
        <v>2193</v>
      </c>
      <c r="ACW6" t="s">
        <v>2193</v>
      </c>
      <c r="ACX6" t="s">
        <v>2193</v>
      </c>
      <c r="ACY6" t="s">
        <v>2193</v>
      </c>
      <c r="ACZ6" t="s">
        <v>2194</v>
      </c>
      <c r="ADA6" t="s">
        <v>2194</v>
      </c>
      <c r="ADB6" t="s">
        <v>2194</v>
      </c>
      <c r="ADC6" t="s">
        <v>2194</v>
      </c>
      <c r="ADD6" t="s">
        <v>2474</v>
      </c>
      <c r="ADE6" t="s">
        <v>2474</v>
      </c>
      <c r="ADF6" t="s">
        <v>2495</v>
      </c>
      <c r="ADG6" t="s">
        <v>2495</v>
      </c>
      <c r="ADH6" t="s">
        <v>2193</v>
      </c>
      <c r="ADI6" t="s">
        <v>2193</v>
      </c>
      <c r="ADJ6" t="s">
        <v>2193</v>
      </c>
      <c r="ADK6" t="s">
        <v>2193</v>
      </c>
      <c r="ADL6" t="s">
        <v>2193</v>
      </c>
      <c r="ADM6" t="s">
        <v>2193</v>
      </c>
      <c r="ADN6" t="s">
        <v>2193</v>
      </c>
      <c r="ADO6" t="s">
        <v>2193</v>
      </c>
      <c r="ADP6" t="s">
        <v>2193</v>
      </c>
      <c r="ADQ6" t="s">
        <v>2193</v>
      </c>
      <c r="ADR6" t="s">
        <v>2193</v>
      </c>
      <c r="ADS6" t="s">
        <v>2193</v>
      </c>
      <c r="ADT6" t="s">
        <v>2193</v>
      </c>
      <c r="ADU6" t="s">
        <v>2193</v>
      </c>
      <c r="ADV6" t="s">
        <v>2193</v>
      </c>
      <c r="ADW6" t="s">
        <v>2193</v>
      </c>
      <c r="ADX6" t="s">
        <v>2193</v>
      </c>
      <c r="ADY6" t="s">
        <v>2193</v>
      </c>
      <c r="ADZ6" t="s">
        <v>2193</v>
      </c>
      <c r="AEA6" t="s">
        <v>2193</v>
      </c>
      <c r="AEB6" t="s">
        <v>2394</v>
      </c>
      <c r="AEC6" t="s">
        <v>2382</v>
      </c>
      <c r="AED6" t="s">
        <v>2382</v>
      </c>
      <c r="AEE6" t="s">
        <v>2382</v>
      </c>
      <c r="AEF6" t="s">
        <v>2405</v>
      </c>
      <c r="AEG6" t="s">
        <v>2193</v>
      </c>
      <c r="AEH6" t="s">
        <v>2488</v>
      </c>
      <c r="AEI6" t="s">
        <v>2494</v>
      </c>
      <c r="AEJ6" t="s">
        <v>2405</v>
      </c>
      <c r="AEK6" t="s">
        <v>2405</v>
      </c>
      <c r="AEL6" t="s">
        <v>2193</v>
      </c>
      <c r="AEM6" t="s">
        <v>2193</v>
      </c>
      <c r="AEN6" t="s">
        <v>2193</v>
      </c>
      <c r="AEO6" t="s">
        <v>2194</v>
      </c>
      <c r="AEP6" t="s">
        <v>2193</v>
      </c>
      <c r="AEQ6" t="s">
        <v>2193</v>
      </c>
      <c r="AER6" t="s">
        <v>2193</v>
      </c>
      <c r="AES6" t="s">
        <v>2193</v>
      </c>
      <c r="AET6" t="s">
        <v>2194</v>
      </c>
      <c r="AEU6" t="s">
        <v>2194</v>
      </c>
      <c r="AEV6" t="s">
        <v>2139</v>
      </c>
      <c r="AEW6" t="s">
        <v>2139</v>
      </c>
      <c r="AEX6" t="s">
        <v>2139</v>
      </c>
      <c r="AEY6" t="s">
        <v>2139</v>
      </c>
      <c r="AEZ6" t="s">
        <v>2139</v>
      </c>
      <c r="AFA6" t="s">
        <v>2193</v>
      </c>
      <c r="AFB6" t="s">
        <v>2193</v>
      </c>
      <c r="AFC6" t="s">
        <v>2193</v>
      </c>
      <c r="AFD6" t="s">
        <v>2193</v>
      </c>
      <c r="AFE6" t="s">
        <v>2193</v>
      </c>
      <c r="AFF6" t="s">
        <v>2149</v>
      </c>
      <c r="AFG6" t="s">
        <v>2149</v>
      </c>
      <c r="AFH6" t="s">
        <v>2149</v>
      </c>
      <c r="AFI6" t="s">
        <v>2149</v>
      </c>
      <c r="AFJ6" t="s">
        <v>2149</v>
      </c>
      <c r="AFK6" t="s">
        <v>2149</v>
      </c>
      <c r="AFL6" t="s">
        <v>2193</v>
      </c>
      <c r="AFM6" t="s">
        <v>2194</v>
      </c>
      <c r="AFN6" t="s">
        <v>2490</v>
      </c>
      <c r="AFO6" t="s">
        <v>2193</v>
      </c>
      <c r="AFP6" t="s">
        <v>2193</v>
      </c>
      <c r="AFQ6" t="s">
        <v>2492</v>
      </c>
      <c r="AFR6" t="s">
        <v>2193</v>
      </c>
      <c r="AFS6" t="s">
        <v>2193</v>
      </c>
      <c r="AFT6" t="s">
        <v>2488</v>
      </c>
      <c r="AFU6" t="s">
        <v>2488</v>
      </c>
      <c r="AFV6" t="s">
        <v>2488</v>
      </c>
      <c r="AFW6" t="s">
        <v>2488</v>
      </c>
      <c r="AFX6" t="s">
        <v>2488</v>
      </c>
      <c r="AFY6" t="s">
        <v>2488</v>
      </c>
      <c r="AFZ6" t="s">
        <v>2488</v>
      </c>
      <c r="AGA6" t="s">
        <v>2193</v>
      </c>
      <c r="AGB6" t="s">
        <v>2193</v>
      </c>
      <c r="AGC6" t="s">
        <v>2193</v>
      </c>
      <c r="AGD6" t="s">
        <v>2186</v>
      </c>
      <c r="AGE6" t="s">
        <v>2133</v>
      </c>
      <c r="AGF6" t="s">
        <v>2193</v>
      </c>
      <c r="AGG6" t="s">
        <v>2193</v>
      </c>
      <c r="AGH6" t="s">
        <v>2193</v>
      </c>
      <c r="AGI6" t="s">
        <v>2193</v>
      </c>
      <c r="AGJ6" t="s">
        <v>2193</v>
      </c>
      <c r="AGK6" t="s">
        <v>2193</v>
      </c>
      <c r="AGL6" t="s">
        <v>2474</v>
      </c>
      <c r="AGM6" t="s">
        <v>2382</v>
      </c>
      <c r="AGN6" t="s">
        <v>2194</v>
      </c>
      <c r="AGO6" t="s">
        <v>2194</v>
      </c>
      <c r="AGP6" t="s">
        <v>2194</v>
      </c>
      <c r="AGQ6" t="s">
        <v>2194</v>
      </c>
      <c r="AGR6" t="s">
        <v>2194</v>
      </c>
      <c r="AGS6" t="s">
        <v>2194</v>
      </c>
      <c r="AGT6" t="s">
        <v>2494</v>
      </c>
      <c r="AGU6" t="s">
        <v>2194</v>
      </c>
      <c r="AGV6" t="s">
        <v>2194</v>
      </c>
      <c r="AGW6" t="s">
        <v>2127</v>
      </c>
      <c r="AGX6" t="s">
        <v>2127</v>
      </c>
      <c r="AGY6" t="s">
        <v>2127</v>
      </c>
      <c r="AGZ6" t="s">
        <v>2405</v>
      </c>
      <c r="AHA6" t="s">
        <v>2405</v>
      </c>
      <c r="AHB6" t="s">
        <v>2405</v>
      </c>
      <c r="AHC6" t="s">
        <v>2405</v>
      </c>
      <c r="AHD6" t="s">
        <v>2382</v>
      </c>
      <c r="AHE6" t="s">
        <v>2382</v>
      </c>
      <c r="AHF6" t="s">
        <v>2123</v>
      </c>
      <c r="AHG6" t="s">
        <v>2488</v>
      </c>
      <c r="AHH6" t="s">
        <v>2488</v>
      </c>
      <c r="AHI6" t="s">
        <v>2405</v>
      </c>
      <c r="AHJ6" t="s">
        <v>2405</v>
      </c>
      <c r="AHK6" t="s">
        <v>2495</v>
      </c>
      <c r="AHL6" t="s">
        <v>2194</v>
      </c>
      <c r="AHM6" t="s">
        <v>2194</v>
      </c>
      <c r="AHN6" t="s">
        <v>2194</v>
      </c>
      <c r="AHO6" t="s">
        <v>2194</v>
      </c>
      <c r="AHP6" t="s">
        <v>2194</v>
      </c>
      <c r="AHQ6" t="s">
        <v>2194</v>
      </c>
      <c r="AHR6" t="s">
        <v>2194</v>
      </c>
      <c r="AHS6" t="s">
        <v>2194</v>
      </c>
      <c r="AHT6" t="s">
        <v>2194</v>
      </c>
      <c r="AHU6" t="s">
        <v>2194</v>
      </c>
      <c r="AHV6" t="s">
        <v>2194</v>
      </c>
      <c r="AHW6" t="s">
        <v>2194</v>
      </c>
      <c r="AHX6" t="s">
        <v>2194</v>
      </c>
      <c r="AHY6" t="s">
        <v>2194</v>
      </c>
      <c r="AHZ6" t="s">
        <v>2194</v>
      </c>
      <c r="AIA6" t="s">
        <v>2474</v>
      </c>
      <c r="AIB6" t="s">
        <v>2194</v>
      </c>
      <c r="AIC6" t="s">
        <v>2194</v>
      </c>
      <c r="AID6" t="s">
        <v>2382</v>
      </c>
      <c r="AIE6" t="s">
        <v>2382</v>
      </c>
      <c r="AIF6" t="s">
        <v>2193</v>
      </c>
      <c r="AIG6" t="s">
        <v>2193</v>
      </c>
      <c r="AIH6" t="s">
        <v>2474</v>
      </c>
      <c r="AII6" t="s">
        <v>2474</v>
      </c>
      <c r="AIJ6" t="s">
        <v>2149</v>
      </c>
      <c r="AIK6" t="s">
        <v>2123</v>
      </c>
      <c r="AIL6" t="s">
        <v>2193</v>
      </c>
      <c r="AIM6" t="s">
        <v>2193</v>
      </c>
      <c r="AIN6" t="s">
        <v>2193</v>
      </c>
      <c r="AIO6" t="s">
        <v>2382</v>
      </c>
      <c r="AIP6" t="s">
        <v>2382</v>
      </c>
      <c r="AIQ6" t="s">
        <v>2382</v>
      </c>
      <c r="AIR6" t="s">
        <v>2194</v>
      </c>
      <c r="AIS6" t="s">
        <v>2194</v>
      </c>
      <c r="AIT6" t="s">
        <v>2193</v>
      </c>
      <c r="AIU6" t="s">
        <v>2405</v>
      </c>
      <c r="AIV6" t="s">
        <v>2405</v>
      </c>
      <c r="AIW6" t="s">
        <v>2194</v>
      </c>
      <c r="AIX6" t="s">
        <v>2193</v>
      </c>
      <c r="AIY6" t="s">
        <v>2193</v>
      </c>
      <c r="AIZ6" t="s">
        <v>2193</v>
      </c>
      <c r="AJA6" t="s">
        <v>2405</v>
      </c>
      <c r="AJB6" t="s">
        <v>2405</v>
      </c>
      <c r="AJC6" t="s">
        <v>2405</v>
      </c>
      <c r="AJD6" t="s">
        <v>2405</v>
      </c>
      <c r="AJE6" t="s">
        <v>2193</v>
      </c>
      <c r="AJF6" t="s">
        <v>2193</v>
      </c>
      <c r="AJG6" t="s">
        <v>2194</v>
      </c>
      <c r="AJH6" t="s">
        <v>2194</v>
      </c>
      <c r="AJI6" t="s">
        <v>2382</v>
      </c>
      <c r="AJJ6" t="s">
        <v>2382</v>
      </c>
      <c r="AJK6" t="s">
        <v>2382</v>
      </c>
      <c r="AJL6" t="s">
        <v>2193</v>
      </c>
      <c r="AJM6" t="s">
        <v>2193</v>
      </c>
      <c r="AJN6" t="s">
        <v>2193</v>
      </c>
      <c r="AJO6" t="s">
        <v>2193</v>
      </c>
      <c r="AJP6" t="s">
        <v>2165</v>
      </c>
      <c r="AJQ6" t="s">
        <v>2193</v>
      </c>
      <c r="AJR6" t="s">
        <v>2193</v>
      </c>
      <c r="AJS6" t="s">
        <v>2193</v>
      </c>
      <c r="AJT6" t="s">
        <v>2194</v>
      </c>
      <c r="AJU6" t="s">
        <v>2194</v>
      </c>
      <c r="AJV6" t="s">
        <v>2194</v>
      </c>
      <c r="AJW6" t="s">
        <v>2194</v>
      </c>
      <c r="AJX6" t="s">
        <v>2193</v>
      </c>
      <c r="AJY6" t="s">
        <v>2193</v>
      </c>
      <c r="AJZ6" t="s">
        <v>2141</v>
      </c>
      <c r="AKA6" t="s">
        <v>2474</v>
      </c>
      <c r="AKB6" t="s">
        <v>2474</v>
      </c>
      <c r="AKC6" t="s">
        <v>2474</v>
      </c>
      <c r="AKD6" t="s">
        <v>2474</v>
      </c>
      <c r="AKE6" t="s">
        <v>2489</v>
      </c>
      <c r="AKF6" t="s">
        <v>2489</v>
      </c>
      <c r="AKG6" t="s">
        <v>2194</v>
      </c>
      <c r="AKH6" t="s">
        <v>2194</v>
      </c>
      <c r="AKI6" t="s">
        <v>2194</v>
      </c>
      <c r="AKJ6" t="s">
        <v>2194</v>
      </c>
      <c r="AKK6" t="s">
        <v>2194</v>
      </c>
      <c r="AKL6" t="s">
        <v>2194</v>
      </c>
      <c r="AKM6" t="s">
        <v>2194</v>
      </c>
      <c r="AKN6" t="s">
        <v>2194</v>
      </c>
      <c r="AKO6" t="s">
        <v>2474</v>
      </c>
      <c r="AKP6" t="s">
        <v>2382</v>
      </c>
      <c r="AKQ6" t="s">
        <v>2194</v>
      </c>
      <c r="AKR6" t="s">
        <v>2194</v>
      </c>
      <c r="AKS6" t="s">
        <v>2194</v>
      </c>
      <c r="AKT6" t="s">
        <v>2194</v>
      </c>
      <c r="AKU6" t="s">
        <v>2194</v>
      </c>
      <c r="AKV6" t="s">
        <v>2194</v>
      </c>
      <c r="AKW6" t="s">
        <v>2382</v>
      </c>
      <c r="AKX6" t="s">
        <v>2495</v>
      </c>
      <c r="AKY6" t="s">
        <v>2194</v>
      </c>
      <c r="AKZ6" t="s">
        <v>2194</v>
      </c>
      <c r="ALA6" t="s">
        <v>2488</v>
      </c>
      <c r="ALB6" t="s">
        <v>2488</v>
      </c>
      <c r="ALC6" t="s">
        <v>2194</v>
      </c>
      <c r="ALD6" t="s">
        <v>2194</v>
      </c>
      <c r="ALE6" t="s">
        <v>2194</v>
      </c>
      <c r="ALF6" t="s">
        <v>2193</v>
      </c>
      <c r="ALG6" t="s">
        <v>2193</v>
      </c>
      <c r="ALH6" t="s">
        <v>2193</v>
      </c>
      <c r="ALI6" t="s">
        <v>2193</v>
      </c>
      <c r="ALJ6" t="s">
        <v>2193</v>
      </c>
      <c r="ALK6" t="s">
        <v>2382</v>
      </c>
      <c r="ALL6" t="s">
        <v>2382</v>
      </c>
      <c r="ALM6" t="s">
        <v>2382</v>
      </c>
      <c r="ALN6" t="s">
        <v>2382</v>
      </c>
      <c r="ALO6" t="s">
        <v>2194</v>
      </c>
      <c r="ALP6" t="s">
        <v>2194</v>
      </c>
      <c r="ALQ6" t="s">
        <v>2194</v>
      </c>
      <c r="ALR6" t="s">
        <v>2194</v>
      </c>
      <c r="ALS6" t="s">
        <v>2194</v>
      </c>
      <c r="ALT6" t="s">
        <v>2194</v>
      </c>
      <c r="ALU6" t="s">
        <v>2166</v>
      </c>
      <c r="ALV6" t="s">
        <v>2405</v>
      </c>
      <c r="ALW6" t="s">
        <v>2193</v>
      </c>
      <c r="ALX6" t="s">
        <v>2193</v>
      </c>
      <c r="ALY6" t="s">
        <v>2193</v>
      </c>
      <c r="ALZ6" t="s">
        <v>2193</v>
      </c>
      <c r="AMA6" t="s">
        <v>2193</v>
      </c>
      <c r="AMB6" t="s">
        <v>2193</v>
      </c>
      <c r="AMC6" t="s">
        <v>2193</v>
      </c>
      <c r="AMD6" t="s">
        <v>2193</v>
      </c>
      <c r="AME6" t="s">
        <v>2193</v>
      </c>
      <c r="AMF6" t="s">
        <v>2193</v>
      </c>
      <c r="AMG6" t="s">
        <v>2194</v>
      </c>
      <c r="AMH6" t="s">
        <v>2193</v>
      </c>
      <c r="AMI6" t="s">
        <v>2193</v>
      </c>
      <c r="AMJ6" t="s">
        <v>2127</v>
      </c>
      <c r="AMK6" t="s">
        <v>2488</v>
      </c>
      <c r="AML6" t="s">
        <v>2488</v>
      </c>
      <c r="AMM6" t="s">
        <v>2405</v>
      </c>
      <c r="AMN6" t="s">
        <v>2405</v>
      </c>
      <c r="AMO6" t="s">
        <v>2193</v>
      </c>
      <c r="AMP6" t="s">
        <v>2194</v>
      </c>
      <c r="AMQ6" t="s">
        <v>2194</v>
      </c>
      <c r="AMR6" t="s">
        <v>2194</v>
      </c>
      <c r="AMS6" t="s">
        <v>2193</v>
      </c>
      <c r="AMT6" t="s">
        <v>2193</v>
      </c>
      <c r="AMU6" t="s">
        <v>2194</v>
      </c>
      <c r="AMV6" t="s">
        <v>2405</v>
      </c>
      <c r="AMW6" t="s">
        <v>2405</v>
      </c>
      <c r="AMX6" t="s">
        <v>2194</v>
      </c>
      <c r="AMY6" t="s">
        <v>2194</v>
      </c>
      <c r="AMZ6" t="s">
        <v>2194</v>
      </c>
      <c r="ANA6" t="s">
        <v>2123</v>
      </c>
      <c r="ANB6" t="s">
        <v>2405</v>
      </c>
      <c r="ANC6" t="s">
        <v>2193</v>
      </c>
      <c r="AND6" t="s">
        <v>2193</v>
      </c>
      <c r="ANE6" t="s">
        <v>2193</v>
      </c>
      <c r="ANF6" t="s">
        <v>2193</v>
      </c>
      <c r="ANG6" t="s">
        <v>2193</v>
      </c>
      <c r="ANH6" t="s">
        <v>2193</v>
      </c>
      <c r="ANI6" t="s">
        <v>2193</v>
      </c>
      <c r="ANJ6" t="s">
        <v>2405</v>
      </c>
      <c r="ANK6" t="s">
        <v>2193</v>
      </c>
      <c r="ANL6" t="s">
        <v>2194</v>
      </c>
      <c r="ANM6" t="s">
        <v>2194</v>
      </c>
      <c r="ANN6" t="s">
        <v>2194</v>
      </c>
      <c r="ANO6" t="s">
        <v>2194</v>
      </c>
      <c r="ANP6" t="s">
        <v>2194</v>
      </c>
      <c r="ANQ6" t="s">
        <v>2194</v>
      </c>
      <c r="ANR6" t="s">
        <v>2194</v>
      </c>
      <c r="ANS6" t="s">
        <v>2194</v>
      </c>
      <c r="ANT6" t="s">
        <v>2405</v>
      </c>
      <c r="ANU6" t="s">
        <v>2405</v>
      </c>
      <c r="ANV6" t="s">
        <v>2405</v>
      </c>
      <c r="ANW6" t="s">
        <v>2123</v>
      </c>
      <c r="ANX6" t="s">
        <v>2194</v>
      </c>
      <c r="ANY6" t="s">
        <v>2194</v>
      </c>
      <c r="ANZ6" t="s">
        <v>2405</v>
      </c>
      <c r="AOA6" t="s">
        <v>2405</v>
      </c>
      <c r="AOB6" t="s">
        <v>2193</v>
      </c>
      <c r="AOC6" t="s">
        <v>2193</v>
      </c>
      <c r="AOD6" t="s">
        <v>2193</v>
      </c>
      <c r="AOE6" t="s">
        <v>2193</v>
      </c>
      <c r="AOF6" t="s">
        <v>2193</v>
      </c>
      <c r="AOG6" t="s">
        <v>2405</v>
      </c>
      <c r="AOH6" t="s">
        <v>2194</v>
      </c>
      <c r="AOI6" t="s">
        <v>2194</v>
      </c>
      <c r="AOJ6" t="s">
        <v>2193</v>
      </c>
      <c r="AOK6" t="s">
        <v>2122</v>
      </c>
      <c r="AOL6" t="s">
        <v>2122</v>
      </c>
      <c r="AOM6" t="s">
        <v>2122</v>
      </c>
      <c r="AON6" t="s">
        <v>2193</v>
      </c>
      <c r="AOO6" t="s">
        <v>2194</v>
      </c>
      <c r="AOP6" t="s">
        <v>2194</v>
      </c>
      <c r="AOQ6" t="s">
        <v>2194</v>
      </c>
      <c r="AOR6" t="s">
        <v>2194</v>
      </c>
      <c r="AOS6" t="s">
        <v>2405</v>
      </c>
      <c r="AOT6" t="s">
        <v>2405</v>
      </c>
      <c r="AOU6" t="s">
        <v>2194</v>
      </c>
      <c r="AOV6" t="s">
        <v>2488</v>
      </c>
      <c r="AOW6" t="s">
        <v>2488</v>
      </c>
      <c r="AOX6" t="s">
        <v>2194</v>
      </c>
      <c r="AOY6" t="s">
        <v>2382</v>
      </c>
      <c r="AOZ6" t="s">
        <v>2193</v>
      </c>
      <c r="APA6" t="s">
        <v>2193</v>
      </c>
      <c r="APB6" t="s">
        <v>2193</v>
      </c>
      <c r="APC6" t="s">
        <v>2167</v>
      </c>
      <c r="APD6" t="s">
        <v>2166</v>
      </c>
      <c r="APE6" t="s">
        <v>2493</v>
      </c>
      <c r="APF6" t="s">
        <v>2493</v>
      </c>
      <c r="APG6" t="s">
        <v>2493</v>
      </c>
      <c r="APH6" t="s">
        <v>2126</v>
      </c>
      <c r="API6" t="s">
        <v>2126</v>
      </c>
      <c r="APJ6" t="s">
        <v>2382</v>
      </c>
      <c r="APK6" t="s">
        <v>2382</v>
      </c>
      <c r="APL6" t="s">
        <v>2194</v>
      </c>
      <c r="APM6" t="s">
        <v>2194</v>
      </c>
      <c r="APN6" t="s">
        <v>2194</v>
      </c>
      <c r="APO6" t="s">
        <v>2382</v>
      </c>
      <c r="APP6" t="s">
        <v>2193</v>
      </c>
      <c r="APQ6" t="s">
        <v>2193</v>
      </c>
      <c r="APR6" t="s">
        <v>2193</v>
      </c>
      <c r="APS6" t="s">
        <v>2193</v>
      </c>
      <c r="APT6" t="s">
        <v>2405</v>
      </c>
      <c r="APU6" t="s">
        <v>2405</v>
      </c>
      <c r="APV6" t="s">
        <v>2405</v>
      </c>
      <c r="APW6" t="s">
        <v>2405</v>
      </c>
      <c r="APX6" t="s">
        <v>2122</v>
      </c>
      <c r="APY6" t="s">
        <v>2193</v>
      </c>
      <c r="APZ6" t="s">
        <v>2194</v>
      </c>
      <c r="AQA6" t="s">
        <v>2194</v>
      </c>
      <c r="AQB6" t="s">
        <v>2382</v>
      </c>
      <c r="AQC6" t="s">
        <v>2193</v>
      </c>
      <c r="AQD6" t="s">
        <v>2193</v>
      </c>
      <c r="AQE6" t="s">
        <v>2193</v>
      </c>
      <c r="AQF6" t="s">
        <v>2193</v>
      </c>
      <c r="AQG6" t="s">
        <v>2139</v>
      </c>
      <c r="AQH6" t="s">
        <v>2139</v>
      </c>
      <c r="AQI6" t="s">
        <v>2139</v>
      </c>
      <c r="AQJ6" t="s">
        <v>2127</v>
      </c>
      <c r="AQK6" t="s">
        <v>2193</v>
      </c>
      <c r="AQL6" t="s">
        <v>2193</v>
      </c>
      <c r="AQM6" t="s">
        <v>2382</v>
      </c>
      <c r="AQN6" t="s">
        <v>2382</v>
      </c>
      <c r="AQO6" t="s">
        <v>2154</v>
      </c>
      <c r="AQP6" t="s">
        <v>2154</v>
      </c>
      <c r="AQQ6" t="s">
        <v>2154</v>
      </c>
      <c r="AQR6" t="s">
        <v>2154</v>
      </c>
      <c r="AQS6" t="s">
        <v>2154</v>
      </c>
      <c r="AQT6" t="s">
        <v>2154</v>
      </c>
      <c r="AQU6" t="s">
        <v>2405</v>
      </c>
      <c r="AQV6" t="s">
        <v>2405</v>
      </c>
      <c r="AQW6" t="s">
        <v>2405</v>
      </c>
      <c r="AQX6" t="s">
        <v>2194</v>
      </c>
      <c r="AQY6" t="s">
        <v>2194</v>
      </c>
      <c r="AQZ6" t="s">
        <v>2194</v>
      </c>
      <c r="ARA6" t="s">
        <v>2405</v>
      </c>
      <c r="ARB6" t="s">
        <v>2193</v>
      </c>
      <c r="ARC6" t="s">
        <v>2193</v>
      </c>
      <c r="ARD6" t="s">
        <v>2405</v>
      </c>
      <c r="ARE6" t="s">
        <v>2405</v>
      </c>
      <c r="ARF6" t="s">
        <v>2405</v>
      </c>
      <c r="ARG6" t="s">
        <v>2405</v>
      </c>
      <c r="ARH6" t="s">
        <v>2382</v>
      </c>
      <c r="ARI6" t="s">
        <v>2382</v>
      </c>
      <c r="ARJ6" t="s">
        <v>2382</v>
      </c>
      <c r="ARK6" t="s">
        <v>2194</v>
      </c>
      <c r="ARL6" t="s">
        <v>2193</v>
      </c>
      <c r="ARM6" t="s">
        <v>2193</v>
      </c>
      <c r="ARN6" t="s">
        <v>2193</v>
      </c>
      <c r="ARO6" t="s">
        <v>2193</v>
      </c>
      <c r="ARP6" t="s">
        <v>2193</v>
      </c>
      <c r="ARQ6" t="s">
        <v>2193</v>
      </c>
      <c r="ARR6" t="s">
        <v>2193</v>
      </c>
      <c r="ARS6" t="s">
        <v>2123</v>
      </c>
      <c r="ART6" t="s">
        <v>2122</v>
      </c>
      <c r="ARU6" t="s">
        <v>2122</v>
      </c>
      <c r="ARV6" t="s">
        <v>2194</v>
      </c>
      <c r="ARW6" t="s">
        <v>2193</v>
      </c>
      <c r="ARX6" t="s">
        <v>2194</v>
      </c>
      <c r="ARY6" t="s">
        <v>2194</v>
      </c>
      <c r="ARZ6" t="s">
        <v>2193</v>
      </c>
      <c r="ASA6" t="s">
        <v>2193</v>
      </c>
      <c r="ASB6" t="s">
        <v>2193</v>
      </c>
      <c r="ASC6" t="s">
        <v>2382</v>
      </c>
      <c r="ASD6" t="s">
        <v>2382</v>
      </c>
      <c r="ASE6" t="s">
        <v>2194</v>
      </c>
      <c r="ASF6" t="s">
        <v>2194</v>
      </c>
      <c r="ASG6" t="s">
        <v>2405</v>
      </c>
      <c r="ASH6" t="s">
        <v>2405</v>
      </c>
      <c r="ASI6" t="s">
        <v>2405</v>
      </c>
      <c r="ASJ6" t="s">
        <v>2194</v>
      </c>
      <c r="ASK6" t="s">
        <v>2127</v>
      </c>
      <c r="ASL6" t="s">
        <v>2127</v>
      </c>
      <c r="ASM6" t="s">
        <v>2127</v>
      </c>
      <c r="ASN6" t="s">
        <v>2193</v>
      </c>
      <c r="ASO6" t="s">
        <v>2194</v>
      </c>
      <c r="ASP6" t="s">
        <v>2194</v>
      </c>
      <c r="ASQ6" t="s">
        <v>2194</v>
      </c>
      <c r="ASR6" t="s">
        <v>2194</v>
      </c>
      <c r="ASS6" t="s">
        <v>2194</v>
      </c>
      <c r="AST6" t="s">
        <v>2474</v>
      </c>
      <c r="ASU6" t="s">
        <v>2474</v>
      </c>
      <c r="ASV6" t="s">
        <v>2394</v>
      </c>
      <c r="ASW6" t="s">
        <v>2394</v>
      </c>
      <c r="ASX6" t="s">
        <v>2193</v>
      </c>
      <c r="ASY6" t="s">
        <v>2193</v>
      </c>
      <c r="ASZ6" t="s">
        <v>2193</v>
      </c>
      <c r="ATA6" t="s">
        <v>2193</v>
      </c>
      <c r="ATB6" t="s">
        <v>2193</v>
      </c>
      <c r="ATC6" t="s">
        <v>2194</v>
      </c>
      <c r="ATD6" t="s">
        <v>2194</v>
      </c>
      <c r="ATE6" t="s">
        <v>2194</v>
      </c>
      <c r="ATF6" t="s">
        <v>2194</v>
      </c>
      <c r="ATG6" t="s">
        <v>2194</v>
      </c>
      <c r="ATH6" t="s">
        <v>2194</v>
      </c>
      <c r="ATI6" t="s">
        <v>2194</v>
      </c>
      <c r="ATJ6" t="s">
        <v>2194</v>
      </c>
      <c r="ATK6" t="s">
        <v>2474</v>
      </c>
      <c r="ATL6" t="s">
        <v>2194</v>
      </c>
      <c r="ATM6" t="s">
        <v>2194</v>
      </c>
      <c r="ATN6" t="s">
        <v>2194</v>
      </c>
      <c r="ATO6" t="s">
        <v>2194</v>
      </c>
      <c r="ATP6" t="s">
        <v>2154</v>
      </c>
      <c r="ATQ6" t="s">
        <v>2154</v>
      </c>
      <c r="ATR6" t="s">
        <v>2186</v>
      </c>
      <c r="ATS6" t="s">
        <v>2194</v>
      </c>
      <c r="ATT6" t="s">
        <v>2194</v>
      </c>
      <c r="ATU6" t="s">
        <v>2194</v>
      </c>
      <c r="ATV6" t="s">
        <v>2194</v>
      </c>
      <c r="ATW6" t="s">
        <v>2171</v>
      </c>
      <c r="ATX6" t="s">
        <v>2171</v>
      </c>
      <c r="ATY6" t="s">
        <v>2171</v>
      </c>
      <c r="ATZ6" t="s">
        <v>2171</v>
      </c>
      <c r="AUA6" t="s">
        <v>2194</v>
      </c>
      <c r="AUB6" t="s">
        <v>2194</v>
      </c>
      <c r="AUC6" t="s">
        <v>2382</v>
      </c>
      <c r="AUD6" t="s">
        <v>2382</v>
      </c>
      <c r="AUE6" t="s">
        <v>2382</v>
      </c>
      <c r="AUF6" t="s">
        <v>2126</v>
      </c>
      <c r="AUG6" t="s">
        <v>2193</v>
      </c>
      <c r="AUH6" t="s">
        <v>2405</v>
      </c>
      <c r="AUI6" t="s">
        <v>2405</v>
      </c>
      <c r="AUJ6" t="s">
        <v>2405</v>
      </c>
      <c r="AUK6" t="s">
        <v>2193</v>
      </c>
      <c r="AUL6" t="s">
        <v>2193</v>
      </c>
      <c r="AUM6" t="s">
        <v>2193</v>
      </c>
      <c r="AUN6" t="s">
        <v>2193</v>
      </c>
      <c r="AUO6" t="s">
        <v>2194</v>
      </c>
      <c r="AUP6" t="s">
        <v>2194</v>
      </c>
      <c r="AUQ6" t="s">
        <v>2194</v>
      </c>
      <c r="AUR6" t="s">
        <v>2194</v>
      </c>
      <c r="AUS6" t="s">
        <v>2194</v>
      </c>
      <c r="AUT6" t="s">
        <v>2194</v>
      </c>
      <c r="AUU6" t="s">
        <v>2194</v>
      </c>
      <c r="AUV6" t="s">
        <v>2194</v>
      </c>
      <c r="AUW6" t="s">
        <v>2194</v>
      </c>
      <c r="AUX6" t="s">
        <v>2172</v>
      </c>
      <c r="AUY6" t="s">
        <v>2193</v>
      </c>
      <c r="AUZ6" t="s">
        <v>2193</v>
      </c>
      <c r="AVA6" t="s">
        <v>2194</v>
      </c>
      <c r="AVB6" t="s">
        <v>2126</v>
      </c>
      <c r="AVC6" t="s">
        <v>2382</v>
      </c>
      <c r="AVD6" t="s">
        <v>2382</v>
      </c>
      <c r="AVE6" t="s">
        <v>2382</v>
      </c>
      <c r="AVF6" t="s">
        <v>2193</v>
      </c>
      <c r="AVG6" t="s">
        <v>2193</v>
      </c>
      <c r="AVH6" t="s">
        <v>2193</v>
      </c>
      <c r="AVI6" t="s">
        <v>2193</v>
      </c>
      <c r="AVJ6" t="s">
        <v>2193</v>
      </c>
      <c r="AVK6" t="s">
        <v>2193</v>
      </c>
      <c r="AVL6" t="s">
        <v>2193</v>
      </c>
      <c r="AVM6" t="s">
        <v>2193</v>
      </c>
      <c r="AVN6" t="s">
        <v>2193</v>
      </c>
      <c r="AVO6" t="s">
        <v>2194</v>
      </c>
      <c r="AVP6" t="s">
        <v>2194</v>
      </c>
      <c r="AVQ6" t="s">
        <v>2405</v>
      </c>
      <c r="AVR6" t="s">
        <v>2122</v>
      </c>
      <c r="AVS6" t="s">
        <v>2193</v>
      </c>
      <c r="AVT6" t="s">
        <v>2193</v>
      </c>
      <c r="AVU6" t="s">
        <v>2139</v>
      </c>
      <c r="AVV6" t="s">
        <v>2139</v>
      </c>
      <c r="AVW6" t="s">
        <v>2486</v>
      </c>
      <c r="AVX6" t="s">
        <v>2486</v>
      </c>
      <c r="AVY6" t="s">
        <v>2486</v>
      </c>
      <c r="AVZ6" t="s">
        <v>2486</v>
      </c>
      <c r="AWA6" t="s">
        <v>2405</v>
      </c>
      <c r="AWB6" t="s">
        <v>2405</v>
      </c>
      <c r="AWC6" t="s">
        <v>2194</v>
      </c>
      <c r="AWD6" t="s">
        <v>2194</v>
      </c>
      <c r="AWE6" t="s">
        <v>2474</v>
      </c>
      <c r="AWF6" t="s">
        <v>2194</v>
      </c>
      <c r="AWG6" t="s">
        <v>2194</v>
      </c>
      <c r="AWH6" t="s">
        <v>2126</v>
      </c>
      <c r="AWI6" t="s">
        <v>2126</v>
      </c>
      <c r="AWJ6" t="s">
        <v>2126</v>
      </c>
      <c r="AWK6" t="s">
        <v>2194</v>
      </c>
      <c r="AWL6" t="s">
        <v>2194</v>
      </c>
      <c r="AWM6" t="s">
        <v>2193</v>
      </c>
      <c r="AWN6" t="s">
        <v>2193</v>
      </c>
      <c r="AWO6" t="s">
        <v>2193</v>
      </c>
      <c r="AWP6" t="s">
        <v>2149</v>
      </c>
      <c r="AWQ6" t="s">
        <v>2474</v>
      </c>
      <c r="AWR6" t="s">
        <v>2474</v>
      </c>
      <c r="AWS6" t="s">
        <v>2194</v>
      </c>
      <c r="AWT6" t="s">
        <v>2193</v>
      </c>
      <c r="AWU6" t="s">
        <v>2193</v>
      </c>
      <c r="AWV6" t="s">
        <v>2193</v>
      </c>
      <c r="AWW6" t="s">
        <v>2193</v>
      </c>
      <c r="AWX6" t="s">
        <v>2173</v>
      </c>
      <c r="AWY6" t="s">
        <v>2194</v>
      </c>
      <c r="AWZ6" t="s">
        <v>2382</v>
      </c>
      <c r="AXA6" t="s">
        <v>2382</v>
      </c>
      <c r="AXB6" t="s">
        <v>2193</v>
      </c>
      <c r="AXC6" t="s">
        <v>2175</v>
      </c>
      <c r="AXD6" t="s">
        <v>2193</v>
      </c>
      <c r="AXE6" t="s">
        <v>2193</v>
      </c>
      <c r="AXF6" t="s">
        <v>2193</v>
      </c>
      <c r="AXG6" t="s">
        <v>2194</v>
      </c>
      <c r="AXH6" t="s">
        <v>2194</v>
      </c>
      <c r="AXI6" t="s">
        <v>2194</v>
      </c>
      <c r="AXJ6" t="s">
        <v>2176</v>
      </c>
      <c r="AXK6" t="s">
        <v>2194</v>
      </c>
      <c r="AXL6" t="s">
        <v>2382</v>
      </c>
      <c r="AXM6" t="s">
        <v>2382</v>
      </c>
      <c r="AXN6" t="s">
        <v>2382</v>
      </c>
      <c r="AXO6" t="s">
        <v>2382</v>
      </c>
      <c r="AXP6" t="s">
        <v>2193</v>
      </c>
      <c r="AXQ6" t="s">
        <v>2193</v>
      </c>
      <c r="AXR6" t="s">
        <v>2193</v>
      </c>
      <c r="AXS6" t="s">
        <v>2474</v>
      </c>
      <c r="AXT6" t="s">
        <v>2474</v>
      </c>
      <c r="AXU6" t="s">
        <v>2194</v>
      </c>
      <c r="AXV6" t="s">
        <v>2193</v>
      </c>
      <c r="AXW6" t="s">
        <v>2193</v>
      </c>
      <c r="AXX6" t="s">
        <v>2194</v>
      </c>
      <c r="AXY6" t="s">
        <v>2194</v>
      </c>
      <c r="AXZ6" t="s">
        <v>2193</v>
      </c>
      <c r="AYA6" t="s">
        <v>2194</v>
      </c>
      <c r="AYB6" t="s">
        <v>2193</v>
      </c>
      <c r="AYC6" t="s">
        <v>2193</v>
      </c>
      <c r="AYD6" t="s">
        <v>2193</v>
      </c>
      <c r="AYE6" t="s">
        <v>2178</v>
      </c>
      <c r="AYF6" t="s">
        <v>2382</v>
      </c>
      <c r="AYG6" t="s">
        <v>2495</v>
      </c>
      <c r="AYH6" t="s">
        <v>2495</v>
      </c>
      <c r="AYI6" t="s">
        <v>2495</v>
      </c>
      <c r="AYJ6" t="s">
        <v>2474</v>
      </c>
      <c r="AYK6" t="s">
        <v>2474</v>
      </c>
      <c r="AYL6" t="s">
        <v>2194</v>
      </c>
      <c r="AYM6" t="s">
        <v>2194</v>
      </c>
      <c r="AYN6" t="s">
        <v>2194</v>
      </c>
      <c r="AYO6" t="s">
        <v>2194</v>
      </c>
      <c r="AYP6" t="s">
        <v>2194</v>
      </c>
      <c r="AYQ6" t="s">
        <v>2194</v>
      </c>
      <c r="AYR6" t="s">
        <v>2194</v>
      </c>
      <c r="AYS6" t="s">
        <v>2194</v>
      </c>
      <c r="AYT6" t="s">
        <v>2194</v>
      </c>
      <c r="AYU6" t="s">
        <v>2194</v>
      </c>
      <c r="AYV6" t="s">
        <v>2194</v>
      </c>
      <c r="AYW6" t="s">
        <v>2193</v>
      </c>
      <c r="AYX6" t="s">
        <v>2193</v>
      </c>
      <c r="AYY6" t="s">
        <v>2405</v>
      </c>
      <c r="AYZ6" t="s">
        <v>2193</v>
      </c>
      <c r="AZA6" t="s">
        <v>2193</v>
      </c>
      <c r="AZB6" t="s">
        <v>2193</v>
      </c>
      <c r="AZC6" t="s">
        <v>2193</v>
      </c>
      <c r="AZD6" t="s">
        <v>2193</v>
      </c>
      <c r="AZE6" t="s">
        <v>2166</v>
      </c>
      <c r="AZF6" t="s">
        <v>2193</v>
      </c>
      <c r="AZG6" t="s">
        <v>2193</v>
      </c>
      <c r="AZH6" t="s">
        <v>2193</v>
      </c>
      <c r="AZI6" t="s">
        <v>2193</v>
      </c>
      <c r="AZJ6" t="s">
        <v>2193</v>
      </c>
      <c r="AZK6" t="s">
        <v>2193</v>
      </c>
      <c r="AZL6" t="s">
        <v>2382</v>
      </c>
      <c r="AZM6" t="s">
        <v>2382</v>
      </c>
      <c r="AZN6" t="s">
        <v>2193</v>
      </c>
      <c r="AZO6" t="s">
        <v>2193</v>
      </c>
      <c r="AZP6" t="s">
        <v>2495</v>
      </c>
      <c r="AZQ6" t="s">
        <v>2495</v>
      </c>
      <c r="AZR6" t="s">
        <v>2126</v>
      </c>
      <c r="AZS6" t="s">
        <v>2126</v>
      </c>
      <c r="AZT6" t="s">
        <v>2140</v>
      </c>
      <c r="AZU6" t="s">
        <v>2140</v>
      </c>
      <c r="AZV6" t="s">
        <v>2382</v>
      </c>
      <c r="AZW6" t="s">
        <v>2382</v>
      </c>
      <c r="AZX6" t="s">
        <v>2382</v>
      </c>
      <c r="AZY6" t="s">
        <v>2405</v>
      </c>
      <c r="AZZ6" t="s">
        <v>2194</v>
      </c>
      <c r="BAA6" t="s">
        <v>2194</v>
      </c>
      <c r="BAB6" t="s">
        <v>2194</v>
      </c>
      <c r="BAC6" t="s">
        <v>2194</v>
      </c>
      <c r="BAD6" t="s">
        <v>2405</v>
      </c>
      <c r="BAE6" t="s">
        <v>2405</v>
      </c>
      <c r="BAF6" t="s">
        <v>2194</v>
      </c>
      <c r="BAG6" t="s">
        <v>2194</v>
      </c>
      <c r="BAH6" t="s">
        <v>2194</v>
      </c>
      <c r="BAI6" t="s">
        <v>2194</v>
      </c>
      <c r="BAJ6" t="s">
        <v>2474</v>
      </c>
      <c r="BAK6" t="s">
        <v>2474</v>
      </c>
      <c r="BAL6" t="s">
        <v>2193</v>
      </c>
      <c r="BAM6" t="s">
        <v>2194</v>
      </c>
      <c r="BAN6" t="s">
        <v>2194</v>
      </c>
      <c r="BAO6" t="s">
        <v>2194</v>
      </c>
      <c r="BAP6" t="s">
        <v>2194</v>
      </c>
      <c r="BAQ6" t="s">
        <v>2123</v>
      </c>
      <c r="BAR6" t="s">
        <v>2194</v>
      </c>
      <c r="BAS6" t="s">
        <v>2149</v>
      </c>
      <c r="BAT6" t="s">
        <v>2149</v>
      </c>
      <c r="BAU6" t="s">
        <v>2149</v>
      </c>
      <c r="BAV6" t="s">
        <v>2193</v>
      </c>
      <c r="BAW6" t="s">
        <v>2495</v>
      </c>
      <c r="BAX6" t="s">
        <v>2179</v>
      </c>
      <c r="BAY6" t="s">
        <v>2179</v>
      </c>
      <c r="BAZ6" t="s">
        <v>2179</v>
      </c>
      <c r="BBA6" t="s">
        <v>2180</v>
      </c>
      <c r="BBB6" t="s">
        <v>2180</v>
      </c>
      <c r="BBC6" t="s">
        <v>2180</v>
      </c>
      <c r="BBD6" t="s">
        <v>2123</v>
      </c>
      <c r="BBE6" t="s">
        <v>2123</v>
      </c>
      <c r="BBF6" t="s">
        <v>2123</v>
      </c>
      <c r="BBG6" t="s">
        <v>2123</v>
      </c>
      <c r="BBH6" t="s">
        <v>2193</v>
      </c>
      <c r="BBI6" t="s">
        <v>2193</v>
      </c>
      <c r="BBJ6" t="s">
        <v>2488</v>
      </c>
      <c r="BBK6" t="s">
        <v>2492</v>
      </c>
      <c r="BBL6" t="s">
        <v>2405</v>
      </c>
      <c r="BBM6" t="s">
        <v>2405</v>
      </c>
      <c r="BBN6" t="s">
        <v>2194</v>
      </c>
      <c r="BBO6" t="s">
        <v>2139</v>
      </c>
      <c r="BBP6" t="s">
        <v>2139</v>
      </c>
      <c r="BBQ6" t="s">
        <v>2139</v>
      </c>
      <c r="BBR6" t="s">
        <v>2139</v>
      </c>
      <c r="BBS6" t="s">
        <v>2139</v>
      </c>
      <c r="BBT6" t="s">
        <v>2139</v>
      </c>
      <c r="BBU6" t="s">
        <v>2139</v>
      </c>
      <c r="BBV6" t="s">
        <v>2489</v>
      </c>
      <c r="BBW6" t="s">
        <v>2489</v>
      </c>
      <c r="BBX6" t="s">
        <v>2194</v>
      </c>
      <c r="BBY6" t="s">
        <v>2194</v>
      </c>
      <c r="BBZ6" t="s">
        <v>2193</v>
      </c>
      <c r="BCA6" t="s">
        <v>2193</v>
      </c>
      <c r="BCB6" t="s">
        <v>2194</v>
      </c>
      <c r="BCC6" t="s">
        <v>2194</v>
      </c>
      <c r="BCD6" t="s">
        <v>2194</v>
      </c>
      <c r="BCE6" t="s">
        <v>2193</v>
      </c>
      <c r="BCF6" t="s">
        <v>2194</v>
      </c>
      <c r="BCG6" t="s">
        <v>2194</v>
      </c>
      <c r="BCH6" t="s">
        <v>2194</v>
      </c>
      <c r="BCI6" t="s">
        <v>2194</v>
      </c>
      <c r="BCJ6" t="s">
        <v>2194</v>
      </c>
      <c r="BCK6" t="s">
        <v>2193</v>
      </c>
      <c r="BCL6" t="s">
        <v>2193</v>
      </c>
      <c r="BCM6" t="s">
        <v>2194</v>
      </c>
      <c r="BCN6" t="s">
        <v>2194</v>
      </c>
      <c r="BCO6" t="s">
        <v>2194</v>
      </c>
      <c r="BCP6" t="s">
        <v>2194</v>
      </c>
      <c r="BCQ6" t="s">
        <v>2194</v>
      </c>
      <c r="BCR6" t="s">
        <v>2194</v>
      </c>
      <c r="BCS6" t="s">
        <v>2194</v>
      </c>
      <c r="BCT6" t="s">
        <v>2194</v>
      </c>
      <c r="BCU6" t="s">
        <v>2194</v>
      </c>
      <c r="BCV6" t="s">
        <v>2194</v>
      </c>
      <c r="BCW6" t="s">
        <v>2194</v>
      </c>
      <c r="BCX6" t="s">
        <v>2193</v>
      </c>
      <c r="BCY6" t="s">
        <v>2193</v>
      </c>
      <c r="BCZ6" t="s">
        <v>2194</v>
      </c>
      <c r="BDA6" t="s">
        <v>2194</v>
      </c>
      <c r="BDB6" t="s">
        <v>2194</v>
      </c>
      <c r="BDC6" t="s">
        <v>2193</v>
      </c>
      <c r="BDD6" t="s">
        <v>2193</v>
      </c>
      <c r="BDE6" t="s">
        <v>2193</v>
      </c>
      <c r="BDF6" t="s">
        <v>2193</v>
      </c>
      <c r="BDG6" t="s">
        <v>2193</v>
      </c>
      <c r="BDH6" t="s">
        <v>2194</v>
      </c>
      <c r="BDI6" t="s">
        <v>2194</v>
      </c>
      <c r="BDJ6" t="s">
        <v>2382</v>
      </c>
      <c r="BDK6" t="s">
        <v>2193</v>
      </c>
      <c r="BDL6" t="s">
        <v>2193</v>
      </c>
      <c r="BDM6" t="s">
        <v>2194</v>
      </c>
      <c r="BDN6" t="s">
        <v>2194</v>
      </c>
      <c r="BDO6" t="s">
        <v>2194</v>
      </c>
      <c r="BDP6" t="s">
        <v>2194</v>
      </c>
      <c r="BDQ6" t="s">
        <v>2193</v>
      </c>
      <c r="BDR6" t="s">
        <v>2183</v>
      </c>
      <c r="BDS6" t="s">
        <v>2474</v>
      </c>
      <c r="BDT6" t="s">
        <v>2194</v>
      </c>
      <c r="BDU6" t="s">
        <v>2194</v>
      </c>
      <c r="BDV6" t="s">
        <v>2194</v>
      </c>
      <c r="BDW6" t="s">
        <v>2194</v>
      </c>
      <c r="BDX6" t="s">
        <v>2194</v>
      </c>
      <c r="BDY6" t="s">
        <v>2194</v>
      </c>
      <c r="BDZ6" t="s">
        <v>2194</v>
      </c>
      <c r="BEA6" t="s">
        <v>2194</v>
      </c>
      <c r="BEB6" t="s">
        <v>2193</v>
      </c>
      <c r="BEC6" t="s">
        <v>2193</v>
      </c>
      <c r="BED6" t="s">
        <v>2487</v>
      </c>
      <c r="BEE6" t="s">
        <v>2487</v>
      </c>
      <c r="BEF6" t="s">
        <v>2487</v>
      </c>
      <c r="BEG6" t="s">
        <v>2405</v>
      </c>
      <c r="BEH6" t="s">
        <v>2405</v>
      </c>
      <c r="BEI6" t="s">
        <v>2405</v>
      </c>
      <c r="BEJ6" t="s">
        <v>2194</v>
      </c>
      <c r="BEK6" t="s">
        <v>2194</v>
      </c>
      <c r="BEL6" t="s">
        <v>2194</v>
      </c>
      <c r="BEM6" t="s">
        <v>2194</v>
      </c>
      <c r="BEN6" t="s">
        <v>2194</v>
      </c>
      <c r="BEO6" t="s">
        <v>2194</v>
      </c>
      <c r="BEP6" t="s">
        <v>2139</v>
      </c>
      <c r="BEQ6" t="s">
        <v>2139</v>
      </c>
      <c r="BER6" t="s">
        <v>2139</v>
      </c>
      <c r="BES6" t="s">
        <v>2139</v>
      </c>
      <c r="BET6" t="s">
        <v>2139</v>
      </c>
      <c r="BEU6" t="s">
        <v>2139</v>
      </c>
      <c r="BEV6" t="s">
        <v>2139</v>
      </c>
      <c r="BEW6" t="s">
        <v>2489</v>
      </c>
      <c r="BEX6" t="s">
        <v>2382</v>
      </c>
      <c r="BEY6" t="s">
        <v>2194</v>
      </c>
      <c r="BEZ6" t="s">
        <v>2193</v>
      </c>
      <c r="BFA6" t="s">
        <v>2193</v>
      </c>
      <c r="BFB6" t="s">
        <v>2193</v>
      </c>
      <c r="BFC6" t="s">
        <v>2474</v>
      </c>
      <c r="BFD6" t="s">
        <v>2194</v>
      </c>
      <c r="BFE6" t="s">
        <v>2194</v>
      </c>
      <c r="BFF6" t="s">
        <v>2193</v>
      </c>
      <c r="BFG6" t="s">
        <v>2193</v>
      </c>
      <c r="BFH6" t="s">
        <v>2382</v>
      </c>
      <c r="BFI6" t="s">
        <v>2382</v>
      </c>
      <c r="BFJ6" t="s">
        <v>2382</v>
      </c>
      <c r="BFK6" t="s">
        <v>2382</v>
      </c>
      <c r="BFL6" t="s">
        <v>2185</v>
      </c>
      <c r="BFM6" t="s">
        <v>2193</v>
      </c>
      <c r="BFN6" t="s">
        <v>2193</v>
      </c>
      <c r="BFO6" t="s">
        <v>2194</v>
      </c>
      <c r="BFP6" t="s">
        <v>2186</v>
      </c>
      <c r="BFQ6" t="s">
        <v>2186</v>
      </c>
      <c r="BFR6" t="s">
        <v>2186</v>
      </c>
      <c r="BFS6" t="s">
        <v>2123</v>
      </c>
      <c r="BFT6" t="s">
        <v>2382</v>
      </c>
      <c r="BFU6" t="s">
        <v>2382</v>
      </c>
      <c r="BFV6" t="s">
        <v>2382</v>
      </c>
      <c r="BFW6" t="s">
        <v>2382</v>
      </c>
      <c r="BFX6" t="s">
        <v>2382</v>
      </c>
      <c r="BFY6" t="s">
        <v>2405</v>
      </c>
      <c r="BFZ6" t="s">
        <v>2194</v>
      </c>
      <c r="BGA6" t="s">
        <v>2382</v>
      </c>
      <c r="BGB6" t="s">
        <v>2382</v>
      </c>
      <c r="BGC6" t="s">
        <v>2405</v>
      </c>
      <c r="BGD6" t="s">
        <v>2405</v>
      </c>
      <c r="BGE6" t="s">
        <v>2405</v>
      </c>
      <c r="BGF6" t="s">
        <v>2139</v>
      </c>
      <c r="BGG6" t="s">
        <v>2194</v>
      </c>
      <c r="BGH6" t="s">
        <v>2193</v>
      </c>
      <c r="BGI6" t="s">
        <v>2193</v>
      </c>
      <c r="BGJ6" t="s">
        <v>2194</v>
      </c>
      <c r="BGK6" t="s">
        <v>2194</v>
      </c>
      <c r="BGL6" t="s">
        <v>2405</v>
      </c>
      <c r="BGM6" t="s">
        <v>2405</v>
      </c>
      <c r="BGN6" t="s">
        <v>2194</v>
      </c>
      <c r="BGO6" t="s">
        <v>2194</v>
      </c>
      <c r="BGP6" t="s">
        <v>2194</v>
      </c>
      <c r="BGQ6" t="s">
        <v>2194</v>
      </c>
      <c r="BGR6" t="s">
        <v>2194</v>
      </c>
      <c r="BGS6" t="s">
        <v>2193</v>
      </c>
      <c r="BGT6" t="s">
        <v>2193</v>
      </c>
      <c r="BGU6" t="s">
        <v>2193</v>
      </c>
      <c r="BGV6" t="s">
        <v>2405</v>
      </c>
      <c r="BGW6" t="s">
        <v>2405</v>
      </c>
      <c r="BGX6" t="s">
        <v>2405</v>
      </c>
      <c r="BGY6" t="s">
        <v>2194</v>
      </c>
      <c r="BGZ6" t="s">
        <v>2194</v>
      </c>
      <c r="BHA6" t="s">
        <v>2123</v>
      </c>
      <c r="BHB6" t="s">
        <v>2188</v>
      </c>
      <c r="BHC6" t="s">
        <v>2193</v>
      </c>
    </row>
    <row r="7" spans="5:1563" x14ac:dyDescent="0.25">
      <c r="E7" t="s">
        <v>2193</v>
      </c>
      <c r="F7" s="6" t="s">
        <v>4</v>
      </c>
      <c r="G7" t="s">
        <v>5</v>
      </c>
      <c r="H7" t="s">
        <v>7</v>
      </c>
      <c r="I7">
        <v>358146</v>
      </c>
      <c r="L7" t="s">
        <v>2191</v>
      </c>
      <c r="M7" t="s">
        <v>4</v>
      </c>
      <c r="N7" t="s">
        <v>4</v>
      </c>
      <c r="O7" t="s">
        <v>2196</v>
      </c>
      <c r="P7" t="s">
        <v>2196</v>
      </c>
      <c r="Q7" t="s">
        <v>12</v>
      </c>
      <c r="R7" t="s">
        <v>12</v>
      </c>
      <c r="S7" t="s">
        <v>16</v>
      </c>
      <c r="T7" t="s">
        <v>16</v>
      </c>
      <c r="U7" t="s">
        <v>19</v>
      </c>
      <c r="V7" t="s">
        <v>2406</v>
      </c>
      <c r="W7" t="s">
        <v>22</v>
      </c>
      <c r="X7" t="s">
        <v>22</v>
      </c>
      <c r="Y7" t="s">
        <v>2383</v>
      </c>
      <c r="Z7" t="s">
        <v>2383</v>
      </c>
      <c r="AA7" t="s">
        <v>2383</v>
      </c>
      <c r="AB7" t="s">
        <v>31</v>
      </c>
      <c r="AC7" t="s">
        <v>31</v>
      </c>
      <c r="AD7" t="s">
        <v>2197</v>
      </c>
      <c r="AE7" t="s">
        <v>2197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43</v>
      </c>
      <c r="AL7" t="s">
        <v>2395</v>
      </c>
      <c r="AM7" t="s">
        <v>2198</v>
      </c>
      <c r="AN7" t="s">
        <v>2198</v>
      </c>
      <c r="AO7" t="s">
        <v>2198</v>
      </c>
      <c r="AP7" t="s">
        <v>2198</v>
      </c>
      <c r="AQ7" t="s">
        <v>2198</v>
      </c>
      <c r="AR7" t="s">
        <v>2199</v>
      </c>
      <c r="AS7" t="s">
        <v>2199</v>
      </c>
      <c r="AT7" t="s">
        <v>2199</v>
      </c>
      <c r="AU7" t="s">
        <v>2407</v>
      </c>
      <c r="AV7" t="s">
        <v>2407</v>
      </c>
      <c r="AW7" t="s">
        <v>2407</v>
      </c>
      <c r="AX7" t="s">
        <v>2407</v>
      </c>
      <c r="AY7" t="s">
        <v>2396</v>
      </c>
      <c r="AZ7" t="s">
        <v>2200</v>
      </c>
      <c r="BA7" t="s">
        <v>2200</v>
      </c>
      <c r="BB7" t="s">
        <v>2201</v>
      </c>
      <c r="BC7" t="s">
        <v>2201</v>
      </c>
      <c r="BD7" t="s">
        <v>2201</v>
      </c>
      <c r="BE7" t="s">
        <v>2202</v>
      </c>
      <c r="BF7" t="s">
        <v>2202</v>
      </c>
      <c r="BG7" t="s">
        <v>2203</v>
      </c>
      <c r="BH7" t="s">
        <v>2203</v>
      </c>
      <c r="BI7" t="s">
        <v>2203</v>
      </c>
      <c r="BJ7" t="s">
        <v>2203</v>
      </c>
      <c r="BK7" t="s">
        <v>2203</v>
      </c>
      <c r="BL7" t="s">
        <v>2203</v>
      </c>
      <c r="BM7" t="s">
        <v>2203</v>
      </c>
      <c r="BN7" t="s">
        <v>80</v>
      </c>
      <c r="BO7" t="s">
        <v>2473</v>
      </c>
      <c r="BP7" t="s">
        <v>83</v>
      </c>
      <c r="BQ7" t="s">
        <v>83</v>
      </c>
      <c r="BR7" t="s">
        <v>83</v>
      </c>
      <c r="BS7" t="s">
        <v>83</v>
      </c>
      <c r="BT7" t="s">
        <v>83</v>
      </c>
      <c r="BU7" t="s">
        <v>83</v>
      </c>
      <c r="BV7" t="s">
        <v>2204</v>
      </c>
      <c r="BW7" t="s">
        <v>2475</v>
      </c>
      <c r="BX7" t="s">
        <v>2475</v>
      </c>
      <c r="BY7" t="s">
        <v>2475</v>
      </c>
      <c r="BZ7" t="s">
        <v>2205</v>
      </c>
      <c r="CA7" t="s">
        <v>2205</v>
      </c>
      <c r="CB7" t="s">
        <v>2205</v>
      </c>
      <c r="CC7" t="s">
        <v>2205</v>
      </c>
      <c r="CD7" t="s">
        <v>2205</v>
      </c>
      <c r="CE7" t="s">
        <v>2205</v>
      </c>
      <c r="CF7" t="s">
        <v>2205</v>
      </c>
      <c r="CG7" t="s">
        <v>102</v>
      </c>
      <c r="CH7" t="s">
        <v>102</v>
      </c>
      <c r="CI7" t="s">
        <v>102</v>
      </c>
      <c r="CJ7" t="s">
        <v>102</v>
      </c>
      <c r="CK7" t="s">
        <v>107</v>
      </c>
      <c r="CL7" t="s">
        <v>109</v>
      </c>
      <c r="CM7" t="s">
        <v>109</v>
      </c>
      <c r="CN7" t="s">
        <v>109</v>
      </c>
      <c r="CO7" t="s">
        <v>109</v>
      </c>
      <c r="CP7" t="s">
        <v>109</v>
      </c>
      <c r="CQ7" t="s">
        <v>109</v>
      </c>
      <c r="CR7" t="s">
        <v>109</v>
      </c>
      <c r="CS7" t="s">
        <v>118</v>
      </c>
      <c r="CT7" t="s">
        <v>120</v>
      </c>
      <c r="CU7" t="s">
        <v>120</v>
      </c>
      <c r="CV7" t="s">
        <v>2206</v>
      </c>
      <c r="CW7" t="s">
        <v>2206</v>
      </c>
      <c r="CX7" t="s">
        <v>2207</v>
      </c>
      <c r="CY7" t="s">
        <v>2207</v>
      </c>
      <c r="CZ7" t="s">
        <v>2207</v>
      </c>
      <c r="DA7" t="s">
        <v>129</v>
      </c>
      <c r="DB7" t="s">
        <v>129</v>
      </c>
      <c r="DC7" t="s">
        <v>129</v>
      </c>
      <c r="DD7" t="s">
        <v>129</v>
      </c>
      <c r="DE7" t="s">
        <v>129</v>
      </c>
      <c r="DF7" t="s">
        <v>129</v>
      </c>
      <c r="DG7" t="s">
        <v>129</v>
      </c>
      <c r="DH7" t="s">
        <v>2208</v>
      </c>
      <c r="DI7" t="s">
        <v>141</v>
      </c>
      <c r="DJ7" t="s">
        <v>144</v>
      </c>
      <c r="DK7" t="s">
        <v>2209</v>
      </c>
      <c r="DL7" t="s">
        <v>2209</v>
      </c>
      <c r="DM7" t="s">
        <v>2209</v>
      </c>
      <c r="DN7" t="s">
        <v>2384</v>
      </c>
      <c r="DO7" t="s">
        <v>2384</v>
      </c>
      <c r="DP7" t="s">
        <v>2384</v>
      </c>
      <c r="DQ7" t="s">
        <v>2210</v>
      </c>
      <c r="DR7" t="s">
        <v>2210</v>
      </c>
      <c r="DS7" t="s">
        <v>2210</v>
      </c>
      <c r="DT7" t="s">
        <v>2211</v>
      </c>
      <c r="DU7" t="s">
        <v>2211</v>
      </c>
      <c r="DV7" t="s">
        <v>159</v>
      </c>
      <c r="DW7" t="s">
        <v>2212</v>
      </c>
      <c r="DX7" t="s">
        <v>2212</v>
      </c>
      <c r="DY7" t="s">
        <v>163</v>
      </c>
      <c r="DZ7" t="s">
        <v>163</v>
      </c>
      <c r="EA7" t="s">
        <v>2213</v>
      </c>
      <c r="EB7" t="s">
        <v>2213</v>
      </c>
      <c r="EC7" t="s">
        <v>2213</v>
      </c>
      <c r="ED7" t="s">
        <v>2213</v>
      </c>
      <c r="EE7" t="s">
        <v>2213</v>
      </c>
      <c r="EF7" t="s">
        <v>171</v>
      </c>
      <c r="EG7" t="s">
        <v>173</v>
      </c>
      <c r="EH7" t="s">
        <v>175</v>
      </c>
      <c r="EI7" t="s">
        <v>175</v>
      </c>
      <c r="EJ7" t="s">
        <v>179</v>
      </c>
      <c r="EK7" t="s">
        <v>181</v>
      </c>
      <c r="EL7" t="s">
        <v>183</v>
      </c>
      <c r="EM7" t="s">
        <v>183</v>
      </c>
      <c r="EN7" t="s">
        <v>2214</v>
      </c>
      <c r="EO7" t="s">
        <v>2214</v>
      </c>
      <c r="EP7" t="s">
        <v>190</v>
      </c>
      <c r="EQ7" t="s">
        <v>2215</v>
      </c>
      <c r="ER7" t="s">
        <v>2215</v>
      </c>
      <c r="ES7" t="s">
        <v>2216</v>
      </c>
      <c r="ET7" t="s">
        <v>2216</v>
      </c>
      <c r="EU7" t="s">
        <v>2216</v>
      </c>
      <c r="EV7" t="s">
        <v>2408</v>
      </c>
      <c r="EW7" t="s">
        <v>2408</v>
      </c>
      <c r="EX7" t="s">
        <v>2408</v>
      </c>
      <c r="EY7" t="s">
        <v>2408</v>
      </c>
      <c r="EZ7" t="s">
        <v>201</v>
      </c>
      <c r="FA7" t="s">
        <v>2217</v>
      </c>
      <c r="FB7" t="s">
        <v>206</v>
      </c>
      <c r="FC7" t="s">
        <v>209</v>
      </c>
      <c r="FD7" t="s">
        <v>2218</v>
      </c>
      <c r="FE7" t="s">
        <v>2218</v>
      </c>
      <c r="FF7" t="s">
        <v>213</v>
      </c>
      <c r="FG7" t="s">
        <v>2409</v>
      </c>
      <c r="FH7" t="s">
        <v>2409</v>
      </c>
      <c r="FI7" t="s">
        <v>2219</v>
      </c>
      <c r="FJ7" t="s">
        <v>2219</v>
      </c>
      <c r="FK7" t="s">
        <v>2219</v>
      </c>
      <c r="FL7" t="s">
        <v>2410</v>
      </c>
      <c r="FM7" t="s">
        <v>2410</v>
      </c>
      <c r="FN7" t="s">
        <v>221</v>
      </c>
      <c r="FO7" t="s">
        <v>221</v>
      </c>
      <c r="FP7" t="s">
        <v>221</v>
      </c>
      <c r="FQ7" t="s">
        <v>225</v>
      </c>
      <c r="FR7" t="s">
        <v>225</v>
      </c>
      <c r="FS7" t="s">
        <v>229</v>
      </c>
      <c r="FT7" t="s">
        <v>231</v>
      </c>
      <c r="FU7" t="s">
        <v>231</v>
      </c>
      <c r="FV7" t="s">
        <v>234</v>
      </c>
      <c r="FW7" t="s">
        <v>234</v>
      </c>
      <c r="FX7" t="s">
        <v>2220</v>
      </c>
      <c r="FY7" t="s">
        <v>2220</v>
      </c>
      <c r="FZ7" t="s">
        <v>2220</v>
      </c>
      <c r="GA7" t="s">
        <v>2221</v>
      </c>
      <c r="GB7" t="s">
        <v>2221</v>
      </c>
      <c r="GC7" t="s">
        <v>2221</v>
      </c>
      <c r="GD7" t="s">
        <v>244</v>
      </c>
      <c r="GE7" t="s">
        <v>246</v>
      </c>
      <c r="GF7" t="s">
        <v>246</v>
      </c>
      <c r="GG7" t="s">
        <v>246</v>
      </c>
      <c r="GH7" t="s">
        <v>2222</v>
      </c>
      <c r="GI7" t="s">
        <v>2222</v>
      </c>
      <c r="GJ7" t="s">
        <v>252</v>
      </c>
      <c r="GK7" t="s">
        <v>254</v>
      </c>
      <c r="GL7" t="s">
        <v>256</v>
      </c>
      <c r="GM7" t="s">
        <v>256</v>
      </c>
      <c r="GN7" t="s">
        <v>259</v>
      </c>
      <c r="GO7" t="s">
        <v>2223</v>
      </c>
      <c r="GP7" t="s">
        <v>2223</v>
      </c>
      <c r="GQ7" t="s">
        <v>2223</v>
      </c>
      <c r="GR7" t="s">
        <v>2223</v>
      </c>
      <c r="GS7" t="s">
        <v>265</v>
      </c>
      <c r="GT7" t="s">
        <v>267</v>
      </c>
      <c r="GU7" t="s">
        <v>2224</v>
      </c>
      <c r="GV7" t="s">
        <v>2397</v>
      </c>
      <c r="GW7" t="s">
        <v>271</v>
      </c>
      <c r="GX7" t="s">
        <v>273</v>
      </c>
      <c r="GY7" t="s">
        <v>2225</v>
      </c>
      <c r="GZ7" t="s">
        <v>2225</v>
      </c>
      <c r="HA7" t="s">
        <v>277</v>
      </c>
      <c r="HB7" t="s">
        <v>277</v>
      </c>
      <c r="HC7" t="s">
        <v>280</v>
      </c>
      <c r="HD7" t="s">
        <v>282</v>
      </c>
      <c r="HE7" t="s">
        <v>282</v>
      </c>
      <c r="HF7" t="s">
        <v>282</v>
      </c>
      <c r="HG7" t="s">
        <v>282</v>
      </c>
      <c r="HH7" t="s">
        <v>287</v>
      </c>
      <c r="HI7" t="s">
        <v>287</v>
      </c>
      <c r="HJ7" t="s">
        <v>2226</v>
      </c>
      <c r="HK7" t="s">
        <v>292</v>
      </c>
      <c r="HL7" t="s">
        <v>2411</v>
      </c>
      <c r="HM7" t="s">
        <v>2411</v>
      </c>
      <c r="HN7" t="s">
        <v>2411</v>
      </c>
      <c r="HO7" t="s">
        <v>2411</v>
      </c>
      <c r="HP7" t="s">
        <v>2411</v>
      </c>
      <c r="HQ7" t="s">
        <v>299</v>
      </c>
      <c r="HR7" t="s">
        <v>299</v>
      </c>
      <c r="HS7" t="s">
        <v>302</v>
      </c>
      <c r="HT7" t="s">
        <v>302</v>
      </c>
      <c r="HU7" t="s">
        <v>305</v>
      </c>
      <c r="HV7" t="s">
        <v>2398</v>
      </c>
      <c r="HW7" t="s">
        <v>308</v>
      </c>
      <c r="HX7" t="s">
        <v>308</v>
      </c>
      <c r="HY7" t="s">
        <v>308</v>
      </c>
      <c r="HZ7" t="s">
        <v>312</v>
      </c>
      <c r="IA7" t="s">
        <v>2227</v>
      </c>
      <c r="IB7" t="s">
        <v>2227</v>
      </c>
      <c r="IC7" t="s">
        <v>2227</v>
      </c>
      <c r="ID7" t="s">
        <v>317</v>
      </c>
      <c r="IE7" t="s">
        <v>317</v>
      </c>
      <c r="IF7" t="s">
        <v>317</v>
      </c>
      <c r="IG7" t="s">
        <v>317</v>
      </c>
      <c r="IH7" t="s">
        <v>323</v>
      </c>
      <c r="II7" t="s">
        <v>325</v>
      </c>
      <c r="IJ7" t="s">
        <v>2412</v>
      </c>
      <c r="IK7" t="s">
        <v>2412</v>
      </c>
      <c r="IL7" t="s">
        <v>2228</v>
      </c>
      <c r="IM7" t="s">
        <v>2228</v>
      </c>
      <c r="IN7" t="s">
        <v>2228</v>
      </c>
      <c r="IO7" t="s">
        <v>2229</v>
      </c>
      <c r="IP7" t="s">
        <v>334</v>
      </c>
      <c r="IQ7" t="s">
        <v>334</v>
      </c>
      <c r="IR7" t="s">
        <v>334</v>
      </c>
      <c r="IS7" t="s">
        <v>2230</v>
      </c>
      <c r="IT7" t="s">
        <v>2230</v>
      </c>
      <c r="IU7" t="s">
        <v>2230</v>
      </c>
      <c r="IV7" t="s">
        <v>342</v>
      </c>
      <c r="IW7" t="s">
        <v>345</v>
      </c>
      <c r="IX7" t="s">
        <v>2231</v>
      </c>
      <c r="IY7" t="s">
        <v>2232</v>
      </c>
      <c r="IZ7" t="s">
        <v>349</v>
      </c>
      <c r="JA7" t="s">
        <v>349</v>
      </c>
      <c r="JB7" t="s">
        <v>352</v>
      </c>
      <c r="JC7" t="s">
        <v>354</v>
      </c>
      <c r="JD7" t="s">
        <v>2399</v>
      </c>
      <c r="JE7" t="s">
        <v>358</v>
      </c>
      <c r="JF7" t="s">
        <v>358</v>
      </c>
      <c r="JG7" t="s">
        <v>361</v>
      </c>
      <c r="JH7" t="s">
        <v>363</v>
      </c>
      <c r="JI7" t="s">
        <v>363</v>
      </c>
      <c r="JJ7" t="s">
        <v>366</v>
      </c>
      <c r="JK7" t="s">
        <v>366</v>
      </c>
      <c r="JL7" t="s">
        <v>366</v>
      </c>
      <c r="JM7" t="s">
        <v>366</v>
      </c>
      <c r="JN7" t="s">
        <v>371</v>
      </c>
      <c r="JO7" t="s">
        <v>371</v>
      </c>
      <c r="JP7" t="s">
        <v>371</v>
      </c>
      <c r="JQ7" t="s">
        <v>371</v>
      </c>
      <c r="JR7" t="s">
        <v>371</v>
      </c>
      <c r="JS7" t="s">
        <v>371</v>
      </c>
      <c r="JT7" t="s">
        <v>378</v>
      </c>
      <c r="JU7" t="s">
        <v>381</v>
      </c>
      <c r="JV7" t="s">
        <v>383</v>
      </c>
      <c r="JW7" t="s">
        <v>383</v>
      </c>
      <c r="JX7" t="s">
        <v>2233</v>
      </c>
      <c r="JY7" t="s">
        <v>2413</v>
      </c>
      <c r="JZ7" t="s">
        <v>2234</v>
      </c>
      <c r="KA7" t="s">
        <v>2385</v>
      </c>
      <c r="KB7" t="s">
        <v>2385</v>
      </c>
      <c r="KC7" t="s">
        <v>2385</v>
      </c>
      <c r="KD7" t="s">
        <v>393</v>
      </c>
      <c r="KE7" t="s">
        <v>393</v>
      </c>
      <c r="KF7" t="s">
        <v>393</v>
      </c>
      <c r="KG7" t="s">
        <v>2235</v>
      </c>
      <c r="KH7" t="s">
        <v>2235</v>
      </c>
      <c r="KI7" t="s">
        <v>399</v>
      </c>
      <c r="KJ7" t="s">
        <v>401</v>
      </c>
      <c r="KK7" t="s">
        <v>403</v>
      </c>
      <c r="KL7" t="s">
        <v>403</v>
      </c>
      <c r="KM7" t="s">
        <v>403</v>
      </c>
      <c r="KN7" t="s">
        <v>403</v>
      </c>
      <c r="KO7" t="s">
        <v>2236</v>
      </c>
      <c r="KP7" t="s">
        <v>2236</v>
      </c>
      <c r="KQ7" t="s">
        <v>2236</v>
      </c>
      <c r="KR7" t="s">
        <v>2236</v>
      </c>
      <c r="KS7" t="s">
        <v>412</v>
      </c>
      <c r="KT7" t="s">
        <v>414</v>
      </c>
      <c r="KU7" t="s">
        <v>414</v>
      </c>
      <c r="KV7" t="s">
        <v>414</v>
      </c>
      <c r="KW7" t="s">
        <v>418</v>
      </c>
      <c r="KX7" t="s">
        <v>418</v>
      </c>
      <c r="KY7" t="s">
        <v>2414</v>
      </c>
      <c r="KZ7" t="s">
        <v>2415</v>
      </c>
      <c r="LA7" t="s">
        <v>2415</v>
      </c>
      <c r="LB7" t="s">
        <v>2415</v>
      </c>
      <c r="LC7" t="s">
        <v>2237</v>
      </c>
      <c r="LD7" t="s">
        <v>2237</v>
      </c>
      <c r="LE7" t="s">
        <v>2237</v>
      </c>
      <c r="LF7" t="s">
        <v>2237</v>
      </c>
      <c r="LG7" t="s">
        <v>2237</v>
      </c>
      <c r="LH7" t="s">
        <v>429</v>
      </c>
      <c r="LI7" t="s">
        <v>429</v>
      </c>
      <c r="LJ7" t="s">
        <v>429</v>
      </c>
      <c r="LK7" t="s">
        <v>2238</v>
      </c>
      <c r="LL7" t="s">
        <v>434</v>
      </c>
      <c r="LM7" t="s">
        <v>434</v>
      </c>
      <c r="LN7" t="s">
        <v>437</v>
      </c>
      <c r="LO7" t="s">
        <v>437</v>
      </c>
      <c r="LP7" t="s">
        <v>437</v>
      </c>
      <c r="LQ7" t="s">
        <v>437</v>
      </c>
      <c r="LR7" t="s">
        <v>442</v>
      </c>
      <c r="LS7" t="s">
        <v>442</v>
      </c>
      <c r="LT7" t="s">
        <v>442</v>
      </c>
      <c r="LU7" t="s">
        <v>446</v>
      </c>
      <c r="LV7" t="s">
        <v>448</v>
      </c>
      <c r="LW7" t="s">
        <v>448</v>
      </c>
      <c r="LX7" t="s">
        <v>2239</v>
      </c>
      <c r="LY7" t="s">
        <v>452</v>
      </c>
      <c r="LZ7" t="s">
        <v>454</v>
      </c>
      <c r="MA7" t="s">
        <v>456</v>
      </c>
      <c r="MB7" t="s">
        <v>456</v>
      </c>
      <c r="MC7" t="s">
        <v>459</v>
      </c>
      <c r="MD7" t="s">
        <v>459</v>
      </c>
      <c r="ME7" t="s">
        <v>462</v>
      </c>
      <c r="MF7" t="s">
        <v>464</v>
      </c>
      <c r="MG7" t="s">
        <v>464</v>
      </c>
      <c r="MH7" t="s">
        <v>464</v>
      </c>
      <c r="MI7" t="s">
        <v>469</v>
      </c>
      <c r="MJ7" t="s">
        <v>469</v>
      </c>
      <c r="MK7" t="s">
        <v>472</v>
      </c>
      <c r="ML7" t="s">
        <v>2240</v>
      </c>
      <c r="MM7" t="s">
        <v>476</v>
      </c>
      <c r="MN7" t="s">
        <v>476</v>
      </c>
      <c r="MO7" t="s">
        <v>476</v>
      </c>
      <c r="MP7" t="s">
        <v>476</v>
      </c>
      <c r="MQ7" t="s">
        <v>481</v>
      </c>
      <c r="MR7" t="s">
        <v>481</v>
      </c>
      <c r="MS7" t="s">
        <v>481</v>
      </c>
      <c r="MT7" t="s">
        <v>485</v>
      </c>
      <c r="MU7" t="s">
        <v>485</v>
      </c>
      <c r="MV7" t="s">
        <v>488</v>
      </c>
      <c r="MW7" t="s">
        <v>490</v>
      </c>
      <c r="MX7" t="s">
        <v>2241</v>
      </c>
      <c r="MY7" t="s">
        <v>2241</v>
      </c>
      <c r="MZ7" t="s">
        <v>2241</v>
      </c>
      <c r="NA7" t="s">
        <v>495</v>
      </c>
      <c r="NB7" t="s">
        <v>497</v>
      </c>
      <c r="NC7" t="s">
        <v>497</v>
      </c>
      <c r="ND7" t="s">
        <v>501</v>
      </c>
      <c r="NE7" t="s">
        <v>501</v>
      </c>
      <c r="NF7" t="s">
        <v>504</v>
      </c>
      <c r="NG7" t="s">
        <v>506</v>
      </c>
      <c r="NH7" t="s">
        <v>2416</v>
      </c>
      <c r="NI7" t="s">
        <v>2416</v>
      </c>
      <c r="NJ7" t="s">
        <v>2242</v>
      </c>
      <c r="NK7" t="s">
        <v>513</v>
      </c>
      <c r="NL7" t="s">
        <v>515</v>
      </c>
      <c r="NM7" t="s">
        <v>515</v>
      </c>
      <c r="NN7" t="s">
        <v>518</v>
      </c>
      <c r="NO7" t="s">
        <v>518</v>
      </c>
      <c r="NP7" t="s">
        <v>2476</v>
      </c>
      <c r="NQ7" t="s">
        <v>2476</v>
      </c>
      <c r="NR7" t="s">
        <v>524</v>
      </c>
      <c r="NS7" t="s">
        <v>524</v>
      </c>
      <c r="NT7" t="s">
        <v>527</v>
      </c>
      <c r="NU7" t="s">
        <v>527</v>
      </c>
      <c r="NV7" t="s">
        <v>530</v>
      </c>
      <c r="NW7" t="s">
        <v>530</v>
      </c>
      <c r="NX7" t="s">
        <v>533</v>
      </c>
      <c r="NY7" t="s">
        <v>535</v>
      </c>
      <c r="NZ7" t="s">
        <v>535</v>
      </c>
      <c r="OA7" t="s">
        <v>538</v>
      </c>
      <c r="OB7" t="s">
        <v>538</v>
      </c>
      <c r="OC7" t="s">
        <v>540</v>
      </c>
      <c r="OD7" t="s">
        <v>540</v>
      </c>
      <c r="OE7" t="s">
        <v>544</v>
      </c>
      <c r="OF7" t="s">
        <v>2243</v>
      </c>
      <c r="OG7" t="s">
        <v>2243</v>
      </c>
      <c r="OH7" t="s">
        <v>2243</v>
      </c>
      <c r="OI7" t="s">
        <v>549</v>
      </c>
      <c r="OJ7" t="s">
        <v>549</v>
      </c>
      <c r="OK7" t="s">
        <v>549</v>
      </c>
      <c r="OL7" t="s">
        <v>554</v>
      </c>
      <c r="OM7" t="s">
        <v>2477</v>
      </c>
      <c r="ON7" t="s">
        <v>2477</v>
      </c>
      <c r="OO7" t="s">
        <v>2244</v>
      </c>
      <c r="OP7" t="s">
        <v>2417</v>
      </c>
      <c r="OQ7" t="s">
        <v>2417</v>
      </c>
      <c r="OR7" t="s">
        <v>562</v>
      </c>
      <c r="OS7" t="s">
        <v>562</v>
      </c>
      <c r="OT7" t="s">
        <v>562</v>
      </c>
      <c r="OU7" t="s">
        <v>562</v>
      </c>
      <c r="OV7" t="s">
        <v>2245</v>
      </c>
      <c r="OW7" t="s">
        <v>2245</v>
      </c>
      <c r="OX7" t="s">
        <v>2245</v>
      </c>
      <c r="OY7" t="s">
        <v>570</v>
      </c>
      <c r="OZ7" t="s">
        <v>570</v>
      </c>
      <c r="PA7" t="s">
        <v>2246</v>
      </c>
      <c r="PB7" t="s">
        <v>574</v>
      </c>
      <c r="PC7" t="s">
        <v>574</v>
      </c>
      <c r="PD7" t="s">
        <v>577</v>
      </c>
      <c r="PE7" t="s">
        <v>577</v>
      </c>
      <c r="PF7" t="s">
        <v>2247</v>
      </c>
      <c r="PG7" t="s">
        <v>2247</v>
      </c>
      <c r="PH7" t="s">
        <v>2247</v>
      </c>
      <c r="PI7" t="s">
        <v>583</v>
      </c>
      <c r="PJ7" t="s">
        <v>584</v>
      </c>
      <c r="PK7" t="s">
        <v>2248</v>
      </c>
      <c r="PL7" t="s">
        <v>2248</v>
      </c>
      <c r="PM7" t="s">
        <v>2248</v>
      </c>
      <c r="PN7" t="s">
        <v>2418</v>
      </c>
      <c r="PO7" t="s">
        <v>2418</v>
      </c>
      <c r="PP7" t="s">
        <v>2418</v>
      </c>
      <c r="PQ7" t="s">
        <v>2249</v>
      </c>
      <c r="PR7" t="s">
        <v>2250</v>
      </c>
      <c r="PS7" t="s">
        <v>594</v>
      </c>
      <c r="PT7" t="s">
        <v>596</v>
      </c>
      <c r="PU7" t="s">
        <v>596</v>
      </c>
      <c r="PV7" t="s">
        <v>596</v>
      </c>
      <c r="PW7" t="s">
        <v>2251</v>
      </c>
      <c r="PX7" t="s">
        <v>2251</v>
      </c>
      <c r="PY7" t="s">
        <v>2419</v>
      </c>
      <c r="PZ7" t="s">
        <v>603</v>
      </c>
      <c r="QA7" t="s">
        <v>603</v>
      </c>
      <c r="QB7" t="s">
        <v>603</v>
      </c>
      <c r="QC7" t="s">
        <v>603</v>
      </c>
      <c r="QD7" t="s">
        <v>607</v>
      </c>
      <c r="QE7" t="s">
        <v>607</v>
      </c>
      <c r="QF7" t="s">
        <v>607</v>
      </c>
      <c r="QG7" t="s">
        <v>607</v>
      </c>
      <c r="QH7" t="s">
        <v>612</v>
      </c>
      <c r="QI7" t="s">
        <v>612</v>
      </c>
      <c r="QJ7" t="s">
        <v>615</v>
      </c>
      <c r="QK7" t="s">
        <v>615</v>
      </c>
      <c r="QL7" t="s">
        <v>618</v>
      </c>
      <c r="QM7" t="s">
        <v>2252</v>
      </c>
      <c r="QN7" t="s">
        <v>2252</v>
      </c>
      <c r="QO7" t="s">
        <v>622</v>
      </c>
      <c r="QP7" t="s">
        <v>2253</v>
      </c>
      <c r="QQ7" t="s">
        <v>2253</v>
      </c>
      <c r="QR7" t="s">
        <v>626</v>
      </c>
      <c r="QS7" t="s">
        <v>628</v>
      </c>
      <c r="QT7" t="s">
        <v>2400</v>
      </c>
      <c r="QU7" t="s">
        <v>2420</v>
      </c>
      <c r="QV7" t="s">
        <v>2420</v>
      </c>
      <c r="QW7" t="s">
        <v>2420</v>
      </c>
      <c r="QX7" t="s">
        <v>2420</v>
      </c>
      <c r="QY7" t="s">
        <v>2420</v>
      </c>
      <c r="QZ7" t="s">
        <v>2420</v>
      </c>
      <c r="RA7" t="s">
        <v>2420</v>
      </c>
      <c r="RB7" t="s">
        <v>638</v>
      </c>
      <c r="RC7" t="s">
        <v>640</v>
      </c>
      <c r="RD7" t="s">
        <v>642</v>
      </c>
      <c r="RE7" t="s">
        <v>644</v>
      </c>
      <c r="RF7" t="s">
        <v>646</v>
      </c>
      <c r="RG7" t="s">
        <v>646</v>
      </c>
      <c r="RH7" t="s">
        <v>646</v>
      </c>
      <c r="RI7" t="s">
        <v>650</v>
      </c>
      <c r="RJ7" t="s">
        <v>650</v>
      </c>
      <c r="RK7" t="s">
        <v>654</v>
      </c>
      <c r="RL7" t="s">
        <v>2421</v>
      </c>
      <c r="RM7" t="s">
        <v>657</v>
      </c>
      <c r="RN7" t="s">
        <v>659</v>
      </c>
      <c r="RO7" t="s">
        <v>659</v>
      </c>
      <c r="RP7" t="s">
        <v>662</v>
      </c>
      <c r="RQ7" t="s">
        <v>664</v>
      </c>
      <c r="RR7" t="s">
        <v>664</v>
      </c>
      <c r="RS7" t="s">
        <v>667</v>
      </c>
      <c r="RT7" t="s">
        <v>669</v>
      </c>
      <c r="RU7" t="s">
        <v>671</v>
      </c>
      <c r="RV7" t="s">
        <v>671</v>
      </c>
      <c r="RW7" t="s">
        <v>671</v>
      </c>
      <c r="RX7" t="s">
        <v>675</v>
      </c>
      <c r="RY7" t="s">
        <v>677</v>
      </c>
      <c r="RZ7" t="s">
        <v>677</v>
      </c>
      <c r="SA7" t="s">
        <v>677</v>
      </c>
      <c r="SB7" t="s">
        <v>682</v>
      </c>
      <c r="SC7" t="s">
        <v>2422</v>
      </c>
      <c r="SD7" t="s">
        <v>2422</v>
      </c>
      <c r="SE7" t="s">
        <v>2422</v>
      </c>
      <c r="SF7" t="s">
        <v>687</v>
      </c>
      <c r="SG7" t="s">
        <v>689</v>
      </c>
      <c r="SH7" t="s">
        <v>689</v>
      </c>
      <c r="SI7" t="s">
        <v>692</v>
      </c>
      <c r="SJ7" t="s">
        <v>695</v>
      </c>
      <c r="SK7" t="s">
        <v>697</v>
      </c>
      <c r="SL7" t="s">
        <v>697</v>
      </c>
      <c r="SM7" t="s">
        <v>2254</v>
      </c>
      <c r="SN7" t="s">
        <v>701</v>
      </c>
      <c r="SO7" t="s">
        <v>701</v>
      </c>
      <c r="SP7" t="s">
        <v>701</v>
      </c>
      <c r="SQ7" t="s">
        <v>701</v>
      </c>
      <c r="SR7" t="s">
        <v>701</v>
      </c>
      <c r="SS7" t="s">
        <v>2255</v>
      </c>
      <c r="ST7" t="s">
        <v>708</v>
      </c>
      <c r="SU7" t="s">
        <v>710</v>
      </c>
      <c r="SV7" t="s">
        <v>710</v>
      </c>
      <c r="SW7" t="s">
        <v>713</v>
      </c>
      <c r="SX7" t="s">
        <v>2256</v>
      </c>
      <c r="SY7" t="s">
        <v>2256</v>
      </c>
      <c r="SZ7" t="s">
        <v>717</v>
      </c>
      <c r="TA7" t="s">
        <v>719</v>
      </c>
      <c r="TB7" t="s">
        <v>721</v>
      </c>
      <c r="TC7" t="s">
        <v>723</v>
      </c>
      <c r="TD7" t="s">
        <v>725</v>
      </c>
      <c r="TE7" t="s">
        <v>727</v>
      </c>
      <c r="TF7" t="s">
        <v>727</v>
      </c>
      <c r="TG7" t="s">
        <v>730</v>
      </c>
      <c r="TH7" t="s">
        <v>732</v>
      </c>
      <c r="TI7" t="s">
        <v>734</v>
      </c>
      <c r="TJ7" t="s">
        <v>736</v>
      </c>
      <c r="TK7" t="s">
        <v>736</v>
      </c>
      <c r="TL7" t="s">
        <v>739</v>
      </c>
      <c r="TM7" t="s">
        <v>741</v>
      </c>
      <c r="TN7" t="s">
        <v>741</v>
      </c>
      <c r="TO7" t="s">
        <v>744</v>
      </c>
      <c r="TP7" t="s">
        <v>744</v>
      </c>
      <c r="TQ7" t="s">
        <v>744</v>
      </c>
      <c r="TR7" t="s">
        <v>748</v>
      </c>
      <c r="TS7" t="s">
        <v>750</v>
      </c>
      <c r="TT7" t="s">
        <v>2257</v>
      </c>
      <c r="TU7" t="s">
        <v>753</v>
      </c>
      <c r="TV7" t="s">
        <v>755</v>
      </c>
      <c r="TW7" t="s">
        <v>757</v>
      </c>
      <c r="TX7" t="s">
        <v>759</v>
      </c>
      <c r="TY7" t="s">
        <v>761</v>
      </c>
      <c r="TZ7" t="s">
        <v>764</v>
      </c>
      <c r="UA7" t="s">
        <v>766</v>
      </c>
      <c r="UB7" t="s">
        <v>768</v>
      </c>
      <c r="UC7" t="s">
        <v>768</v>
      </c>
      <c r="UD7" t="s">
        <v>768</v>
      </c>
      <c r="UE7" t="s">
        <v>772</v>
      </c>
      <c r="UF7" t="s">
        <v>772</v>
      </c>
      <c r="UG7" t="s">
        <v>775</v>
      </c>
      <c r="UH7" t="s">
        <v>777</v>
      </c>
      <c r="UI7" t="s">
        <v>777</v>
      </c>
      <c r="UJ7" t="s">
        <v>2258</v>
      </c>
      <c r="UK7" t="s">
        <v>781</v>
      </c>
      <c r="UL7" t="s">
        <v>783</v>
      </c>
      <c r="UM7" t="s">
        <v>783</v>
      </c>
      <c r="UN7" t="s">
        <v>2423</v>
      </c>
      <c r="UO7" t="s">
        <v>787</v>
      </c>
      <c r="UP7" t="s">
        <v>789</v>
      </c>
      <c r="UQ7" t="s">
        <v>789</v>
      </c>
      <c r="UR7" t="s">
        <v>2259</v>
      </c>
      <c r="US7" t="s">
        <v>2478</v>
      </c>
      <c r="UT7" t="s">
        <v>2478</v>
      </c>
      <c r="UU7" t="s">
        <v>2478</v>
      </c>
      <c r="UV7" t="s">
        <v>795</v>
      </c>
      <c r="UW7" t="s">
        <v>797</v>
      </c>
      <c r="UX7" t="s">
        <v>797</v>
      </c>
      <c r="UY7" t="s">
        <v>800</v>
      </c>
      <c r="UZ7" t="s">
        <v>2260</v>
      </c>
      <c r="VA7" t="s">
        <v>803</v>
      </c>
      <c r="VB7" t="s">
        <v>803</v>
      </c>
      <c r="VC7" t="s">
        <v>803</v>
      </c>
      <c r="VD7" t="s">
        <v>2261</v>
      </c>
      <c r="VE7" t="s">
        <v>808</v>
      </c>
      <c r="VF7" t="s">
        <v>808</v>
      </c>
      <c r="VG7" t="s">
        <v>808</v>
      </c>
      <c r="VH7" t="s">
        <v>808</v>
      </c>
      <c r="VI7" t="s">
        <v>808</v>
      </c>
      <c r="VJ7" t="s">
        <v>808</v>
      </c>
      <c r="VK7" t="s">
        <v>808</v>
      </c>
      <c r="VL7" t="s">
        <v>808</v>
      </c>
      <c r="VM7" t="s">
        <v>818</v>
      </c>
      <c r="VN7" t="s">
        <v>818</v>
      </c>
      <c r="VO7" t="s">
        <v>818</v>
      </c>
      <c r="VP7" t="s">
        <v>822</v>
      </c>
      <c r="VQ7" t="s">
        <v>822</v>
      </c>
      <c r="VR7" t="s">
        <v>2386</v>
      </c>
      <c r="VS7" t="s">
        <v>827</v>
      </c>
      <c r="VT7" t="s">
        <v>827</v>
      </c>
      <c r="VU7" t="s">
        <v>2424</v>
      </c>
      <c r="VV7" t="s">
        <v>831</v>
      </c>
      <c r="VW7" t="s">
        <v>2262</v>
      </c>
      <c r="VX7" t="s">
        <v>2262</v>
      </c>
      <c r="VY7" t="s">
        <v>834</v>
      </c>
      <c r="VZ7" t="s">
        <v>836</v>
      </c>
      <c r="WA7" t="s">
        <v>836</v>
      </c>
      <c r="WB7" t="s">
        <v>836</v>
      </c>
      <c r="WC7" t="s">
        <v>2425</v>
      </c>
      <c r="WD7" t="s">
        <v>841</v>
      </c>
      <c r="WE7" t="s">
        <v>841</v>
      </c>
      <c r="WF7" t="s">
        <v>844</v>
      </c>
      <c r="WG7" t="s">
        <v>844</v>
      </c>
      <c r="WH7" t="s">
        <v>846</v>
      </c>
      <c r="WI7" t="s">
        <v>846</v>
      </c>
      <c r="WJ7" t="s">
        <v>846</v>
      </c>
      <c r="WK7" t="s">
        <v>846</v>
      </c>
      <c r="WL7" t="s">
        <v>2426</v>
      </c>
      <c r="WM7" t="s">
        <v>2426</v>
      </c>
      <c r="WN7" t="s">
        <v>851</v>
      </c>
      <c r="WO7" t="s">
        <v>2263</v>
      </c>
      <c r="WP7" t="s">
        <v>2263</v>
      </c>
      <c r="WQ7" t="s">
        <v>2263</v>
      </c>
      <c r="WR7" t="s">
        <v>856</v>
      </c>
      <c r="WS7" t="s">
        <v>856</v>
      </c>
      <c r="WT7" t="s">
        <v>859</v>
      </c>
      <c r="WU7" t="s">
        <v>861</v>
      </c>
      <c r="WV7" t="s">
        <v>861</v>
      </c>
      <c r="WW7" t="s">
        <v>864</v>
      </c>
      <c r="WX7" t="s">
        <v>864</v>
      </c>
      <c r="WY7" t="s">
        <v>867</v>
      </c>
      <c r="WZ7" t="s">
        <v>869</v>
      </c>
      <c r="XA7" t="s">
        <v>871</v>
      </c>
      <c r="XB7" t="s">
        <v>873</v>
      </c>
      <c r="XC7" t="s">
        <v>873</v>
      </c>
      <c r="XD7" t="s">
        <v>873</v>
      </c>
      <c r="XE7" t="s">
        <v>877</v>
      </c>
      <c r="XF7" t="s">
        <v>879</v>
      </c>
      <c r="XG7" t="s">
        <v>879</v>
      </c>
      <c r="XH7" t="s">
        <v>879</v>
      </c>
      <c r="XI7" t="s">
        <v>2264</v>
      </c>
      <c r="XJ7" t="s">
        <v>2264</v>
      </c>
      <c r="XK7" t="s">
        <v>885</v>
      </c>
      <c r="XL7" t="s">
        <v>2427</v>
      </c>
      <c r="XM7" t="s">
        <v>2427</v>
      </c>
      <c r="XN7" t="s">
        <v>2427</v>
      </c>
      <c r="XO7" t="s">
        <v>2427</v>
      </c>
      <c r="XP7" t="s">
        <v>2265</v>
      </c>
      <c r="XQ7" t="s">
        <v>892</v>
      </c>
      <c r="XR7" t="s">
        <v>892</v>
      </c>
      <c r="XS7" t="s">
        <v>892</v>
      </c>
      <c r="XT7" t="s">
        <v>896</v>
      </c>
      <c r="XU7" t="s">
        <v>2266</v>
      </c>
      <c r="XV7" t="s">
        <v>2266</v>
      </c>
      <c r="XW7" t="s">
        <v>2266</v>
      </c>
      <c r="XX7" t="s">
        <v>901</v>
      </c>
      <c r="XY7" t="s">
        <v>901</v>
      </c>
      <c r="XZ7" t="s">
        <v>904</v>
      </c>
      <c r="YA7" t="s">
        <v>904</v>
      </c>
      <c r="YB7" t="s">
        <v>907</v>
      </c>
      <c r="YC7" t="s">
        <v>907</v>
      </c>
      <c r="YD7" t="s">
        <v>910</v>
      </c>
      <c r="YE7" t="s">
        <v>910</v>
      </c>
      <c r="YF7" t="s">
        <v>913</v>
      </c>
      <c r="YG7" t="s">
        <v>913</v>
      </c>
      <c r="YH7" t="s">
        <v>913</v>
      </c>
      <c r="YI7" t="s">
        <v>917</v>
      </c>
      <c r="YJ7" t="s">
        <v>917</v>
      </c>
      <c r="YK7" t="s">
        <v>917</v>
      </c>
      <c r="YL7" t="s">
        <v>917</v>
      </c>
      <c r="YM7" t="s">
        <v>917</v>
      </c>
      <c r="YN7" t="s">
        <v>923</v>
      </c>
      <c r="YO7" t="s">
        <v>923</v>
      </c>
      <c r="YP7" t="s">
        <v>923</v>
      </c>
      <c r="YQ7" t="s">
        <v>923</v>
      </c>
      <c r="YR7" t="s">
        <v>923</v>
      </c>
      <c r="YS7" t="s">
        <v>928</v>
      </c>
      <c r="YT7" t="s">
        <v>930</v>
      </c>
      <c r="YU7" t="s">
        <v>930</v>
      </c>
      <c r="YV7" t="s">
        <v>933</v>
      </c>
      <c r="YW7" t="s">
        <v>2428</v>
      </c>
      <c r="YX7" t="s">
        <v>936</v>
      </c>
      <c r="YY7" t="s">
        <v>936</v>
      </c>
      <c r="YZ7" t="s">
        <v>936</v>
      </c>
      <c r="ZA7" t="s">
        <v>2429</v>
      </c>
      <c r="ZB7" t="s">
        <v>941</v>
      </c>
      <c r="ZC7" t="s">
        <v>941</v>
      </c>
      <c r="ZD7" t="s">
        <v>941</v>
      </c>
      <c r="ZE7" t="s">
        <v>945</v>
      </c>
      <c r="ZF7" t="s">
        <v>2470</v>
      </c>
      <c r="ZG7" t="s">
        <v>2470</v>
      </c>
      <c r="ZH7" t="s">
        <v>949</v>
      </c>
      <c r="ZI7" t="s">
        <v>949</v>
      </c>
      <c r="ZJ7" t="s">
        <v>2267</v>
      </c>
      <c r="ZK7" t="s">
        <v>2267</v>
      </c>
      <c r="ZL7" t="s">
        <v>954</v>
      </c>
      <c r="ZM7" t="s">
        <v>956</v>
      </c>
      <c r="ZN7" t="s">
        <v>956</v>
      </c>
      <c r="ZO7" t="s">
        <v>958</v>
      </c>
      <c r="ZP7" t="s">
        <v>960</v>
      </c>
      <c r="ZQ7" t="s">
        <v>962</v>
      </c>
      <c r="ZR7" t="s">
        <v>962</v>
      </c>
      <c r="ZS7" t="s">
        <v>2268</v>
      </c>
      <c r="ZT7" t="s">
        <v>2268</v>
      </c>
      <c r="ZU7" t="s">
        <v>965</v>
      </c>
      <c r="ZV7" t="s">
        <v>968</v>
      </c>
      <c r="ZW7" t="s">
        <v>968</v>
      </c>
      <c r="ZX7" t="s">
        <v>971</v>
      </c>
      <c r="ZY7" t="s">
        <v>2269</v>
      </c>
      <c r="ZZ7" t="s">
        <v>2269</v>
      </c>
      <c r="AAA7" t="s">
        <v>2269</v>
      </c>
      <c r="AAB7" t="s">
        <v>976</v>
      </c>
      <c r="AAC7" t="s">
        <v>976</v>
      </c>
      <c r="AAD7" t="s">
        <v>976</v>
      </c>
      <c r="AAE7" t="s">
        <v>2270</v>
      </c>
      <c r="AAF7" t="s">
        <v>981</v>
      </c>
      <c r="AAG7" t="s">
        <v>983</v>
      </c>
      <c r="AAH7" t="s">
        <v>983</v>
      </c>
      <c r="AAI7" t="s">
        <v>986</v>
      </c>
      <c r="AAJ7" t="s">
        <v>986</v>
      </c>
      <c r="AAK7" t="s">
        <v>2271</v>
      </c>
      <c r="AAL7" t="s">
        <v>2271</v>
      </c>
      <c r="AAM7" t="s">
        <v>2271</v>
      </c>
      <c r="AAN7" t="s">
        <v>2271</v>
      </c>
      <c r="AAO7" t="s">
        <v>2272</v>
      </c>
      <c r="AAP7" t="s">
        <v>2272</v>
      </c>
      <c r="AAQ7" t="s">
        <v>2272</v>
      </c>
      <c r="AAR7" t="s">
        <v>2273</v>
      </c>
      <c r="AAS7" t="s">
        <v>2430</v>
      </c>
      <c r="AAT7" t="s">
        <v>998</v>
      </c>
      <c r="AAU7" t="s">
        <v>998</v>
      </c>
      <c r="AAV7" t="s">
        <v>998</v>
      </c>
      <c r="AAW7" t="s">
        <v>2401</v>
      </c>
      <c r="AAX7" t="s">
        <v>1003</v>
      </c>
      <c r="AAY7" t="s">
        <v>2274</v>
      </c>
      <c r="AAZ7" t="s">
        <v>2275</v>
      </c>
      <c r="ABA7" t="s">
        <v>2275</v>
      </c>
      <c r="ABB7" t="s">
        <v>2275</v>
      </c>
      <c r="ABC7" t="s">
        <v>2276</v>
      </c>
      <c r="ABD7" t="s">
        <v>2276</v>
      </c>
      <c r="ABE7" t="s">
        <v>2276</v>
      </c>
      <c r="ABF7" t="s">
        <v>1012</v>
      </c>
      <c r="ABG7" t="s">
        <v>1014</v>
      </c>
      <c r="ABH7" t="s">
        <v>1016</v>
      </c>
      <c r="ABI7" t="s">
        <v>1016</v>
      </c>
      <c r="ABJ7" t="s">
        <v>1019</v>
      </c>
      <c r="ABK7" t="s">
        <v>1019</v>
      </c>
      <c r="ABL7" t="s">
        <v>1019</v>
      </c>
      <c r="ABM7" t="s">
        <v>2277</v>
      </c>
      <c r="ABN7" t="s">
        <v>2277</v>
      </c>
      <c r="ABO7" t="s">
        <v>2278</v>
      </c>
      <c r="ABP7" t="s">
        <v>2431</v>
      </c>
      <c r="ABQ7" t="s">
        <v>1027</v>
      </c>
      <c r="ABR7" t="s">
        <v>1027</v>
      </c>
      <c r="ABS7" t="s">
        <v>1030</v>
      </c>
      <c r="ABT7" t="s">
        <v>1030</v>
      </c>
      <c r="ABU7" t="s">
        <v>1033</v>
      </c>
      <c r="ABV7" t="s">
        <v>1033</v>
      </c>
      <c r="ABW7" t="s">
        <v>1036</v>
      </c>
      <c r="ABX7" t="s">
        <v>1036</v>
      </c>
      <c r="ABY7" t="s">
        <v>1039</v>
      </c>
      <c r="ABZ7" t="s">
        <v>1039</v>
      </c>
      <c r="ACA7" t="s">
        <v>1042</v>
      </c>
      <c r="ACB7" t="s">
        <v>1042</v>
      </c>
      <c r="ACC7" t="s">
        <v>1045</v>
      </c>
      <c r="ACD7" t="s">
        <v>1045</v>
      </c>
      <c r="ACE7" t="s">
        <v>2279</v>
      </c>
      <c r="ACF7" t="s">
        <v>2279</v>
      </c>
      <c r="ACG7" t="s">
        <v>1050</v>
      </c>
      <c r="ACH7" t="s">
        <v>2280</v>
      </c>
      <c r="ACI7" t="s">
        <v>1053</v>
      </c>
      <c r="ACJ7" t="s">
        <v>1053</v>
      </c>
      <c r="ACK7" t="s">
        <v>1056</v>
      </c>
      <c r="ACL7" t="s">
        <v>2281</v>
      </c>
      <c r="ACM7" t="s">
        <v>2281</v>
      </c>
      <c r="ACN7" t="s">
        <v>2402</v>
      </c>
      <c r="ACO7" t="s">
        <v>1061</v>
      </c>
      <c r="ACP7" t="s">
        <v>1063</v>
      </c>
      <c r="ACQ7" t="s">
        <v>1065</v>
      </c>
      <c r="ACR7" t="s">
        <v>1065</v>
      </c>
      <c r="ACS7" t="s">
        <v>1065</v>
      </c>
      <c r="ACT7" t="s">
        <v>1069</v>
      </c>
      <c r="ACU7" t="s">
        <v>1069</v>
      </c>
      <c r="ACV7" t="s">
        <v>1069</v>
      </c>
      <c r="ACW7" t="s">
        <v>1073</v>
      </c>
      <c r="ACX7" t="s">
        <v>1075</v>
      </c>
      <c r="ACY7" t="s">
        <v>1077</v>
      </c>
      <c r="ACZ7" t="s">
        <v>2282</v>
      </c>
      <c r="ADA7" t="s">
        <v>2282</v>
      </c>
      <c r="ADB7" t="s">
        <v>2282</v>
      </c>
      <c r="ADC7" t="s">
        <v>2282</v>
      </c>
      <c r="ADD7" t="s">
        <v>2479</v>
      </c>
      <c r="ADE7" t="s">
        <v>2479</v>
      </c>
      <c r="ADF7" t="s">
        <v>1085</v>
      </c>
      <c r="ADG7" t="s">
        <v>1085</v>
      </c>
      <c r="ADH7" t="s">
        <v>1088</v>
      </c>
      <c r="ADI7" t="s">
        <v>1088</v>
      </c>
      <c r="ADJ7" t="s">
        <v>1088</v>
      </c>
      <c r="ADK7" t="s">
        <v>1092</v>
      </c>
      <c r="ADL7" t="s">
        <v>1092</v>
      </c>
      <c r="ADM7" t="s">
        <v>1092</v>
      </c>
      <c r="ADN7" t="s">
        <v>1092</v>
      </c>
      <c r="ADO7" t="s">
        <v>1097</v>
      </c>
      <c r="ADP7" t="s">
        <v>1099</v>
      </c>
      <c r="ADQ7" t="s">
        <v>1099</v>
      </c>
      <c r="ADR7" t="s">
        <v>1099</v>
      </c>
      <c r="ADS7" t="s">
        <v>1099</v>
      </c>
      <c r="ADT7" t="s">
        <v>1099</v>
      </c>
      <c r="ADU7" t="s">
        <v>1105</v>
      </c>
      <c r="ADV7" t="s">
        <v>1105</v>
      </c>
      <c r="ADW7" t="s">
        <v>1108</v>
      </c>
      <c r="ADX7" t="s">
        <v>1108</v>
      </c>
      <c r="ADY7" t="s">
        <v>1108</v>
      </c>
      <c r="ADZ7" t="s">
        <v>1110</v>
      </c>
      <c r="AEA7" t="s">
        <v>1110</v>
      </c>
      <c r="AEB7" t="s">
        <v>2403</v>
      </c>
      <c r="AEC7" t="s">
        <v>2387</v>
      </c>
      <c r="AED7" t="s">
        <v>2387</v>
      </c>
      <c r="AEE7" t="s">
        <v>2387</v>
      </c>
      <c r="AEF7" t="s">
        <v>2432</v>
      </c>
      <c r="AEG7" t="s">
        <v>1118</v>
      </c>
      <c r="AEH7" t="s">
        <v>1120</v>
      </c>
      <c r="AEI7" t="s">
        <v>1122</v>
      </c>
      <c r="AEJ7" t="s">
        <v>2433</v>
      </c>
      <c r="AEK7" t="s">
        <v>2433</v>
      </c>
      <c r="AEL7" t="s">
        <v>1126</v>
      </c>
      <c r="AEM7" t="s">
        <v>1126</v>
      </c>
      <c r="AEN7" t="s">
        <v>1129</v>
      </c>
      <c r="AEO7" t="s">
        <v>2283</v>
      </c>
      <c r="AEP7" t="s">
        <v>1131</v>
      </c>
      <c r="AEQ7" t="s">
        <v>1131</v>
      </c>
      <c r="AER7" t="s">
        <v>1131</v>
      </c>
      <c r="AES7" t="s">
        <v>1131</v>
      </c>
      <c r="AET7" t="s">
        <v>2284</v>
      </c>
      <c r="AEU7" t="s">
        <v>2284</v>
      </c>
      <c r="AEV7" t="s">
        <v>1138</v>
      </c>
      <c r="AEW7" t="s">
        <v>1138</v>
      </c>
      <c r="AEX7" t="s">
        <v>1138</v>
      </c>
      <c r="AEY7" t="s">
        <v>1138</v>
      </c>
      <c r="AEZ7" t="s">
        <v>1138</v>
      </c>
      <c r="AFA7" t="s">
        <v>1144</v>
      </c>
      <c r="AFB7" t="s">
        <v>1144</v>
      </c>
      <c r="AFC7" t="s">
        <v>1144</v>
      </c>
      <c r="AFD7" t="s">
        <v>1144</v>
      </c>
      <c r="AFE7" t="s">
        <v>1144</v>
      </c>
      <c r="AFF7" t="s">
        <v>1150</v>
      </c>
      <c r="AFG7" t="s">
        <v>1150</v>
      </c>
      <c r="AFH7" t="s">
        <v>1150</v>
      </c>
      <c r="AFI7" t="s">
        <v>1150</v>
      </c>
      <c r="AFJ7" t="s">
        <v>1150</v>
      </c>
      <c r="AFK7" t="s">
        <v>1150</v>
      </c>
      <c r="AFL7" t="s">
        <v>1162</v>
      </c>
      <c r="AFM7" t="s">
        <v>2285</v>
      </c>
      <c r="AFN7" t="s">
        <v>1165</v>
      </c>
      <c r="AFO7" t="s">
        <v>1167</v>
      </c>
      <c r="AFP7" t="s">
        <v>1167</v>
      </c>
      <c r="AFQ7" t="s">
        <v>1170</v>
      </c>
      <c r="AFR7" t="s">
        <v>1173</v>
      </c>
      <c r="AFS7" t="s">
        <v>1173</v>
      </c>
      <c r="AFT7" t="s">
        <v>1176</v>
      </c>
      <c r="AFU7" t="s">
        <v>1176</v>
      </c>
      <c r="AFV7" t="s">
        <v>1176</v>
      </c>
      <c r="AFW7" t="s">
        <v>1176</v>
      </c>
      <c r="AFX7" t="s">
        <v>1176</v>
      </c>
      <c r="AFY7" t="s">
        <v>1176</v>
      </c>
      <c r="AFZ7" t="s">
        <v>1176</v>
      </c>
      <c r="AGA7" t="s">
        <v>1183</v>
      </c>
      <c r="AGB7" t="s">
        <v>1183</v>
      </c>
      <c r="AGC7" t="s">
        <v>1183</v>
      </c>
      <c r="AGD7" t="s">
        <v>1187</v>
      </c>
      <c r="AGE7" t="s">
        <v>1190</v>
      </c>
      <c r="AGF7" t="s">
        <v>1192</v>
      </c>
      <c r="AGG7" t="s">
        <v>1192</v>
      </c>
      <c r="AGH7" t="s">
        <v>1192</v>
      </c>
      <c r="AGI7" t="s">
        <v>1192</v>
      </c>
      <c r="AGJ7" t="s">
        <v>1197</v>
      </c>
      <c r="AGK7" t="s">
        <v>1197</v>
      </c>
      <c r="AGL7" t="s">
        <v>1199</v>
      </c>
      <c r="AGM7" t="s">
        <v>1201</v>
      </c>
      <c r="AGN7" t="s">
        <v>2286</v>
      </c>
      <c r="AGO7" t="s">
        <v>2286</v>
      </c>
      <c r="AGP7" t="s">
        <v>2286</v>
      </c>
      <c r="AGQ7" t="s">
        <v>2286</v>
      </c>
      <c r="AGR7" t="s">
        <v>2286</v>
      </c>
      <c r="AGS7" t="s">
        <v>2286</v>
      </c>
      <c r="AGT7" t="s">
        <v>1210</v>
      </c>
      <c r="AGU7" t="s">
        <v>2287</v>
      </c>
      <c r="AGV7" t="s">
        <v>2287</v>
      </c>
      <c r="AGW7" t="s">
        <v>1214</v>
      </c>
      <c r="AGX7" t="s">
        <v>1214</v>
      </c>
      <c r="AGY7" t="s">
        <v>1214</v>
      </c>
      <c r="AGZ7" t="s">
        <v>2434</v>
      </c>
      <c r="AHA7" t="s">
        <v>2435</v>
      </c>
      <c r="AHB7" t="s">
        <v>2435</v>
      </c>
      <c r="AHC7" t="s">
        <v>2435</v>
      </c>
      <c r="AHD7" t="s">
        <v>1222</v>
      </c>
      <c r="AHE7" t="s">
        <v>1222</v>
      </c>
      <c r="AHF7" t="s">
        <v>1225</v>
      </c>
      <c r="AHG7" t="s">
        <v>1227</v>
      </c>
      <c r="AHH7" t="s">
        <v>1227</v>
      </c>
      <c r="AHI7" t="s">
        <v>2436</v>
      </c>
      <c r="AHJ7" t="s">
        <v>2436</v>
      </c>
      <c r="AHK7" t="s">
        <v>1232</v>
      </c>
      <c r="AHL7" t="s">
        <v>2288</v>
      </c>
      <c r="AHM7" t="s">
        <v>2288</v>
      </c>
      <c r="AHN7" t="s">
        <v>2288</v>
      </c>
      <c r="AHO7" t="s">
        <v>2288</v>
      </c>
      <c r="AHP7" t="s">
        <v>2288</v>
      </c>
      <c r="AHQ7" t="s">
        <v>2288</v>
      </c>
      <c r="AHR7" t="s">
        <v>2289</v>
      </c>
      <c r="AHS7" t="s">
        <v>2289</v>
      </c>
      <c r="AHT7" t="s">
        <v>2289</v>
      </c>
      <c r="AHU7" t="s">
        <v>2289</v>
      </c>
      <c r="AHV7" t="s">
        <v>2289</v>
      </c>
      <c r="AHW7" t="s">
        <v>2290</v>
      </c>
      <c r="AHX7" t="s">
        <v>2290</v>
      </c>
      <c r="AHY7" t="s">
        <v>2290</v>
      </c>
      <c r="AHZ7" t="s">
        <v>2290</v>
      </c>
      <c r="AIA7" t="s">
        <v>2480</v>
      </c>
      <c r="AIB7" t="s">
        <v>2291</v>
      </c>
      <c r="AIC7" t="s">
        <v>2291</v>
      </c>
      <c r="AID7" t="s">
        <v>1252</v>
      </c>
      <c r="AIE7" t="s">
        <v>1252</v>
      </c>
      <c r="AIF7" t="s">
        <v>1256</v>
      </c>
      <c r="AIG7" t="s">
        <v>1258</v>
      </c>
      <c r="AIH7" t="s">
        <v>1260</v>
      </c>
      <c r="AII7" t="s">
        <v>1260</v>
      </c>
      <c r="AIJ7" t="s">
        <v>1263</v>
      </c>
      <c r="AIK7" t="s">
        <v>1266</v>
      </c>
      <c r="AIL7" t="s">
        <v>1268</v>
      </c>
      <c r="AIM7" t="s">
        <v>1268</v>
      </c>
      <c r="AIN7" t="s">
        <v>1270</v>
      </c>
      <c r="AIO7" t="s">
        <v>1272</v>
      </c>
      <c r="AIP7" t="s">
        <v>1272</v>
      </c>
      <c r="AIQ7" t="s">
        <v>1272</v>
      </c>
      <c r="AIR7" t="s">
        <v>2292</v>
      </c>
      <c r="AIS7" t="s">
        <v>2292</v>
      </c>
      <c r="AIT7" t="s">
        <v>1278</v>
      </c>
      <c r="AIU7" t="s">
        <v>2437</v>
      </c>
      <c r="AIV7" t="s">
        <v>2437</v>
      </c>
      <c r="AIW7" t="s">
        <v>2293</v>
      </c>
      <c r="AIX7" t="s">
        <v>1283</v>
      </c>
      <c r="AIY7" t="s">
        <v>1285</v>
      </c>
      <c r="AIZ7" t="s">
        <v>1287</v>
      </c>
      <c r="AJA7" t="s">
        <v>2438</v>
      </c>
      <c r="AJB7" t="s">
        <v>2438</v>
      </c>
      <c r="AJC7" t="s">
        <v>2438</v>
      </c>
      <c r="AJD7" t="s">
        <v>2438</v>
      </c>
      <c r="AJE7" t="s">
        <v>1294</v>
      </c>
      <c r="AJF7" t="s">
        <v>1296</v>
      </c>
      <c r="AJG7" t="s">
        <v>2294</v>
      </c>
      <c r="AJH7" t="s">
        <v>2294</v>
      </c>
      <c r="AJI7" t="s">
        <v>2388</v>
      </c>
      <c r="AJJ7" t="s">
        <v>2388</v>
      </c>
      <c r="AJK7" t="s">
        <v>1301</v>
      </c>
      <c r="AJL7" t="s">
        <v>1303</v>
      </c>
      <c r="AJM7" t="s">
        <v>1305</v>
      </c>
      <c r="AJN7" t="s">
        <v>1306</v>
      </c>
      <c r="AJO7" t="s">
        <v>1306</v>
      </c>
      <c r="AJP7" t="s">
        <v>1309</v>
      </c>
      <c r="AJQ7" t="s">
        <v>1312</v>
      </c>
      <c r="AJR7" t="s">
        <v>1314</v>
      </c>
      <c r="AJS7" t="s">
        <v>1314</v>
      </c>
      <c r="AJT7" t="s">
        <v>2295</v>
      </c>
      <c r="AJU7" t="s">
        <v>2296</v>
      </c>
      <c r="AJV7" t="s">
        <v>2296</v>
      </c>
      <c r="AJW7" t="s">
        <v>2296</v>
      </c>
      <c r="AJX7" t="s">
        <v>1321</v>
      </c>
      <c r="AJY7" t="s">
        <v>1321</v>
      </c>
      <c r="AJZ7" t="s">
        <v>1324</v>
      </c>
      <c r="AKA7" t="s">
        <v>1326</v>
      </c>
      <c r="AKB7" t="s">
        <v>1326</v>
      </c>
      <c r="AKC7" t="s">
        <v>1326</v>
      </c>
      <c r="AKD7" t="s">
        <v>1326</v>
      </c>
      <c r="AKE7" t="s">
        <v>1331</v>
      </c>
      <c r="AKF7" t="s">
        <v>1331</v>
      </c>
      <c r="AKG7" t="s">
        <v>2297</v>
      </c>
      <c r="AKH7" t="s">
        <v>2297</v>
      </c>
      <c r="AKI7" t="s">
        <v>2297</v>
      </c>
      <c r="AKJ7" t="s">
        <v>2297</v>
      </c>
      <c r="AKK7" t="s">
        <v>2297</v>
      </c>
      <c r="AKL7" t="s">
        <v>2298</v>
      </c>
      <c r="AKM7" t="s">
        <v>2298</v>
      </c>
      <c r="AKN7" t="s">
        <v>2298</v>
      </c>
      <c r="AKO7" t="s">
        <v>1344</v>
      </c>
      <c r="AKP7" t="s">
        <v>1346</v>
      </c>
      <c r="AKQ7" t="s">
        <v>2299</v>
      </c>
      <c r="AKR7" t="s">
        <v>2299</v>
      </c>
      <c r="AKS7" t="s">
        <v>2299</v>
      </c>
      <c r="AKT7" t="s">
        <v>2299</v>
      </c>
      <c r="AKU7" t="s">
        <v>2300</v>
      </c>
      <c r="AKV7" t="s">
        <v>2300</v>
      </c>
      <c r="AKW7" t="s">
        <v>2389</v>
      </c>
      <c r="AKX7" t="s">
        <v>1354</v>
      </c>
      <c r="AKY7" t="s">
        <v>2301</v>
      </c>
      <c r="AKZ7" t="s">
        <v>2301</v>
      </c>
      <c r="ALA7" t="s">
        <v>1358</v>
      </c>
      <c r="ALB7" t="s">
        <v>1358</v>
      </c>
      <c r="ALC7" t="s">
        <v>2302</v>
      </c>
      <c r="ALD7" t="s">
        <v>2303</v>
      </c>
      <c r="ALE7" t="s">
        <v>2303</v>
      </c>
      <c r="ALF7" t="s">
        <v>1365</v>
      </c>
      <c r="ALG7" t="s">
        <v>1365</v>
      </c>
      <c r="ALH7" t="s">
        <v>1368</v>
      </c>
      <c r="ALI7" t="s">
        <v>1368</v>
      </c>
      <c r="ALJ7" t="s">
        <v>1368</v>
      </c>
      <c r="ALK7" t="s">
        <v>2390</v>
      </c>
      <c r="ALL7" t="s">
        <v>2390</v>
      </c>
      <c r="ALM7" t="s">
        <v>2390</v>
      </c>
      <c r="ALN7" t="s">
        <v>2390</v>
      </c>
      <c r="ALO7" t="s">
        <v>2304</v>
      </c>
      <c r="ALP7" t="s">
        <v>2304</v>
      </c>
      <c r="ALQ7" t="s">
        <v>2304</v>
      </c>
      <c r="ALR7" t="s">
        <v>2304</v>
      </c>
      <c r="ALS7" t="s">
        <v>2305</v>
      </c>
      <c r="ALT7" t="s">
        <v>2305</v>
      </c>
      <c r="ALU7" t="s">
        <v>1377</v>
      </c>
      <c r="ALV7" t="s">
        <v>2439</v>
      </c>
      <c r="ALW7" t="s">
        <v>1380</v>
      </c>
      <c r="ALX7" t="s">
        <v>1380</v>
      </c>
      <c r="ALY7" t="s">
        <v>1380</v>
      </c>
      <c r="ALZ7" t="s">
        <v>1380</v>
      </c>
      <c r="AMA7" t="s">
        <v>1385</v>
      </c>
      <c r="AMB7" t="s">
        <v>1385</v>
      </c>
      <c r="AMC7" t="s">
        <v>1385</v>
      </c>
      <c r="AMD7" t="s">
        <v>1385</v>
      </c>
      <c r="AME7" t="s">
        <v>1390</v>
      </c>
      <c r="AMF7" t="s">
        <v>1390</v>
      </c>
      <c r="AMG7" t="s">
        <v>2306</v>
      </c>
      <c r="AMH7" t="s">
        <v>1395</v>
      </c>
      <c r="AMI7" t="s">
        <v>1395</v>
      </c>
      <c r="AMJ7" t="s">
        <v>1398</v>
      </c>
      <c r="AMK7" t="s">
        <v>1400</v>
      </c>
      <c r="AML7" t="s">
        <v>1400</v>
      </c>
      <c r="AMM7" t="s">
        <v>2440</v>
      </c>
      <c r="AMN7" t="s">
        <v>2440</v>
      </c>
      <c r="AMO7" t="s">
        <v>1405</v>
      </c>
      <c r="AMP7" t="s">
        <v>2307</v>
      </c>
      <c r="AMQ7" t="s">
        <v>2307</v>
      </c>
      <c r="AMR7" t="s">
        <v>2307</v>
      </c>
      <c r="AMS7" t="s">
        <v>1410</v>
      </c>
      <c r="AMT7" t="s">
        <v>1412</v>
      </c>
      <c r="AMU7" t="s">
        <v>2308</v>
      </c>
      <c r="AMV7" t="s">
        <v>2441</v>
      </c>
      <c r="AMW7" t="s">
        <v>2442</v>
      </c>
      <c r="AMX7" t="s">
        <v>2309</v>
      </c>
      <c r="AMY7" t="s">
        <v>2309</v>
      </c>
      <c r="AMZ7" t="s">
        <v>2309</v>
      </c>
      <c r="ANA7" t="s">
        <v>1420</v>
      </c>
      <c r="ANB7" t="s">
        <v>2443</v>
      </c>
      <c r="ANC7" t="s">
        <v>1423</v>
      </c>
      <c r="AND7" t="s">
        <v>1423</v>
      </c>
      <c r="ANE7" t="s">
        <v>1426</v>
      </c>
      <c r="ANF7" t="s">
        <v>1426</v>
      </c>
      <c r="ANG7" t="s">
        <v>1426</v>
      </c>
      <c r="ANH7" t="s">
        <v>1430</v>
      </c>
      <c r="ANI7" t="s">
        <v>1432</v>
      </c>
      <c r="ANJ7" t="s">
        <v>2444</v>
      </c>
      <c r="ANK7" t="s">
        <v>1435</v>
      </c>
      <c r="ANL7" t="s">
        <v>2310</v>
      </c>
      <c r="ANM7" t="s">
        <v>2310</v>
      </c>
      <c r="ANN7" t="s">
        <v>2310</v>
      </c>
      <c r="ANO7" t="s">
        <v>2311</v>
      </c>
      <c r="ANP7" t="s">
        <v>2311</v>
      </c>
      <c r="ANQ7" t="s">
        <v>2312</v>
      </c>
      <c r="ANR7" t="s">
        <v>2312</v>
      </c>
      <c r="ANS7" t="s">
        <v>2312</v>
      </c>
      <c r="ANT7" t="s">
        <v>2445</v>
      </c>
      <c r="ANU7" t="s">
        <v>2445</v>
      </c>
      <c r="ANV7" t="s">
        <v>2445</v>
      </c>
      <c r="ANW7" t="s">
        <v>1447</v>
      </c>
      <c r="ANX7" t="s">
        <v>2313</v>
      </c>
      <c r="ANY7" t="s">
        <v>2313</v>
      </c>
      <c r="ANZ7" t="s">
        <v>2446</v>
      </c>
      <c r="AOA7" t="s">
        <v>2447</v>
      </c>
      <c r="AOB7" t="s">
        <v>1453</v>
      </c>
      <c r="AOC7" t="s">
        <v>1453</v>
      </c>
      <c r="AOD7" t="s">
        <v>1456</v>
      </c>
      <c r="AOE7" t="s">
        <v>1458</v>
      </c>
      <c r="AOF7" t="s">
        <v>1458</v>
      </c>
      <c r="AOG7" t="s">
        <v>2448</v>
      </c>
      <c r="AOH7" t="s">
        <v>2314</v>
      </c>
      <c r="AOI7" t="s">
        <v>2314</v>
      </c>
      <c r="AOJ7" t="s">
        <v>1464</v>
      </c>
      <c r="AOK7" t="s">
        <v>1466</v>
      </c>
      <c r="AOL7" t="s">
        <v>1466</v>
      </c>
      <c r="AOM7" t="s">
        <v>1466</v>
      </c>
      <c r="AON7" t="s">
        <v>1473</v>
      </c>
      <c r="AOO7" t="s">
        <v>2315</v>
      </c>
      <c r="AOP7" t="s">
        <v>2315</v>
      </c>
      <c r="AOQ7" t="s">
        <v>2315</v>
      </c>
      <c r="AOR7" t="s">
        <v>2315</v>
      </c>
      <c r="AOS7" t="s">
        <v>2449</v>
      </c>
      <c r="AOT7" t="s">
        <v>2449</v>
      </c>
      <c r="AOU7" t="s">
        <v>2316</v>
      </c>
      <c r="AOV7" t="s">
        <v>1483</v>
      </c>
      <c r="AOW7" t="s">
        <v>1483</v>
      </c>
      <c r="AOX7" t="s">
        <v>2317</v>
      </c>
      <c r="AOY7" t="s">
        <v>1487</v>
      </c>
      <c r="AOZ7" t="s">
        <v>1489</v>
      </c>
      <c r="APA7" t="s">
        <v>1489</v>
      </c>
      <c r="APB7" t="s">
        <v>1489</v>
      </c>
      <c r="APC7" t="s">
        <v>1493</v>
      </c>
      <c r="APD7" t="s">
        <v>1494</v>
      </c>
      <c r="APE7" t="s">
        <v>1497</v>
      </c>
      <c r="APF7" t="s">
        <v>1497</v>
      </c>
      <c r="APG7" t="s">
        <v>1497</v>
      </c>
      <c r="APH7" t="s">
        <v>1501</v>
      </c>
      <c r="API7" t="s">
        <v>1501</v>
      </c>
      <c r="APJ7" t="s">
        <v>1504</v>
      </c>
      <c r="APK7" t="s">
        <v>1504</v>
      </c>
      <c r="APL7" t="s">
        <v>2318</v>
      </c>
      <c r="APM7" t="s">
        <v>2318</v>
      </c>
      <c r="APN7" t="s">
        <v>2318</v>
      </c>
      <c r="APO7" t="s">
        <v>1510</v>
      </c>
      <c r="APP7" t="s">
        <v>1512</v>
      </c>
      <c r="APQ7" t="s">
        <v>1512</v>
      </c>
      <c r="APR7" t="s">
        <v>1512</v>
      </c>
      <c r="APS7" t="s">
        <v>1512</v>
      </c>
      <c r="APT7" t="s">
        <v>2450</v>
      </c>
      <c r="APU7" t="s">
        <v>2450</v>
      </c>
      <c r="APV7" t="s">
        <v>2450</v>
      </c>
      <c r="APW7" t="s">
        <v>2450</v>
      </c>
      <c r="APX7" t="s">
        <v>1521</v>
      </c>
      <c r="APY7" t="s">
        <v>1523</v>
      </c>
      <c r="APZ7" t="s">
        <v>2319</v>
      </c>
      <c r="AQA7" t="s">
        <v>2319</v>
      </c>
      <c r="AQB7" t="s">
        <v>1527</v>
      </c>
      <c r="AQC7" t="s">
        <v>1529</v>
      </c>
      <c r="AQD7" t="s">
        <v>1529</v>
      </c>
      <c r="AQE7" t="s">
        <v>1529</v>
      </c>
      <c r="AQF7" t="s">
        <v>1533</v>
      </c>
      <c r="AQG7" t="s">
        <v>1535</v>
      </c>
      <c r="AQH7" t="s">
        <v>1535</v>
      </c>
      <c r="AQI7" t="s">
        <v>1535</v>
      </c>
      <c r="AQJ7" t="s">
        <v>1539</v>
      </c>
      <c r="AQK7" t="s">
        <v>1541</v>
      </c>
      <c r="AQL7" t="s">
        <v>1541</v>
      </c>
      <c r="AQM7" t="s">
        <v>1544</v>
      </c>
      <c r="AQN7" t="s">
        <v>1544</v>
      </c>
      <c r="AQO7" t="s">
        <v>1548</v>
      </c>
      <c r="AQP7" t="s">
        <v>1548</v>
      </c>
      <c r="AQQ7" t="s">
        <v>1548</v>
      </c>
      <c r="AQR7" t="s">
        <v>1548</v>
      </c>
      <c r="AQS7" t="s">
        <v>1548</v>
      </c>
      <c r="AQT7" t="s">
        <v>1548</v>
      </c>
      <c r="AQU7" t="s">
        <v>2451</v>
      </c>
      <c r="AQV7" t="s">
        <v>2451</v>
      </c>
      <c r="AQW7" t="s">
        <v>2451</v>
      </c>
      <c r="AQX7" t="s">
        <v>2320</v>
      </c>
      <c r="AQY7" t="s">
        <v>2320</v>
      </c>
      <c r="AQZ7" t="s">
        <v>2320</v>
      </c>
      <c r="ARA7" t="s">
        <v>2452</v>
      </c>
      <c r="ARB7" t="s">
        <v>1566</v>
      </c>
      <c r="ARC7" t="s">
        <v>1566</v>
      </c>
      <c r="ARD7" t="s">
        <v>2453</v>
      </c>
      <c r="ARE7" t="s">
        <v>2453</v>
      </c>
      <c r="ARF7" t="s">
        <v>2453</v>
      </c>
      <c r="ARG7" t="s">
        <v>2453</v>
      </c>
      <c r="ARH7" t="s">
        <v>1572</v>
      </c>
      <c r="ARI7" t="s">
        <v>1572</v>
      </c>
      <c r="ARJ7" t="s">
        <v>1572</v>
      </c>
      <c r="ARK7" t="s">
        <v>2321</v>
      </c>
      <c r="ARL7" t="s">
        <v>1577</v>
      </c>
      <c r="ARM7" t="s">
        <v>1577</v>
      </c>
      <c r="ARN7" t="s">
        <v>1577</v>
      </c>
      <c r="ARO7" t="s">
        <v>1577</v>
      </c>
      <c r="ARP7" t="s">
        <v>1583</v>
      </c>
      <c r="ARQ7" t="s">
        <v>1583</v>
      </c>
      <c r="ARR7" t="s">
        <v>1583</v>
      </c>
      <c r="ARS7" t="s">
        <v>1587</v>
      </c>
      <c r="ART7" t="s">
        <v>1590</v>
      </c>
      <c r="ARU7" t="s">
        <v>1590</v>
      </c>
      <c r="ARV7" t="s">
        <v>2322</v>
      </c>
      <c r="ARW7" t="s">
        <v>1595</v>
      </c>
      <c r="ARX7" t="s">
        <v>2323</v>
      </c>
      <c r="ARY7" t="s">
        <v>2323</v>
      </c>
      <c r="ARZ7" t="s">
        <v>1599</v>
      </c>
      <c r="ASA7" t="s">
        <v>1599</v>
      </c>
      <c r="ASB7" t="s">
        <v>1599</v>
      </c>
      <c r="ASC7" t="s">
        <v>1604</v>
      </c>
      <c r="ASD7" t="s">
        <v>1604</v>
      </c>
      <c r="ASE7" t="s">
        <v>2324</v>
      </c>
      <c r="ASF7" t="s">
        <v>2324</v>
      </c>
      <c r="ASG7" t="s">
        <v>2454</v>
      </c>
      <c r="ASH7" t="s">
        <v>2454</v>
      </c>
      <c r="ASI7" t="s">
        <v>2454</v>
      </c>
      <c r="ASJ7" t="s">
        <v>2325</v>
      </c>
      <c r="ASK7" t="s">
        <v>1614</v>
      </c>
      <c r="ASL7" t="s">
        <v>1614</v>
      </c>
      <c r="ASM7" t="s">
        <v>1614</v>
      </c>
      <c r="ASN7" t="s">
        <v>1618</v>
      </c>
      <c r="ASO7" t="s">
        <v>2326</v>
      </c>
      <c r="ASP7" t="s">
        <v>2326</v>
      </c>
      <c r="ASQ7" t="s">
        <v>2326</v>
      </c>
      <c r="ASR7" t="s">
        <v>2326</v>
      </c>
      <c r="ASS7" t="s">
        <v>2327</v>
      </c>
      <c r="AST7" t="s">
        <v>1625</v>
      </c>
      <c r="ASU7" t="s">
        <v>1625</v>
      </c>
      <c r="ASV7" t="s">
        <v>2404</v>
      </c>
      <c r="ASW7" t="s">
        <v>2404</v>
      </c>
      <c r="ASX7" t="s">
        <v>1630</v>
      </c>
      <c r="ASY7" t="s">
        <v>1630</v>
      </c>
      <c r="ASZ7" t="s">
        <v>1630</v>
      </c>
      <c r="ATA7" t="s">
        <v>1634</v>
      </c>
      <c r="ATB7" t="s">
        <v>1634</v>
      </c>
      <c r="ATC7" t="s">
        <v>2328</v>
      </c>
      <c r="ATD7" t="s">
        <v>2329</v>
      </c>
      <c r="ATE7" t="s">
        <v>2329</v>
      </c>
      <c r="ATF7" t="s">
        <v>2329</v>
      </c>
      <c r="ATG7" t="s">
        <v>2329</v>
      </c>
      <c r="ATH7" t="s">
        <v>2329</v>
      </c>
      <c r="ATI7" t="s">
        <v>2330</v>
      </c>
      <c r="ATJ7" t="s">
        <v>2330</v>
      </c>
      <c r="ATK7" t="s">
        <v>1644</v>
      </c>
      <c r="ATL7" t="s">
        <v>2331</v>
      </c>
      <c r="ATM7" t="s">
        <v>2331</v>
      </c>
      <c r="ATN7" t="s">
        <v>2331</v>
      </c>
      <c r="ATO7" t="s">
        <v>2332</v>
      </c>
      <c r="ATP7" t="s">
        <v>1648</v>
      </c>
      <c r="ATQ7" t="s">
        <v>1648</v>
      </c>
      <c r="ATR7" t="s">
        <v>1652</v>
      </c>
      <c r="ATS7" t="s">
        <v>2333</v>
      </c>
      <c r="ATT7" t="s">
        <v>2333</v>
      </c>
      <c r="ATU7" t="s">
        <v>2333</v>
      </c>
      <c r="ATV7" t="s">
        <v>2333</v>
      </c>
      <c r="ATW7" t="s">
        <v>1659</v>
      </c>
      <c r="ATX7" t="s">
        <v>1659</v>
      </c>
      <c r="ATY7" t="s">
        <v>1659</v>
      </c>
      <c r="ATZ7" t="s">
        <v>1659</v>
      </c>
      <c r="AUA7" t="s">
        <v>2334</v>
      </c>
      <c r="AUB7" t="s">
        <v>2334</v>
      </c>
      <c r="AUC7" t="s">
        <v>1666</v>
      </c>
      <c r="AUD7" t="s">
        <v>1666</v>
      </c>
      <c r="AUE7" t="s">
        <v>1666</v>
      </c>
      <c r="AUF7" t="s">
        <v>1671</v>
      </c>
      <c r="AUG7" t="s">
        <v>1674</v>
      </c>
      <c r="AUH7" t="s">
        <v>2455</v>
      </c>
      <c r="AUI7" t="s">
        <v>2455</v>
      </c>
      <c r="AUJ7" t="s">
        <v>2455</v>
      </c>
      <c r="AUK7" t="s">
        <v>1678</v>
      </c>
      <c r="AUL7" t="s">
        <v>1678</v>
      </c>
      <c r="AUM7" t="s">
        <v>1678</v>
      </c>
      <c r="AUN7" t="s">
        <v>1678</v>
      </c>
      <c r="AUO7" t="s">
        <v>2335</v>
      </c>
      <c r="AUP7" t="s">
        <v>2335</v>
      </c>
      <c r="AUQ7" t="s">
        <v>2335</v>
      </c>
      <c r="AUR7" t="s">
        <v>2335</v>
      </c>
      <c r="AUS7" t="s">
        <v>2335</v>
      </c>
      <c r="AUT7" t="s">
        <v>2335</v>
      </c>
      <c r="AUU7" t="s">
        <v>2335</v>
      </c>
      <c r="AUV7" t="s">
        <v>2335</v>
      </c>
      <c r="AUW7" t="s">
        <v>2335</v>
      </c>
      <c r="AUX7" t="s">
        <v>1693</v>
      </c>
      <c r="AUY7" t="s">
        <v>1696</v>
      </c>
      <c r="AUZ7" t="s">
        <v>1696</v>
      </c>
      <c r="AVA7" t="s">
        <v>2336</v>
      </c>
      <c r="AVB7" t="s">
        <v>1700</v>
      </c>
      <c r="AVC7" t="s">
        <v>2391</v>
      </c>
      <c r="AVD7" t="s">
        <v>2391</v>
      </c>
      <c r="AVE7" t="s">
        <v>2391</v>
      </c>
      <c r="AVF7" t="s">
        <v>1707</v>
      </c>
      <c r="AVG7" t="s">
        <v>1709</v>
      </c>
      <c r="AVH7" t="s">
        <v>1709</v>
      </c>
      <c r="AVI7" t="s">
        <v>1712</v>
      </c>
      <c r="AVJ7" t="s">
        <v>1712</v>
      </c>
      <c r="AVK7" t="s">
        <v>1712</v>
      </c>
      <c r="AVL7" t="s">
        <v>1712</v>
      </c>
      <c r="AVM7" t="s">
        <v>1712</v>
      </c>
      <c r="AVN7" t="s">
        <v>1712</v>
      </c>
      <c r="AVO7" t="s">
        <v>2337</v>
      </c>
      <c r="AVP7" t="s">
        <v>2337</v>
      </c>
      <c r="AVQ7" t="s">
        <v>2456</v>
      </c>
      <c r="AVR7" t="s">
        <v>1722</v>
      </c>
      <c r="AVS7" t="s">
        <v>1724</v>
      </c>
      <c r="AVT7" t="s">
        <v>1724</v>
      </c>
      <c r="AVU7" t="s">
        <v>1726</v>
      </c>
      <c r="AVV7" t="s">
        <v>1726</v>
      </c>
      <c r="AVW7" t="s">
        <v>1729</v>
      </c>
      <c r="AVX7" t="s">
        <v>1729</v>
      </c>
      <c r="AVY7" t="s">
        <v>1729</v>
      </c>
      <c r="AVZ7" t="s">
        <v>1729</v>
      </c>
      <c r="AWA7" t="s">
        <v>2457</v>
      </c>
      <c r="AWB7" t="s">
        <v>2457</v>
      </c>
      <c r="AWC7" t="s">
        <v>2338</v>
      </c>
      <c r="AWD7" t="s">
        <v>2338</v>
      </c>
      <c r="AWE7" t="s">
        <v>1738</v>
      </c>
      <c r="AWF7" t="s">
        <v>2339</v>
      </c>
      <c r="AWG7" t="s">
        <v>2340</v>
      </c>
      <c r="AWH7" t="s">
        <v>1742</v>
      </c>
      <c r="AWI7" t="s">
        <v>1742</v>
      </c>
      <c r="AWJ7" t="s">
        <v>1742</v>
      </c>
      <c r="AWK7" t="s">
        <v>2341</v>
      </c>
      <c r="AWL7" t="s">
        <v>2341</v>
      </c>
      <c r="AWM7" t="s">
        <v>1749</v>
      </c>
      <c r="AWN7" t="s">
        <v>1751</v>
      </c>
      <c r="AWO7" t="s">
        <v>1751</v>
      </c>
      <c r="AWP7" t="s">
        <v>1755</v>
      </c>
      <c r="AWQ7" t="s">
        <v>1757</v>
      </c>
      <c r="AWR7" t="s">
        <v>1757</v>
      </c>
      <c r="AWS7" t="s">
        <v>2342</v>
      </c>
      <c r="AWT7" t="s">
        <v>1761</v>
      </c>
      <c r="AWU7" t="s">
        <v>1761</v>
      </c>
      <c r="AWV7" t="s">
        <v>1761</v>
      </c>
      <c r="AWW7" t="s">
        <v>1761</v>
      </c>
      <c r="AWX7" t="s">
        <v>1766</v>
      </c>
      <c r="AWY7" t="s">
        <v>2343</v>
      </c>
      <c r="AWZ7" t="s">
        <v>1769</v>
      </c>
      <c r="AXA7" t="s">
        <v>1769</v>
      </c>
      <c r="AXB7" t="s">
        <v>1772</v>
      </c>
      <c r="AXC7" t="s">
        <v>1774</v>
      </c>
      <c r="AXD7" t="s">
        <v>1776</v>
      </c>
      <c r="AXE7" t="s">
        <v>1776</v>
      </c>
      <c r="AXF7" t="s">
        <v>1776</v>
      </c>
      <c r="AXG7" t="s">
        <v>2344</v>
      </c>
      <c r="AXH7" t="s">
        <v>2344</v>
      </c>
      <c r="AXI7" t="s">
        <v>2344</v>
      </c>
      <c r="AXJ7" t="s">
        <v>1783</v>
      </c>
      <c r="AXK7" t="s">
        <v>2345</v>
      </c>
      <c r="AXL7" t="s">
        <v>1786</v>
      </c>
      <c r="AXM7" t="s">
        <v>1788</v>
      </c>
      <c r="AXN7" t="s">
        <v>1788</v>
      </c>
      <c r="AXO7" t="s">
        <v>2392</v>
      </c>
      <c r="AXP7" t="s">
        <v>1793</v>
      </c>
      <c r="AXQ7" t="s">
        <v>1795</v>
      </c>
      <c r="AXR7" t="s">
        <v>1795</v>
      </c>
      <c r="AXS7" t="s">
        <v>1798</v>
      </c>
      <c r="AXT7" t="s">
        <v>1798</v>
      </c>
      <c r="AXU7" t="s">
        <v>2346</v>
      </c>
      <c r="AXV7" t="s">
        <v>1802</v>
      </c>
      <c r="AXW7" t="s">
        <v>1802</v>
      </c>
      <c r="AXX7" t="s">
        <v>2347</v>
      </c>
      <c r="AXY7" t="s">
        <v>2347</v>
      </c>
      <c r="AXZ7" t="s">
        <v>1807</v>
      </c>
      <c r="AYA7" t="s">
        <v>2348</v>
      </c>
      <c r="AYB7" t="s">
        <v>1810</v>
      </c>
      <c r="AYC7" t="s">
        <v>1810</v>
      </c>
      <c r="AYD7" t="s">
        <v>1810</v>
      </c>
      <c r="AYE7" t="s">
        <v>1814</v>
      </c>
      <c r="AYF7" t="s">
        <v>1816</v>
      </c>
      <c r="AYG7" t="s">
        <v>1818</v>
      </c>
      <c r="AYH7" t="s">
        <v>1818</v>
      </c>
      <c r="AYI7" t="s">
        <v>1818</v>
      </c>
      <c r="AYJ7" t="s">
        <v>2481</v>
      </c>
      <c r="AYK7" t="s">
        <v>2481</v>
      </c>
      <c r="AYL7" t="s">
        <v>2349</v>
      </c>
      <c r="AYM7" t="s">
        <v>2349</v>
      </c>
      <c r="AYN7" t="s">
        <v>2349</v>
      </c>
      <c r="AYO7" t="s">
        <v>2349</v>
      </c>
      <c r="AYP7" t="s">
        <v>2350</v>
      </c>
      <c r="AYQ7" t="s">
        <v>2350</v>
      </c>
      <c r="AYR7" t="s">
        <v>2350</v>
      </c>
      <c r="AYS7" t="s">
        <v>2350</v>
      </c>
      <c r="AYT7" t="s">
        <v>2350</v>
      </c>
      <c r="AYU7" t="s">
        <v>2350</v>
      </c>
      <c r="AYV7" t="s">
        <v>2351</v>
      </c>
      <c r="AYW7" t="s">
        <v>1833</v>
      </c>
      <c r="AYX7" t="s">
        <v>1833</v>
      </c>
      <c r="AYY7" t="s">
        <v>2458</v>
      </c>
      <c r="AYZ7" t="s">
        <v>1837</v>
      </c>
      <c r="AZA7" t="s">
        <v>1837</v>
      </c>
      <c r="AZB7" t="s">
        <v>1840</v>
      </c>
      <c r="AZC7" t="s">
        <v>1840</v>
      </c>
      <c r="AZD7" t="s">
        <v>1840</v>
      </c>
      <c r="AZE7" t="s">
        <v>1844</v>
      </c>
      <c r="AZF7" t="s">
        <v>1845</v>
      </c>
      <c r="AZG7" t="s">
        <v>1847</v>
      </c>
      <c r="AZH7" t="s">
        <v>1847</v>
      </c>
      <c r="AZI7" t="s">
        <v>1850</v>
      </c>
      <c r="AZJ7" t="s">
        <v>1850</v>
      </c>
      <c r="AZK7" t="s">
        <v>1850</v>
      </c>
      <c r="AZL7" t="s">
        <v>1853</v>
      </c>
      <c r="AZM7" t="s">
        <v>1853</v>
      </c>
      <c r="AZN7" t="s">
        <v>1856</v>
      </c>
      <c r="AZO7" t="s">
        <v>1856</v>
      </c>
      <c r="AZP7" t="s">
        <v>1859</v>
      </c>
      <c r="AZQ7" t="s">
        <v>1859</v>
      </c>
      <c r="AZR7" t="s">
        <v>1863</v>
      </c>
      <c r="AZS7" t="s">
        <v>1863</v>
      </c>
      <c r="AZT7" t="s">
        <v>1867</v>
      </c>
      <c r="AZU7" t="s">
        <v>1867</v>
      </c>
      <c r="AZV7" t="s">
        <v>1870</v>
      </c>
      <c r="AZW7" t="s">
        <v>1870</v>
      </c>
      <c r="AZX7" t="s">
        <v>1870</v>
      </c>
      <c r="AZY7" t="s">
        <v>2459</v>
      </c>
      <c r="AZZ7" t="s">
        <v>2352</v>
      </c>
      <c r="BAA7" t="s">
        <v>2352</v>
      </c>
      <c r="BAB7" t="s">
        <v>2352</v>
      </c>
      <c r="BAC7" t="s">
        <v>2352</v>
      </c>
      <c r="BAD7" t="s">
        <v>2460</v>
      </c>
      <c r="BAE7" t="s">
        <v>2460</v>
      </c>
      <c r="BAF7" t="s">
        <v>2353</v>
      </c>
      <c r="BAG7" t="s">
        <v>2353</v>
      </c>
      <c r="BAH7" t="s">
        <v>2353</v>
      </c>
      <c r="BAI7" t="s">
        <v>2353</v>
      </c>
      <c r="BAJ7" t="s">
        <v>2482</v>
      </c>
      <c r="BAK7" t="s">
        <v>2482</v>
      </c>
      <c r="BAL7" t="s">
        <v>1887</v>
      </c>
      <c r="BAM7" t="s">
        <v>2354</v>
      </c>
      <c r="BAN7" t="s">
        <v>2354</v>
      </c>
      <c r="BAO7" t="s">
        <v>2354</v>
      </c>
      <c r="BAP7" t="s">
        <v>2355</v>
      </c>
      <c r="BAQ7" t="s">
        <v>1893</v>
      </c>
      <c r="BAR7" t="s">
        <v>2356</v>
      </c>
      <c r="BAS7" t="s">
        <v>1896</v>
      </c>
      <c r="BAT7" t="s">
        <v>1896</v>
      </c>
      <c r="BAU7" t="s">
        <v>1896</v>
      </c>
      <c r="BAV7" t="s">
        <v>1900</v>
      </c>
      <c r="BAW7" t="s">
        <v>1902</v>
      </c>
      <c r="BAX7" t="s">
        <v>1904</v>
      </c>
      <c r="BAY7" t="s">
        <v>1904</v>
      </c>
      <c r="BAZ7" t="s">
        <v>1904</v>
      </c>
      <c r="BBA7" t="s">
        <v>1910</v>
      </c>
      <c r="BBB7" t="s">
        <v>1910</v>
      </c>
      <c r="BBC7" t="s">
        <v>1910</v>
      </c>
      <c r="BBD7" t="s">
        <v>1914</v>
      </c>
      <c r="BBE7" t="s">
        <v>1914</v>
      </c>
      <c r="BBF7" t="s">
        <v>1914</v>
      </c>
      <c r="BBG7" t="s">
        <v>1914</v>
      </c>
      <c r="BBH7" t="s">
        <v>1919</v>
      </c>
      <c r="BBI7" t="s">
        <v>1921</v>
      </c>
      <c r="BBJ7" t="s">
        <v>1923</v>
      </c>
      <c r="BBK7" t="s">
        <v>1925</v>
      </c>
      <c r="BBL7" t="s">
        <v>2461</v>
      </c>
      <c r="BBM7" t="s">
        <v>2461</v>
      </c>
      <c r="BBN7" t="s">
        <v>2357</v>
      </c>
      <c r="BBO7" t="s">
        <v>1931</v>
      </c>
      <c r="BBP7" t="s">
        <v>1931</v>
      </c>
      <c r="BBQ7" t="s">
        <v>1931</v>
      </c>
      <c r="BBR7" t="s">
        <v>1931</v>
      </c>
      <c r="BBS7" t="s">
        <v>1933</v>
      </c>
      <c r="BBT7" t="s">
        <v>1935</v>
      </c>
      <c r="BBU7" t="s">
        <v>1935</v>
      </c>
      <c r="BBV7" t="s">
        <v>1937</v>
      </c>
      <c r="BBW7" t="s">
        <v>1937</v>
      </c>
      <c r="BBX7" t="s">
        <v>2358</v>
      </c>
      <c r="BBY7" t="s">
        <v>2358</v>
      </c>
      <c r="BBZ7" t="s">
        <v>1942</v>
      </c>
      <c r="BCA7" t="s">
        <v>1942</v>
      </c>
      <c r="BCB7" t="s">
        <v>2359</v>
      </c>
      <c r="BCC7" t="s">
        <v>2359</v>
      </c>
      <c r="BCD7" t="s">
        <v>2359</v>
      </c>
      <c r="BCE7" t="s">
        <v>1947</v>
      </c>
      <c r="BCF7" t="s">
        <v>2360</v>
      </c>
      <c r="BCG7" t="s">
        <v>2360</v>
      </c>
      <c r="BCH7" t="s">
        <v>2360</v>
      </c>
      <c r="BCI7" t="s">
        <v>2360</v>
      </c>
      <c r="BCJ7" t="s">
        <v>2360</v>
      </c>
      <c r="BCK7" t="s">
        <v>1954</v>
      </c>
      <c r="BCL7" t="s">
        <v>1956</v>
      </c>
      <c r="BCM7" t="s">
        <v>2361</v>
      </c>
      <c r="BCN7" t="s">
        <v>2361</v>
      </c>
      <c r="BCO7" t="s">
        <v>2362</v>
      </c>
      <c r="BCP7" t="s">
        <v>2362</v>
      </c>
      <c r="BCQ7" t="s">
        <v>2362</v>
      </c>
      <c r="BCR7" t="s">
        <v>2363</v>
      </c>
      <c r="BCS7" t="s">
        <v>2363</v>
      </c>
      <c r="BCT7" t="s">
        <v>2363</v>
      </c>
      <c r="BCU7" t="s">
        <v>2363</v>
      </c>
      <c r="BCV7" t="s">
        <v>2363</v>
      </c>
      <c r="BCW7" t="s">
        <v>2363</v>
      </c>
      <c r="BCX7" t="s">
        <v>1969</v>
      </c>
      <c r="BCY7" t="s">
        <v>1969</v>
      </c>
      <c r="BCZ7" t="s">
        <v>2364</v>
      </c>
      <c r="BDA7" t="s">
        <v>2364</v>
      </c>
      <c r="BDB7" t="s">
        <v>2364</v>
      </c>
      <c r="BDC7" t="s">
        <v>1975</v>
      </c>
      <c r="BDD7" t="s">
        <v>1977</v>
      </c>
      <c r="BDE7" t="s">
        <v>1979</v>
      </c>
      <c r="BDF7" t="s">
        <v>1981</v>
      </c>
      <c r="BDG7" t="s">
        <v>1983</v>
      </c>
      <c r="BDH7" t="s">
        <v>2365</v>
      </c>
      <c r="BDI7" t="s">
        <v>2365</v>
      </c>
      <c r="BDJ7" t="s">
        <v>1987</v>
      </c>
      <c r="BDK7" t="s">
        <v>1989</v>
      </c>
      <c r="BDL7" t="s">
        <v>1989</v>
      </c>
      <c r="BDM7" t="s">
        <v>2366</v>
      </c>
      <c r="BDN7" t="s">
        <v>2366</v>
      </c>
      <c r="BDO7" t="s">
        <v>2366</v>
      </c>
      <c r="BDP7" t="s">
        <v>2366</v>
      </c>
      <c r="BDQ7" t="s">
        <v>1997</v>
      </c>
      <c r="BDR7" t="s">
        <v>1999</v>
      </c>
      <c r="BDS7" t="s">
        <v>2483</v>
      </c>
      <c r="BDT7" t="s">
        <v>2367</v>
      </c>
      <c r="BDU7" t="s">
        <v>2368</v>
      </c>
      <c r="BDV7" t="s">
        <v>2369</v>
      </c>
      <c r="BDW7" t="s">
        <v>2369</v>
      </c>
      <c r="BDX7" t="s">
        <v>2369</v>
      </c>
      <c r="BDY7" t="s">
        <v>2369</v>
      </c>
      <c r="BDZ7" t="s">
        <v>2369</v>
      </c>
      <c r="BEA7" t="s">
        <v>2369</v>
      </c>
      <c r="BEB7" t="s">
        <v>2010</v>
      </c>
      <c r="BEC7" t="s">
        <v>2010</v>
      </c>
      <c r="BED7" t="s">
        <v>2013</v>
      </c>
      <c r="BEE7" t="s">
        <v>2013</v>
      </c>
      <c r="BEF7" t="s">
        <v>2013</v>
      </c>
      <c r="BEG7" t="s">
        <v>2462</v>
      </c>
      <c r="BEH7" t="s">
        <v>2462</v>
      </c>
      <c r="BEI7" t="s">
        <v>2462</v>
      </c>
      <c r="BEJ7" t="s">
        <v>2370</v>
      </c>
      <c r="BEK7" t="s">
        <v>2370</v>
      </c>
      <c r="BEL7" t="s">
        <v>2371</v>
      </c>
      <c r="BEM7" t="s">
        <v>2371</v>
      </c>
      <c r="BEN7" t="s">
        <v>2371</v>
      </c>
      <c r="BEO7" t="s">
        <v>2372</v>
      </c>
      <c r="BEP7" t="s">
        <v>2026</v>
      </c>
      <c r="BEQ7" t="s">
        <v>2026</v>
      </c>
      <c r="BER7" t="s">
        <v>2028</v>
      </c>
      <c r="BES7" t="s">
        <v>2028</v>
      </c>
      <c r="BET7" t="s">
        <v>2028</v>
      </c>
      <c r="BEU7" t="s">
        <v>2032</v>
      </c>
      <c r="BEV7" t="s">
        <v>2034</v>
      </c>
      <c r="BEW7" t="s">
        <v>2036</v>
      </c>
      <c r="BEX7" t="s">
        <v>2393</v>
      </c>
      <c r="BEY7" t="s">
        <v>2373</v>
      </c>
      <c r="BEZ7" t="s">
        <v>2041</v>
      </c>
      <c r="BFA7" t="s">
        <v>2041</v>
      </c>
      <c r="BFB7" t="s">
        <v>2044</v>
      </c>
      <c r="BFC7" t="s">
        <v>2484</v>
      </c>
      <c r="BFD7" t="s">
        <v>2374</v>
      </c>
      <c r="BFE7" t="s">
        <v>2374</v>
      </c>
      <c r="BFF7" t="s">
        <v>2049</v>
      </c>
      <c r="BFG7" t="s">
        <v>2049</v>
      </c>
      <c r="BFH7" t="s">
        <v>2053</v>
      </c>
      <c r="BFI7" t="s">
        <v>2053</v>
      </c>
      <c r="BFJ7" t="s">
        <v>2053</v>
      </c>
      <c r="BFK7" t="s">
        <v>2053</v>
      </c>
      <c r="BFL7" t="s">
        <v>2059</v>
      </c>
      <c r="BFM7" t="s">
        <v>2061</v>
      </c>
      <c r="BFN7" t="s">
        <v>2061</v>
      </c>
      <c r="BFO7" t="s">
        <v>2375</v>
      </c>
      <c r="BFP7" t="s">
        <v>2065</v>
      </c>
      <c r="BFQ7" t="s">
        <v>2065</v>
      </c>
      <c r="BFR7" t="s">
        <v>2065</v>
      </c>
      <c r="BFS7" t="s">
        <v>2070</v>
      </c>
      <c r="BFT7" t="s">
        <v>2072</v>
      </c>
      <c r="BFU7" t="s">
        <v>2074</v>
      </c>
      <c r="BFV7" t="s">
        <v>2074</v>
      </c>
      <c r="BFW7" t="s">
        <v>2074</v>
      </c>
      <c r="BFX7" t="s">
        <v>2074</v>
      </c>
      <c r="BFY7" t="s">
        <v>2463</v>
      </c>
      <c r="BFZ7" t="s">
        <v>2376</v>
      </c>
      <c r="BGA7" t="s">
        <v>2471</v>
      </c>
      <c r="BGB7" t="s">
        <v>2471</v>
      </c>
      <c r="BGC7" t="s">
        <v>2464</v>
      </c>
      <c r="BGD7" t="s">
        <v>2464</v>
      </c>
      <c r="BGE7" t="s">
        <v>2464</v>
      </c>
      <c r="BGF7" t="s">
        <v>2087</v>
      </c>
      <c r="BGG7" t="s">
        <v>2377</v>
      </c>
      <c r="BGH7" t="s">
        <v>2090</v>
      </c>
      <c r="BGI7" t="s">
        <v>2090</v>
      </c>
      <c r="BGJ7" t="s">
        <v>2378</v>
      </c>
      <c r="BGK7" t="s">
        <v>2378</v>
      </c>
      <c r="BGL7" t="s">
        <v>2465</v>
      </c>
      <c r="BGM7" t="s">
        <v>2465</v>
      </c>
      <c r="BGN7" t="s">
        <v>2097</v>
      </c>
      <c r="BGO7" t="s">
        <v>2379</v>
      </c>
      <c r="BGP7" t="s">
        <v>2379</v>
      </c>
      <c r="BGQ7" t="s">
        <v>2379</v>
      </c>
      <c r="BGR7" t="s">
        <v>2380</v>
      </c>
      <c r="BGS7" t="s">
        <v>2103</v>
      </c>
      <c r="BGT7" t="s">
        <v>2103</v>
      </c>
      <c r="BGU7" t="s">
        <v>2103</v>
      </c>
      <c r="BGV7" t="s">
        <v>2466</v>
      </c>
      <c r="BGW7" t="s">
        <v>2466</v>
      </c>
      <c r="BGX7" t="s">
        <v>2466</v>
      </c>
      <c r="BGY7" t="s">
        <v>2381</v>
      </c>
      <c r="BGZ7" t="s">
        <v>2381</v>
      </c>
      <c r="BHA7" t="s">
        <v>2112</v>
      </c>
      <c r="BHB7" t="s">
        <v>2114</v>
      </c>
      <c r="BHC7" t="s">
        <v>2117</v>
      </c>
    </row>
    <row r="8" spans="5:1563" x14ac:dyDescent="0.25">
      <c r="E8" s="6" t="s">
        <v>2194</v>
      </c>
      <c r="F8" t="s">
        <v>2196</v>
      </c>
      <c r="G8" t="s">
        <v>8</v>
      </c>
      <c r="H8" t="s">
        <v>9</v>
      </c>
      <c r="I8">
        <v>268614</v>
      </c>
      <c r="L8" t="s">
        <v>2500</v>
      </c>
      <c r="M8" t="s">
        <v>5</v>
      </c>
      <c r="N8" t="s">
        <v>5</v>
      </c>
      <c r="O8" t="s">
        <v>8</v>
      </c>
      <c r="P8" t="s">
        <v>10</v>
      </c>
      <c r="Q8" t="s">
        <v>13</v>
      </c>
      <c r="R8" t="s">
        <v>10</v>
      </c>
      <c r="S8" t="s">
        <v>13</v>
      </c>
      <c r="T8" t="s">
        <v>10</v>
      </c>
      <c r="U8" t="s">
        <v>13</v>
      </c>
      <c r="V8" t="s">
        <v>2467</v>
      </c>
      <c r="W8" t="s">
        <v>23</v>
      </c>
      <c r="X8" t="s">
        <v>23</v>
      </c>
      <c r="Y8" t="s">
        <v>26</v>
      </c>
      <c r="Z8" t="s">
        <v>28</v>
      </c>
      <c r="AA8" t="s">
        <v>30</v>
      </c>
      <c r="AB8" t="s">
        <v>13</v>
      </c>
      <c r="AC8" t="s">
        <v>10</v>
      </c>
      <c r="AD8" t="s">
        <v>13</v>
      </c>
      <c r="AE8" t="s">
        <v>8</v>
      </c>
      <c r="AF8" t="s">
        <v>37</v>
      </c>
      <c r="AG8" t="s">
        <v>37</v>
      </c>
      <c r="AH8" t="s">
        <v>37</v>
      </c>
      <c r="AI8" t="s">
        <v>37</v>
      </c>
      <c r="AJ8" t="s">
        <v>37</v>
      </c>
      <c r="AK8" t="s">
        <v>10</v>
      </c>
      <c r="AL8" t="s">
        <v>45</v>
      </c>
      <c r="AM8" t="s">
        <v>47</v>
      </c>
      <c r="AN8" t="s">
        <v>49</v>
      </c>
      <c r="AO8" t="s">
        <v>8</v>
      </c>
      <c r="AP8" t="s">
        <v>10</v>
      </c>
      <c r="AQ8" t="s">
        <v>10</v>
      </c>
      <c r="AR8" t="s">
        <v>13</v>
      </c>
      <c r="AS8" t="s">
        <v>47</v>
      </c>
      <c r="AT8" t="s">
        <v>8</v>
      </c>
      <c r="AU8" t="s">
        <v>57</v>
      </c>
      <c r="AV8" t="s">
        <v>37</v>
      </c>
      <c r="AW8" t="s">
        <v>37</v>
      </c>
      <c r="AX8" t="s">
        <v>61</v>
      </c>
      <c r="AY8" t="s">
        <v>62</v>
      </c>
      <c r="AZ8" t="s">
        <v>64</v>
      </c>
      <c r="BA8" t="s">
        <v>8</v>
      </c>
      <c r="BB8" t="s">
        <v>13</v>
      </c>
      <c r="BC8" t="s">
        <v>64</v>
      </c>
      <c r="BD8" t="s">
        <v>10</v>
      </c>
      <c r="BE8" t="s">
        <v>8</v>
      </c>
      <c r="BF8" t="s">
        <v>8</v>
      </c>
      <c r="BG8" t="s">
        <v>64</v>
      </c>
      <c r="BH8" t="s">
        <v>73</v>
      </c>
      <c r="BI8" t="s">
        <v>73</v>
      </c>
      <c r="BJ8" t="s">
        <v>73</v>
      </c>
      <c r="BK8" t="s">
        <v>73</v>
      </c>
      <c r="BL8" t="s">
        <v>73</v>
      </c>
      <c r="BM8" t="s">
        <v>8</v>
      </c>
      <c r="BN8" t="s">
        <v>10</v>
      </c>
      <c r="BO8" t="s">
        <v>28</v>
      </c>
      <c r="BP8" t="s">
        <v>13</v>
      </c>
      <c r="BQ8" t="s">
        <v>13</v>
      </c>
      <c r="BR8" t="s">
        <v>37</v>
      </c>
      <c r="BS8" t="s">
        <v>5</v>
      </c>
      <c r="BT8" t="s">
        <v>10</v>
      </c>
      <c r="BU8" t="s">
        <v>89</v>
      </c>
      <c r="BV8" t="s">
        <v>49</v>
      </c>
      <c r="BW8" t="s">
        <v>2467</v>
      </c>
      <c r="BX8" t="s">
        <v>28</v>
      </c>
      <c r="BY8" t="s">
        <v>30</v>
      </c>
      <c r="BZ8" t="s">
        <v>13</v>
      </c>
      <c r="CA8" t="s">
        <v>47</v>
      </c>
      <c r="CB8" t="s">
        <v>47</v>
      </c>
      <c r="CC8" t="s">
        <v>64</v>
      </c>
      <c r="CD8" t="s">
        <v>49</v>
      </c>
      <c r="CE8" t="s">
        <v>8</v>
      </c>
      <c r="CF8" t="s">
        <v>10</v>
      </c>
      <c r="CG8" t="s">
        <v>13</v>
      </c>
      <c r="CH8" t="s">
        <v>13</v>
      </c>
      <c r="CI8" t="s">
        <v>13</v>
      </c>
      <c r="CJ8" t="s">
        <v>10</v>
      </c>
      <c r="CK8" t="s">
        <v>37</v>
      </c>
      <c r="CL8" t="s">
        <v>110</v>
      </c>
      <c r="CM8" t="s">
        <v>110</v>
      </c>
      <c r="CN8" t="s">
        <v>110</v>
      </c>
      <c r="CO8" t="s">
        <v>110</v>
      </c>
      <c r="CP8" t="s">
        <v>110</v>
      </c>
      <c r="CQ8" t="s">
        <v>110</v>
      </c>
      <c r="CR8" t="s">
        <v>110</v>
      </c>
      <c r="CS8" t="s">
        <v>13</v>
      </c>
      <c r="CT8" t="s">
        <v>13</v>
      </c>
      <c r="CU8" t="s">
        <v>10</v>
      </c>
      <c r="CV8" t="s">
        <v>123</v>
      </c>
      <c r="CW8" t="s">
        <v>123</v>
      </c>
      <c r="CX8" t="s">
        <v>47</v>
      </c>
      <c r="CY8" t="s">
        <v>37</v>
      </c>
      <c r="CZ8" t="s">
        <v>10</v>
      </c>
      <c r="DA8" t="s">
        <v>130</v>
      </c>
      <c r="DB8" t="s">
        <v>132</v>
      </c>
      <c r="DC8" t="s">
        <v>132</v>
      </c>
      <c r="DD8" t="s">
        <v>110</v>
      </c>
      <c r="DE8" t="s">
        <v>110</v>
      </c>
      <c r="DF8" t="s">
        <v>110</v>
      </c>
      <c r="DG8" t="s">
        <v>138</v>
      </c>
      <c r="DH8" t="s">
        <v>8</v>
      </c>
      <c r="DI8" t="s">
        <v>142</v>
      </c>
      <c r="DJ8" t="s">
        <v>10</v>
      </c>
      <c r="DK8" t="s">
        <v>47</v>
      </c>
      <c r="DL8" t="s">
        <v>49</v>
      </c>
      <c r="DM8" t="s">
        <v>10</v>
      </c>
      <c r="DN8" t="s">
        <v>149</v>
      </c>
      <c r="DO8" t="s">
        <v>151</v>
      </c>
      <c r="DP8" t="s">
        <v>153</v>
      </c>
      <c r="DQ8" t="s">
        <v>13</v>
      </c>
      <c r="DR8" t="s">
        <v>10</v>
      </c>
      <c r="DS8" t="s">
        <v>10</v>
      </c>
      <c r="DT8" t="s">
        <v>13</v>
      </c>
      <c r="DU8" t="s">
        <v>8</v>
      </c>
      <c r="DV8" t="s">
        <v>160</v>
      </c>
      <c r="DW8" t="s">
        <v>8</v>
      </c>
      <c r="DX8" t="s">
        <v>10</v>
      </c>
      <c r="DY8" t="s">
        <v>13</v>
      </c>
      <c r="DZ8" t="s">
        <v>10</v>
      </c>
      <c r="EA8" t="s">
        <v>13</v>
      </c>
      <c r="EB8" t="s">
        <v>47</v>
      </c>
      <c r="EC8" t="s">
        <v>47</v>
      </c>
      <c r="ED8" t="s">
        <v>8</v>
      </c>
      <c r="EE8" t="s">
        <v>10</v>
      </c>
      <c r="EF8" t="s">
        <v>130</v>
      </c>
      <c r="EG8" t="s">
        <v>10</v>
      </c>
      <c r="EH8" t="s">
        <v>176</v>
      </c>
      <c r="EI8" t="s">
        <v>10</v>
      </c>
      <c r="EJ8" t="s">
        <v>10</v>
      </c>
      <c r="EK8" t="s">
        <v>57</v>
      </c>
      <c r="EL8" t="s">
        <v>184</v>
      </c>
      <c r="EM8" t="s">
        <v>186</v>
      </c>
      <c r="EN8" t="s">
        <v>64</v>
      </c>
      <c r="EO8" t="s">
        <v>10</v>
      </c>
      <c r="EP8" t="s">
        <v>13</v>
      </c>
      <c r="EQ8" t="s">
        <v>13</v>
      </c>
      <c r="ER8" t="s">
        <v>47</v>
      </c>
      <c r="ES8" t="s">
        <v>13</v>
      </c>
      <c r="ET8" t="s">
        <v>10</v>
      </c>
      <c r="EU8" t="s">
        <v>10</v>
      </c>
      <c r="EV8" t="s">
        <v>2467</v>
      </c>
      <c r="EW8" t="s">
        <v>2467</v>
      </c>
      <c r="EX8" t="s">
        <v>28</v>
      </c>
      <c r="EY8" t="s">
        <v>28</v>
      </c>
      <c r="EZ8" t="s">
        <v>202</v>
      </c>
      <c r="FA8" t="s">
        <v>204</v>
      </c>
      <c r="FB8" t="s">
        <v>207</v>
      </c>
      <c r="FC8" t="s">
        <v>10</v>
      </c>
      <c r="FD8" t="s">
        <v>13</v>
      </c>
      <c r="FE8" t="s">
        <v>8</v>
      </c>
      <c r="FF8" t="s">
        <v>13</v>
      </c>
      <c r="FG8" t="s">
        <v>26</v>
      </c>
      <c r="FH8" t="s">
        <v>30</v>
      </c>
      <c r="FI8" t="s">
        <v>47</v>
      </c>
      <c r="FJ8" t="s">
        <v>47</v>
      </c>
      <c r="FK8" t="s">
        <v>64</v>
      </c>
      <c r="FL8" t="s">
        <v>61</v>
      </c>
      <c r="FM8" t="s">
        <v>220</v>
      </c>
      <c r="FN8" t="s">
        <v>130</v>
      </c>
      <c r="FO8" t="s">
        <v>130</v>
      </c>
      <c r="FP8" t="s">
        <v>224</v>
      </c>
      <c r="FQ8" t="s">
        <v>226</v>
      </c>
      <c r="FR8" t="s">
        <v>228</v>
      </c>
      <c r="FS8" t="s">
        <v>10</v>
      </c>
      <c r="FT8" t="s">
        <v>2467</v>
      </c>
      <c r="FU8" t="s">
        <v>2467</v>
      </c>
      <c r="FV8" t="s">
        <v>235</v>
      </c>
      <c r="FW8" t="s">
        <v>235</v>
      </c>
      <c r="FX8" t="s">
        <v>47</v>
      </c>
      <c r="FY8" t="s">
        <v>8</v>
      </c>
      <c r="FZ8" t="s">
        <v>10</v>
      </c>
      <c r="GA8" t="s">
        <v>8</v>
      </c>
      <c r="GB8" t="s">
        <v>62</v>
      </c>
      <c r="GC8" t="s">
        <v>10</v>
      </c>
      <c r="GD8" t="s">
        <v>13</v>
      </c>
      <c r="GE8" t="s">
        <v>160</v>
      </c>
      <c r="GF8" t="s">
        <v>160</v>
      </c>
      <c r="GG8" t="s">
        <v>160</v>
      </c>
      <c r="GH8" t="s">
        <v>249</v>
      </c>
      <c r="GI8" t="s">
        <v>204</v>
      </c>
      <c r="GJ8" t="s">
        <v>10</v>
      </c>
      <c r="GK8" t="s">
        <v>13</v>
      </c>
      <c r="GL8" t="s">
        <v>257</v>
      </c>
      <c r="GM8" t="s">
        <v>28</v>
      </c>
      <c r="GN8" t="s">
        <v>13</v>
      </c>
      <c r="GO8" t="s">
        <v>176</v>
      </c>
      <c r="GP8" t="s">
        <v>37</v>
      </c>
      <c r="GQ8" t="s">
        <v>249</v>
      </c>
      <c r="GR8" t="s">
        <v>204</v>
      </c>
      <c r="GS8" t="s">
        <v>160</v>
      </c>
      <c r="GT8" t="s">
        <v>13</v>
      </c>
      <c r="GU8" t="s">
        <v>13</v>
      </c>
      <c r="GV8" t="s">
        <v>62</v>
      </c>
      <c r="GW8" t="s">
        <v>176</v>
      </c>
      <c r="GX8" t="s">
        <v>10</v>
      </c>
      <c r="GY8" t="s">
        <v>47</v>
      </c>
      <c r="GZ8" t="s">
        <v>37</v>
      </c>
      <c r="HA8" t="s">
        <v>13</v>
      </c>
      <c r="HB8" t="s">
        <v>13</v>
      </c>
      <c r="HC8" t="s">
        <v>235</v>
      </c>
      <c r="HD8" t="s">
        <v>13</v>
      </c>
      <c r="HE8" t="s">
        <v>13</v>
      </c>
      <c r="HF8" t="s">
        <v>10</v>
      </c>
      <c r="HG8" t="s">
        <v>202</v>
      </c>
      <c r="HH8" t="s">
        <v>57</v>
      </c>
      <c r="HI8" t="s">
        <v>57</v>
      </c>
      <c r="HJ8" t="s">
        <v>290</v>
      </c>
      <c r="HK8" t="s">
        <v>13</v>
      </c>
      <c r="HL8" t="s">
        <v>26</v>
      </c>
      <c r="HM8" t="s">
        <v>28</v>
      </c>
      <c r="HN8" t="s">
        <v>61</v>
      </c>
      <c r="HO8" t="s">
        <v>297</v>
      </c>
      <c r="HP8" t="s">
        <v>297</v>
      </c>
      <c r="HQ8" t="s">
        <v>13</v>
      </c>
      <c r="HR8" t="s">
        <v>10</v>
      </c>
      <c r="HS8" t="s">
        <v>5</v>
      </c>
      <c r="HT8" t="s">
        <v>5</v>
      </c>
      <c r="HU8" t="s">
        <v>13</v>
      </c>
      <c r="HV8" t="s">
        <v>184</v>
      </c>
      <c r="HW8" t="s">
        <v>13</v>
      </c>
      <c r="HX8" t="s">
        <v>13</v>
      </c>
      <c r="HY8" t="s">
        <v>10</v>
      </c>
      <c r="HZ8" t="s">
        <v>10</v>
      </c>
      <c r="IA8" t="s">
        <v>45</v>
      </c>
      <c r="IB8" t="s">
        <v>47</v>
      </c>
      <c r="IC8" t="s">
        <v>37</v>
      </c>
      <c r="ID8" t="s">
        <v>13</v>
      </c>
      <c r="IE8" t="s">
        <v>5</v>
      </c>
      <c r="IF8" t="s">
        <v>320</v>
      </c>
      <c r="IG8" t="s">
        <v>207</v>
      </c>
      <c r="IH8" t="s">
        <v>13</v>
      </c>
      <c r="II8" t="s">
        <v>13</v>
      </c>
      <c r="IJ8" t="s">
        <v>37</v>
      </c>
      <c r="IK8" t="s">
        <v>328</v>
      </c>
      <c r="IL8" t="s">
        <v>13</v>
      </c>
      <c r="IM8" t="s">
        <v>47</v>
      </c>
      <c r="IN8" t="s">
        <v>49</v>
      </c>
      <c r="IO8" t="s">
        <v>249</v>
      </c>
      <c r="IP8" t="s">
        <v>320</v>
      </c>
      <c r="IQ8" t="s">
        <v>320</v>
      </c>
      <c r="IR8" t="s">
        <v>10</v>
      </c>
      <c r="IS8" t="s">
        <v>37</v>
      </c>
      <c r="IT8" t="s">
        <v>64</v>
      </c>
      <c r="IU8" t="s">
        <v>340</v>
      </c>
      <c r="IV8" t="s">
        <v>343</v>
      </c>
      <c r="IW8" t="s">
        <v>57</v>
      </c>
      <c r="IX8" t="s">
        <v>8</v>
      </c>
      <c r="IY8" t="s">
        <v>8</v>
      </c>
      <c r="IZ8" t="s">
        <v>320</v>
      </c>
      <c r="JA8" t="s">
        <v>320</v>
      </c>
      <c r="JB8" t="s">
        <v>130</v>
      </c>
      <c r="JC8" t="s">
        <v>89</v>
      </c>
      <c r="JD8" t="s">
        <v>356</v>
      </c>
      <c r="JE8" t="s">
        <v>176</v>
      </c>
      <c r="JF8" t="s">
        <v>10</v>
      </c>
      <c r="JG8" t="s">
        <v>13</v>
      </c>
      <c r="JH8" t="s">
        <v>37</v>
      </c>
      <c r="JI8" t="s">
        <v>110</v>
      </c>
      <c r="JJ8" t="s">
        <v>176</v>
      </c>
      <c r="JK8" t="s">
        <v>13</v>
      </c>
      <c r="JL8" t="s">
        <v>5</v>
      </c>
      <c r="JM8" t="s">
        <v>320</v>
      </c>
      <c r="JN8" t="s">
        <v>37</v>
      </c>
      <c r="JO8" t="s">
        <v>5</v>
      </c>
      <c r="JP8" t="s">
        <v>5</v>
      </c>
      <c r="JQ8" t="s">
        <v>320</v>
      </c>
      <c r="JR8" t="s">
        <v>89</v>
      </c>
      <c r="JS8" t="s">
        <v>89</v>
      </c>
      <c r="JT8" t="s">
        <v>379</v>
      </c>
      <c r="JU8" t="s">
        <v>13</v>
      </c>
      <c r="JV8" t="s">
        <v>384</v>
      </c>
      <c r="JW8" t="s">
        <v>384</v>
      </c>
      <c r="JX8" t="s">
        <v>13</v>
      </c>
      <c r="JY8" t="s">
        <v>61</v>
      </c>
      <c r="JZ8" t="s">
        <v>49</v>
      </c>
      <c r="KA8" t="s">
        <v>149</v>
      </c>
      <c r="KB8" t="s">
        <v>149</v>
      </c>
      <c r="KC8" t="s">
        <v>28</v>
      </c>
      <c r="KD8" t="s">
        <v>45</v>
      </c>
      <c r="KE8" t="s">
        <v>45</v>
      </c>
      <c r="KF8" t="s">
        <v>45</v>
      </c>
      <c r="KG8" t="s">
        <v>47</v>
      </c>
      <c r="KH8" t="s">
        <v>47</v>
      </c>
      <c r="KI8" t="s">
        <v>13</v>
      </c>
      <c r="KJ8" t="s">
        <v>28</v>
      </c>
      <c r="KK8" t="s">
        <v>13</v>
      </c>
      <c r="KL8" t="s">
        <v>5</v>
      </c>
      <c r="KM8" t="s">
        <v>320</v>
      </c>
      <c r="KN8" t="s">
        <v>207</v>
      </c>
      <c r="KO8" t="s">
        <v>47</v>
      </c>
      <c r="KP8" t="s">
        <v>47</v>
      </c>
      <c r="KQ8" t="s">
        <v>47</v>
      </c>
      <c r="KR8" t="s">
        <v>62</v>
      </c>
      <c r="KS8" t="s">
        <v>13</v>
      </c>
      <c r="KT8" t="s">
        <v>23</v>
      </c>
      <c r="KU8" t="s">
        <v>23</v>
      </c>
      <c r="KV8" t="s">
        <v>23</v>
      </c>
      <c r="KW8" t="s">
        <v>13</v>
      </c>
      <c r="KX8" t="s">
        <v>37</v>
      </c>
      <c r="KY8" t="s">
        <v>37</v>
      </c>
      <c r="KZ8" t="s">
        <v>37</v>
      </c>
      <c r="LA8" t="s">
        <v>2467</v>
      </c>
      <c r="LB8" t="s">
        <v>28</v>
      </c>
      <c r="LC8" t="s">
        <v>13</v>
      </c>
      <c r="LD8" t="s">
        <v>47</v>
      </c>
      <c r="LE8" t="s">
        <v>8</v>
      </c>
      <c r="LF8" t="s">
        <v>10</v>
      </c>
      <c r="LG8" t="s">
        <v>10</v>
      </c>
      <c r="LH8" t="s">
        <v>13</v>
      </c>
      <c r="LI8" t="s">
        <v>13</v>
      </c>
      <c r="LJ8" t="s">
        <v>10</v>
      </c>
      <c r="LK8" t="s">
        <v>13</v>
      </c>
      <c r="LL8" t="s">
        <v>37</v>
      </c>
      <c r="LM8" t="s">
        <v>320</v>
      </c>
      <c r="LN8" t="s">
        <v>13</v>
      </c>
      <c r="LO8" t="s">
        <v>47</v>
      </c>
      <c r="LP8" t="s">
        <v>49</v>
      </c>
      <c r="LQ8" t="s">
        <v>62</v>
      </c>
      <c r="LR8" t="s">
        <v>13</v>
      </c>
      <c r="LS8" t="s">
        <v>13</v>
      </c>
      <c r="LT8" t="s">
        <v>320</v>
      </c>
      <c r="LU8" t="s">
        <v>13</v>
      </c>
      <c r="LV8" t="s">
        <v>13</v>
      </c>
      <c r="LW8" t="s">
        <v>320</v>
      </c>
      <c r="LX8" t="s">
        <v>45</v>
      </c>
      <c r="LY8" t="s">
        <v>13</v>
      </c>
      <c r="LZ8" t="s">
        <v>13</v>
      </c>
      <c r="MA8" t="s">
        <v>37</v>
      </c>
      <c r="MB8" t="s">
        <v>320</v>
      </c>
      <c r="MC8" t="s">
        <v>5</v>
      </c>
      <c r="MD8" t="s">
        <v>320</v>
      </c>
      <c r="ME8" t="s">
        <v>13</v>
      </c>
      <c r="MF8" t="s">
        <v>13</v>
      </c>
      <c r="MG8" t="s">
        <v>466</v>
      </c>
      <c r="MH8" t="s">
        <v>10</v>
      </c>
      <c r="MI8" t="s">
        <v>57</v>
      </c>
      <c r="MJ8" t="s">
        <v>57</v>
      </c>
      <c r="MK8" t="s">
        <v>13</v>
      </c>
      <c r="ML8" t="s">
        <v>474</v>
      </c>
      <c r="MM8" t="s">
        <v>13</v>
      </c>
      <c r="MN8" t="s">
        <v>13</v>
      </c>
      <c r="MO8" t="s">
        <v>10</v>
      </c>
      <c r="MP8" t="s">
        <v>202</v>
      </c>
      <c r="MQ8" t="s">
        <v>13</v>
      </c>
      <c r="MR8" t="s">
        <v>49</v>
      </c>
      <c r="MS8" t="s">
        <v>62</v>
      </c>
      <c r="MT8" t="s">
        <v>13</v>
      </c>
      <c r="MU8" t="s">
        <v>10</v>
      </c>
      <c r="MV8" t="s">
        <v>207</v>
      </c>
      <c r="MW8" t="s">
        <v>37</v>
      </c>
      <c r="MX8" t="s">
        <v>47</v>
      </c>
      <c r="MY8" t="s">
        <v>47</v>
      </c>
      <c r="MZ8" t="s">
        <v>343</v>
      </c>
      <c r="NA8" t="s">
        <v>320</v>
      </c>
      <c r="NB8" t="s">
        <v>130</v>
      </c>
      <c r="NC8" t="s">
        <v>499</v>
      </c>
      <c r="ND8" t="s">
        <v>13</v>
      </c>
      <c r="NE8" t="s">
        <v>89</v>
      </c>
      <c r="NF8" t="s">
        <v>13</v>
      </c>
      <c r="NG8" t="s">
        <v>507</v>
      </c>
      <c r="NH8" t="s">
        <v>37</v>
      </c>
      <c r="NI8" t="s">
        <v>510</v>
      </c>
      <c r="NJ8" t="s">
        <v>13</v>
      </c>
      <c r="NK8" t="s">
        <v>202</v>
      </c>
      <c r="NL8" t="s">
        <v>13</v>
      </c>
      <c r="NM8" t="s">
        <v>13</v>
      </c>
      <c r="NN8" t="s">
        <v>61</v>
      </c>
      <c r="NO8" t="s">
        <v>61</v>
      </c>
      <c r="NP8" t="s">
        <v>521</v>
      </c>
      <c r="NQ8" t="s">
        <v>61</v>
      </c>
      <c r="NR8" t="s">
        <v>13</v>
      </c>
      <c r="NS8" t="s">
        <v>320</v>
      </c>
      <c r="NT8" t="s">
        <v>13</v>
      </c>
      <c r="NU8" t="s">
        <v>320</v>
      </c>
      <c r="NV8" t="s">
        <v>13</v>
      </c>
      <c r="NW8" t="s">
        <v>13</v>
      </c>
      <c r="NX8" t="s">
        <v>13</v>
      </c>
      <c r="NY8" t="s">
        <v>13</v>
      </c>
      <c r="NZ8" t="s">
        <v>89</v>
      </c>
      <c r="OA8" t="s">
        <v>13</v>
      </c>
      <c r="OB8" t="s">
        <v>89</v>
      </c>
      <c r="OC8" t="s">
        <v>328</v>
      </c>
      <c r="OD8" t="s">
        <v>542</v>
      </c>
      <c r="OE8" t="s">
        <v>13</v>
      </c>
      <c r="OF8" t="s">
        <v>64</v>
      </c>
      <c r="OG8" t="s">
        <v>64</v>
      </c>
      <c r="OH8" t="s">
        <v>64</v>
      </c>
      <c r="OI8" t="s">
        <v>207</v>
      </c>
      <c r="OJ8" t="s">
        <v>551</v>
      </c>
      <c r="OK8" t="s">
        <v>553</v>
      </c>
      <c r="OL8" t="s">
        <v>13</v>
      </c>
      <c r="OM8" t="s">
        <v>556</v>
      </c>
      <c r="ON8" t="s">
        <v>556</v>
      </c>
      <c r="OO8" t="s">
        <v>64</v>
      </c>
      <c r="OP8" t="s">
        <v>37</v>
      </c>
      <c r="OQ8" t="s">
        <v>28</v>
      </c>
      <c r="OR8" t="s">
        <v>13</v>
      </c>
      <c r="OS8" t="s">
        <v>37</v>
      </c>
      <c r="OT8" t="s">
        <v>320</v>
      </c>
      <c r="OU8" t="s">
        <v>10</v>
      </c>
      <c r="OV8" t="s">
        <v>47</v>
      </c>
      <c r="OW8" t="s">
        <v>37</v>
      </c>
      <c r="OX8" t="s">
        <v>62</v>
      </c>
      <c r="OY8" t="s">
        <v>13</v>
      </c>
      <c r="OZ8" t="s">
        <v>89</v>
      </c>
      <c r="PA8" t="s">
        <v>13</v>
      </c>
      <c r="PB8" t="s">
        <v>13</v>
      </c>
      <c r="PC8" t="s">
        <v>37</v>
      </c>
      <c r="PD8" t="s">
        <v>57</v>
      </c>
      <c r="PE8" t="s">
        <v>57</v>
      </c>
      <c r="PF8" t="s">
        <v>579</v>
      </c>
      <c r="PG8" t="s">
        <v>581</v>
      </c>
      <c r="PH8" t="s">
        <v>581</v>
      </c>
      <c r="PI8" t="s">
        <v>13</v>
      </c>
      <c r="PJ8" t="s">
        <v>13</v>
      </c>
      <c r="PK8" t="s">
        <v>579</v>
      </c>
      <c r="PL8" t="s">
        <v>581</v>
      </c>
      <c r="PM8" t="s">
        <v>581</v>
      </c>
      <c r="PN8" t="s">
        <v>37</v>
      </c>
      <c r="PO8" t="s">
        <v>589</v>
      </c>
      <c r="PP8" t="s">
        <v>2468</v>
      </c>
      <c r="PQ8" t="s">
        <v>10</v>
      </c>
      <c r="PR8" t="s">
        <v>184</v>
      </c>
      <c r="PS8" t="s">
        <v>13</v>
      </c>
      <c r="PT8" t="s">
        <v>13</v>
      </c>
      <c r="PU8" t="s">
        <v>37</v>
      </c>
      <c r="PV8" t="s">
        <v>202</v>
      </c>
      <c r="PW8" t="s">
        <v>13</v>
      </c>
      <c r="PX8" t="s">
        <v>47</v>
      </c>
      <c r="PY8" t="s">
        <v>28</v>
      </c>
      <c r="PZ8" t="s">
        <v>13</v>
      </c>
      <c r="QA8" t="s">
        <v>64</v>
      </c>
      <c r="QB8" t="s">
        <v>8</v>
      </c>
      <c r="QC8" t="s">
        <v>62</v>
      </c>
      <c r="QD8" t="s">
        <v>13</v>
      </c>
      <c r="QE8" t="s">
        <v>37</v>
      </c>
      <c r="QF8" t="s">
        <v>466</v>
      </c>
      <c r="QG8" t="s">
        <v>10</v>
      </c>
      <c r="QH8" t="s">
        <v>57</v>
      </c>
      <c r="QI8" t="s">
        <v>57</v>
      </c>
      <c r="QJ8" t="s">
        <v>13</v>
      </c>
      <c r="QK8" t="s">
        <v>320</v>
      </c>
      <c r="QL8" t="s">
        <v>13</v>
      </c>
      <c r="QM8" t="s">
        <v>64</v>
      </c>
      <c r="QN8" t="s">
        <v>343</v>
      </c>
      <c r="QO8" t="s">
        <v>13</v>
      </c>
      <c r="QP8" t="s">
        <v>64</v>
      </c>
      <c r="QQ8" t="s">
        <v>10</v>
      </c>
      <c r="QR8" t="s">
        <v>64</v>
      </c>
      <c r="QS8" t="s">
        <v>507</v>
      </c>
      <c r="QT8" t="s">
        <v>184</v>
      </c>
      <c r="QU8" t="s">
        <v>37</v>
      </c>
      <c r="QV8" t="s">
        <v>37</v>
      </c>
      <c r="QW8" t="s">
        <v>297</v>
      </c>
      <c r="QX8" t="s">
        <v>297</v>
      </c>
      <c r="QY8" t="s">
        <v>297</v>
      </c>
      <c r="QZ8" t="s">
        <v>636</v>
      </c>
      <c r="RA8" t="s">
        <v>637</v>
      </c>
      <c r="RB8" t="s">
        <v>13</v>
      </c>
      <c r="RC8" t="s">
        <v>13</v>
      </c>
      <c r="RD8" t="s">
        <v>13</v>
      </c>
      <c r="RE8" t="s">
        <v>542</v>
      </c>
      <c r="RF8" t="s">
        <v>176</v>
      </c>
      <c r="RG8" t="s">
        <v>320</v>
      </c>
      <c r="RH8" t="s">
        <v>207</v>
      </c>
      <c r="RI8" t="s">
        <v>651</v>
      </c>
      <c r="RJ8" t="s">
        <v>653</v>
      </c>
      <c r="RK8" t="s">
        <v>202</v>
      </c>
      <c r="RL8" t="s">
        <v>521</v>
      </c>
      <c r="RM8" t="s">
        <v>13</v>
      </c>
      <c r="RN8" t="s">
        <v>89</v>
      </c>
      <c r="RO8" t="s">
        <v>89</v>
      </c>
      <c r="RP8" t="s">
        <v>235</v>
      </c>
      <c r="RQ8" t="s">
        <v>13</v>
      </c>
      <c r="RR8" t="s">
        <v>37</v>
      </c>
      <c r="RS8" t="s">
        <v>13</v>
      </c>
      <c r="RT8" t="s">
        <v>64</v>
      </c>
      <c r="RU8" t="s">
        <v>37</v>
      </c>
      <c r="RV8" t="s">
        <v>37</v>
      </c>
      <c r="RW8" t="s">
        <v>10</v>
      </c>
      <c r="RX8" t="s">
        <v>13</v>
      </c>
      <c r="RY8" t="s">
        <v>678</v>
      </c>
      <c r="RZ8" t="s">
        <v>678</v>
      </c>
      <c r="SA8" t="s">
        <v>678</v>
      </c>
      <c r="SB8" t="s">
        <v>379</v>
      </c>
      <c r="SC8" t="s">
        <v>28</v>
      </c>
      <c r="SD8" t="s">
        <v>28</v>
      </c>
      <c r="SE8" t="s">
        <v>30</v>
      </c>
      <c r="SF8" t="s">
        <v>207</v>
      </c>
      <c r="SG8" t="s">
        <v>13</v>
      </c>
      <c r="SH8" t="s">
        <v>37</v>
      </c>
      <c r="SI8" t="s">
        <v>693</v>
      </c>
      <c r="SJ8" t="s">
        <v>13</v>
      </c>
      <c r="SK8" t="s">
        <v>13</v>
      </c>
      <c r="SL8" t="s">
        <v>37</v>
      </c>
      <c r="SM8" t="s">
        <v>49</v>
      </c>
      <c r="SN8" t="s">
        <v>13</v>
      </c>
      <c r="SO8" t="s">
        <v>64</v>
      </c>
      <c r="SP8" t="s">
        <v>64</v>
      </c>
      <c r="SQ8" t="s">
        <v>49</v>
      </c>
      <c r="SR8" t="s">
        <v>8</v>
      </c>
      <c r="SS8" t="s">
        <v>13</v>
      </c>
      <c r="ST8" t="s">
        <v>57</v>
      </c>
      <c r="SU8" t="s">
        <v>5</v>
      </c>
      <c r="SV8" t="s">
        <v>5</v>
      </c>
      <c r="SW8" t="s">
        <v>207</v>
      </c>
      <c r="SX8" t="s">
        <v>13</v>
      </c>
      <c r="SY8" t="s">
        <v>47</v>
      </c>
      <c r="SZ8" t="s">
        <v>207</v>
      </c>
      <c r="TA8" t="s">
        <v>37</v>
      </c>
      <c r="TB8" t="s">
        <v>13</v>
      </c>
      <c r="TC8" t="s">
        <v>176</v>
      </c>
      <c r="TD8" t="s">
        <v>207</v>
      </c>
      <c r="TE8" t="s">
        <v>37</v>
      </c>
      <c r="TF8" t="s">
        <v>207</v>
      </c>
      <c r="TG8" t="s">
        <v>207</v>
      </c>
      <c r="TH8" t="s">
        <v>13</v>
      </c>
      <c r="TI8" t="s">
        <v>64</v>
      </c>
      <c r="TJ8" t="s">
        <v>13</v>
      </c>
      <c r="TK8" t="s">
        <v>320</v>
      </c>
      <c r="TL8" t="s">
        <v>37</v>
      </c>
      <c r="TM8" t="s">
        <v>320</v>
      </c>
      <c r="TN8" t="s">
        <v>207</v>
      </c>
      <c r="TO8" t="s">
        <v>13</v>
      </c>
      <c r="TP8" t="s">
        <v>356</v>
      </c>
      <c r="TQ8" t="s">
        <v>89</v>
      </c>
      <c r="TR8" t="s">
        <v>5</v>
      </c>
      <c r="TS8" t="s">
        <v>207</v>
      </c>
      <c r="TT8" t="s">
        <v>13</v>
      </c>
      <c r="TU8" t="s">
        <v>13</v>
      </c>
      <c r="TV8" t="s">
        <v>176</v>
      </c>
      <c r="TW8" t="s">
        <v>37</v>
      </c>
      <c r="TX8" t="s">
        <v>207</v>
      </c>
      <c r="TY8" t="s">
        <v>762</v>
      </c>
      <c r="TZ8" t="s">
        <v>762</v>
      </c>
      <c r="UA8" t="s">
        <v>64</v>
      </c>
      <c r="UB8" t="s">
        <v>320</v>
      </c>
      <c r="UC8" t="s">
        <v>320</v>
      </c>
      <c r="UD8" t="s">
        <v>207</v>
      </c>
      <c r="UE8" t="s">
        <v>13</v>
      </c>
      <c r="UF8" t="s">
        <v>320</v>
      </c>
      <c r="UG8" t="s">
        <v>13</v>
      </c>
      <c r="UH8" t="s">
        <v>320</v>
      </c>
      <c r="UI8" t="s">
        <v>89</v>
      </c>
      <c r="UJ8" t="s">
        <v>13</v>
      </c>
      <c r="UK8" t="s">
        <v>5</v>
      </c>
      <c r="UL8" t="s">
        <v>176</v>
      </c>
      <c r="UM8" t="s">
        <v>320</v>
      </c>
      <c r="UN8" t="s">
        <v>2467</v>
      </c>
      <c r="UO8" t="s">
        <v>13</v>
      </c>
      <c r="UP8" t="s">
        <v>26</v>
      </c>
      <c r="UQ8" t="s">
        <v>30</v>
      </c>
      <c r="UR8" t="s">
        <v>49</v>
      </c>
      <c r="US8" t="s">
        <v>37</v>
      </c>
      <c r="UT8" t="s">
        <v>37</v>
      </c>
      <c r="UU8" t="s">
        <v>37</v>
      </c>
      <c r="UV8" t="s">
        <v>202</v>
      </c>
      <c r="UW8" t="s">
        <v>130</v>
      </c>
      <c r="UX8" t="s">
        <v>130</v>
      </c>
      <c r="UY8" t="s">
        <v>10</v>
      </c>
      <c r="UZ8" t="s">
        <v>47</v>
      </c>
      <c r="VA8" t="s">
        <v>556</v>
      </c>
      <c r="VB8" t="s">
        <v>2467</v>
      </c>
      <c r="VC8" t="s">
        <v>257</v>
      </c>
      <c r="VD8" t="s">
        <v>49</v>
      </c>
      <c r="VE8" t="s">
        <v>132</v>
      </c>
      <c r="VF8" t="s">
        <v>132</v>
      </c>
      <c r="VG8" t="s">
        <v>132</v>
      </c>
      <c r="VH8" t="s">
        <v>132</v>
      </c>
      <c r="VI8" t="s">
        <v>110</v>
      </c>
      <c r="VJ8" t="s">
        <v>110</v>
      </c>
      <c r="VK8" t="s">
        <v>138</v>
      </c>
      <c r="VL8" t="s">
        <v>816</v>
      </c>
      <c r="VM8" t="s">
        <v>13</v>
      </c>
      <c r="VN8" t="s">
        <v>320</v>
      </c>
      <c r="VO8" t="s">
        <v>207</v>
      </c>
      <c r="VP8" t="s">
        <v>13</v>
      </c>
      <c r="VQ8" t="s">
        <v>320</v>
      </c>
      <c r="VR8" t="s">
        <v>825</v>
      </c>
      <c r="VS8" t="s">
        <v>151</v>
      </c>
      <c r="VT8" t="s">
        <v>151</v>
      </c>
      <c r="VU8" t="s">
        <v>61</v>
      </c>
      <c r="VV8" t="s">
        <v>37</v>
      </c>
      <c r="VW8" t="s">
        <v>47</v>
      </c>
      <c r="VX8" t="s">
        <v>10</v>
      </c>
      <c r="VY8" t="s">
        <v>37</v>
      </c>
      <c r="VZ8" t="s">
        <v>176</v>
      </c>
      <c r="WA8" t="s">
        <v>13</v>
      </c>
      <c r="WB8" t="s">
        <v>89</v>
      </c>
      <c r="WC8" t="s">
        <v>30</v>
      </c>
      <c r="WD8" t="s">
        <v>320</v>
      </c>
      <c r="WE8" t="s">
        <v>207</v>
      </c>
      <c r="WF8" t="s">
        <v>13</v>
      </c>
      <c r="WG8" t="s">
        <v>320</v>
      </c>
      <c r="WH8" t="s">
        <v>160</v>
      </c>
      <c r="WI8" t="s">
        <v>160</v>
      </c>
      <c r="WJ8" t="s">
        <v>160</v>
      </c>
      <c r="WK8" t="s">
        <v>160</v>
      </c>
      <c r="WL8" t="s">
        <v>57</v>
      </c>
      <c r="WM8" t="s">
        <v>89</v>
      </c>
      <c r="WN8" t="s">
        <v>13</v>
      </c>
      <c r="WO8" t="s">
        <v>8</v>
      </c>
      <c r="WP8" t="s">
        <v>8</v>
      </c>
      <c r="WQ8" t="s">
        <v>10</v>
      </c>
      <c r="WR8" t="s">
        <v>13</v>
      </c>
      <c r="WS8" t="s">
        <v>320</v>
      </c>
      <c r="WT8" t="s">
        <v>13</v>
      </c>
      <c r="WU8" t="s">
        <v>5</v>
      </c>
      <c r="WV8" t="s">
        <v>320</v>
      </c>
      <c r="WW8" t="s">
        <v>37</v>
      </c>
      <c r="WX8" t="s">
        <v>320</v>
      </c>
      <c r="WY8" t="s">
        <v>37</v>
      </c>
      <c r="WZ8" t="s">
        <v>13</v>
      </c>
      <c r="XA8" t="s">
        <v>37</v>
      </c>
      <c r="XB8" t="s">
        <v>28</v>
      </c>
      <c r="XC8" t="s">
        <v>61</v>
      </c>
      <c r="XD8" t="s">
        <v>61</v>
      </c>
      <c r="XE8" t="s">
        <v>37</v>
      </c>
      <c r="XF8" t="s">
        <v>37</v>
      </c>
      <c r="XG8" t="s">
        <v>320</v>
      </c>
      <c r="XH8" t="s">
        <v>207</v>
      </c>
      <c r="XI8" t="s">
        <v>47</v>
      </c>
      <c r="XJ8" t="s">
        <v>123</v>
      </c>
      <c r="XK8" t="s">
        <v>5</v>
      </c>
      <c r="XL8" t="s">
        <v>37</v>
      </c>
      <c r="XM8" t="s">
        <v>2467</v>
      </c>
      <c r="XN8" t="s">
        <v>61</v>
      </c>
      <c r="XO8" t="s">
        <v>30</v>
      </c>
      <c r="XP8" t="s">
        <v>49</v>
      </c>
      <c r="XQ8" t="s">
        <v>64</v>
      </c>
      <c r="XR8" t="s">
        <v>62</v>
      </c>
      <c r="XS8" t="s">
        <v>62</v>
      </c>
      <c r="XT8" t="s">
        <v>13</v>
      </c>
      <c r="XU8" t="s">
        <v>13</v>
      </c>
      <c r="XV8" t="s">
        <v>47</v>
      </c>
      <c r="XW8" t="s">
        <v>37</v>
      </c>
      <c r="XX8" t="s">
        <v>37</v>
      </c>
      <c r="XY8" t="s">
        <v>320</v>
      </c>
      <c r="XZ8" t="s">
        <v>13</v>
      </c>
      <c r="YA8" t="s">
        <v>320</v>
      </c>
      <c r="YB8" t="s">
        <v>13</v>
      </c>
      <c r="YC8" t="s">
        <v>320</v>
      </c>
      <c r="YD8" t="s">
        <v>176</v>
      </c>
      <c r="YE8" t="s">
        <v>207</v>
      </c>
      <c r="YF8" t="s">
        <v>13</v>
      </c>
      <c r="YG8" t="s">
        <v>13</v>
      </c>
      <c r="YH8" t="s">
        <v>10</v>
      </c>
      <c r="YI8" t="s">
        <v>13</v>
      </c>
      <c r="YJ8" t="s">
        <v>47</v>
      </c>
      <c r="YK8" t="s">
        <v>49</v>
      </c>
      <c r="YL8" t="s">
        <v>8</v>
      </c>
      <c r="YM8" t="s">
        <v>62</v>
      </c>
      <c r="YN8" t="s">
        <v>13</v>
      </c>
      <c r="YO8" t="s">
        <v>47</v>
      </c>
      <c r="YP8" t="s">
        <v>64</v>
      </c>
      <c r="YQ8" t="s">
        <v>62</v>
      </c>
      <c r="YR8" t="s">
        <v>10</v>
      </c>
      <c r="YS8" t="s">
        <v>10</v>
      </c>
      <c r="YT8" t="s">
        <v>37</v>
      </c>
      <c r="YU8" t="s">
        <v>320</v>
      </c>
      <c r="YV8" t="s">
        <v>379</v>
      </c>
      <c r="YW8" t="s">
        <v>30</v>
      </c>
      <c r="YX8" t="s">
        <v>13</v>
      </c>
      <c r="YY8" t="s">
        <v>5</v>
      </c>
      <c r="YZ8" t="s">
        <v>320</v>
      </c>
      <c r="ZA8" t="s">
        <v>30</v>
      </c>
      <c r="ZB8" t="s">
        <v>5</v>
      </c>
      <c r="ZC8" t="s">
        <v>320</v>
      </c>
      <c r="ZD8" t="s">
        <v>10</v>
      </c>
      <c r="ZE8" t="s">
        <v>946</v>
      </c>
      <c r="ZF8" t="s">
        <v>26</v>
      </c>
      <c r="ZG8" t="s">
        <v>30</v>
      </c>
      <c r="ZH8" t="s">
        <v>13</v>
      </c>
      <c r="ZI8" t="s">
        <v>13</v>
      </c>
      <c r="ZJ8" t="s">
        <v>73</v>
      </c>
      <c r="ZK8" t="s">
        <v>49</v>
      </c>
      <c r="ZL8" t="s">
        <v>132</v>
      </c>
      <c r="ZM8" t="s">
        <v>13</v>
      </c>
      <c r="ZN8" t="s">
        <v>89</v>
      </c>
      <c r="ZO8" t="s">
        <v>13</v>
      </c>
      <c r="ZP8" t="s">
        <v>556</v>
      </c>
      <c r="ZQ8" t="s">
        <v>320</v>
      </c>
      <c r="ZR8" t="s">
        <v>207</v>
      </c>
      <c r="ZS8" t="s">
        <v>13</v>
      </c>
      <c r="ZT8" t="s">
        <v>8</v>
      </c>
      <c r="ZU8" t="s">
        <v>966</v>
      </c>
      <c r="ZV8" t="s">
        <v>320</v>
      </c>
      <c r="ZW8" t="s">
        <v>207</v>
      </c>
      <c r="ZX8" t="s">
        <v>13</v>
      </c>
      <c r="ZY8" t="s">
        <v>45</v>
      </c>
      <c r="ZZ8" t="s">
        <v>45</v>
      </c>
      <c r="AAA8" t="s">
        <v>47</v>
      </c>
      <c r="AAB8" t="s">
        <v>37</v>
      </c>
      <c r="AAC8" t="s">
        <v>510</v>
      </c>
      <c r="AAD8" t="s">
        <v>89</v>
      </c>
      <c r="AAE8" t="s">
        <v>13</v>
      </c>
      <c r="AAF8" t="s">
        <v>320</v>
      </c>
      <c r="AAG8" t="s">
        <v>510</v>
      </c>
      <c r="AAH8" t="s">
        <v>320</v>
      </c>
      <c r="AAI8" t="s">
        <v>13</v>
      </c>
      <c r="AAJ8" t="s">
        <v>320</v>
      </c>
      <c r="AAK8" t="s">
        <v>13</v>
      </c>
      <c r="AAL8" t="s">
        <v>47</v>
      </c>
      <c r="AAM8" t="s">
        <v>8</v>
      </c>
      <c r="AAN8" t="s">
        <v>343</v>
      </c>
      <c r="AAO8" t="s">
        <v>13</v>
      </c>
      <c r="AAP8" t="s">
        <v>47</v>
      </c>
      <c r="AAQ8" t="s">
        <v>47</v>
      </c>
      <c r="AAR8" t="s">
        <v>13</v>
      </c>
      <c r="AAS8" t="s">
        <v>30</v>
      </c>
      <c r="AAT8" t="s">
        <v>13</v>
      </c>
      <c r="AAU8" t="s">
        <v>37</v>
      </c>
      <c r="AAV8" t="s">
        <v>320</v>
      </c>
      <c r="AAW8" t="s">
        <v>64</v>
      </c>
      <c r="AAX8" t="s">
        <v>207</v>
      </c>
      <c r="AAY8" t="s">
        <v>13</v>
      </c>
      <c r="AAZ8" t="s">
        <v>13</v>
      </c>
      <c r="ABA8" t="s">
        <v>47</v>
      </c>
      <c r="ABB8" t="s">
        <v>49</v>
      </c>
      <c r="ABC8" t="s">
        <v>13</v>
      </c>
      <c r="ABD8" t="s">
        <v>47</v>
      </c>
      <c r="ABE8" t="s">
        <v>64</v>
      </c>
      <c r="ABF8" t="s">
        <v>37</v>
      </c>
      <c r="ABG8" t="s">
        <v>13</v>
      </c>
      <c r="ABH8" t="s">
        <v>13</v>
      </c>
      <c r="ABI8" t="s">
        <v>10</v>
      </c>
      <c r="ABJ8" t="s">
        <v>176</v>
      </c>
      <c r="ABK8" t="s">
        <v>5</v>
      </c>
      <c r="ABL8" t="s">
        <v>320</v>
      </c>
      <c r="ABM8" t="s">
        <v>47</v>
      </c>
      <c r="ABN8" t="s">
        <v>49</v>
      </c>
      <c r="ABO8" t="s">
        <v>13</v>
      </c>
      <c r="ABP8" t="s">
        <v>26</v>
      </c>
      <c r="ABQ8" t="s">
        <v>13</v>
      </c>
      <c r="ABR8" t="s">
        <v>89</v>
      </c>
      <c r="ABS8" t="s">
        <v>37</v>
      </c>
      <c r="ABT8" t="s">
        <v>320</v>
      </c>
      <c r="ABU8" t="s">
        <v>320</v>
      </c>
      <c r="ABV8" t="s">
        <v>207</v>
      </c>
      <c r="ABW8" t="s">
        <v>5</v>
      </c>
      <c r="ABX8" t="s">
        <v>320</v>
      </c>
      <c r="ABY8" t="s">
        <v>37</v>
      </c>
      <c r="ABZ8" t="s">
        <v>320</v>
      </c>
      <c r="ACA8" t="s">
        <v>320</v>
      </c>
      <c r="ACB8" t="s">
        <v>89</v>
      </c>
      <c r="ACC8" t="s">
        <v>13</v>
      </c>
      <c r="ACD8" t="s">
        <v>89</v>
      </c>
      <c r="ACE8" t="s">
        <v>47</v>
      </c>
      <c r="ACF8" t="s">
        <v>47</v>
      </c>
      <c r="ACG8" t="s">
        <v>5</v>
      </c>
      <c r="ACH8" t="s">
        <v>290</v>
      </c>
      <c r="ACI8" t="s">
        <v>13</v>
      </c>
      <c r="ACJ8" t="s">
        <v>320</v>
      </c>
      <c r="ACK8" t="s">
        <v>13</v>
      </c>
      <c r="ACL8" t="s">
        <v>47</v>
      </c>
      <c r="ACM8" t="s">
        <v>8</v>
      </c>
      <c r="ACN8" t="s">
        <v>45</v>
      </c>
      <c r="ACO8" t="s">
        <v>507</v>
      </c>
      <c r="ACP8" t="s">
        <v>10</v>
      </c>
      <c r="ACQ8" t="s">
        <v>13</v>
      </c>
      <c r="ACR8" t="s">
        <v>320</v>
      </c>
      <c r="ACS8" t="s">
        <v>320</v>
      </c>
      <c r="ACT8" t="s">
        <v>13</v>
      </c>
      <c r="ACU8" t="s">
        <v>13</v>
      </c>
      <c r="ACV8" t="s">
        <v>10</v>
      </c>
      <c r="ACW8" t="s">
        <v>37</v>
      </c>
      <c r="ACX8" t="s">
        <v>320</v>
      </c>
      <c r="ACY8" t="s">
        <v>176</v>
      </c>
      <c r="ACZ8" t="s">
        <v>45</v>
      </c>
      <c r="ADA8" t="s">
        <v>45</v>
      </c>
      <c r="ADB8" t="s">
        <v>45</v>
      </c>
      <c r="ADC8" t="s">
        <v>45</v>
      </c>
      <c r="ADD8" t="s">
        <v>37</v>
      </c>
      <c r="ADE8" t="s">
        <v>37</v>
      </c>
      <c r="ADF8" t="s">
        <v>678</v>
      </c>
      <c r="ADG8" t="s">
        <v>678</v>
      </c>
      <c r="ADH8" t="s">
        <v>176</v>
      </c>
      <c r="ADI8" t="s">
        <v>320</v>
      </c>
      <c r="ADJ8" t="s">
        <v>207</v>
      </c>
      <c r="ADK8" t="s">
        <v>13</v>
      </c>
      <c r="ADL8" t="s">
        <v>37</v>
      </c>
      <c r="ADM8" t="s">
        <v>356</v>
      </c>
      <c r="ADN8" t="s">
        <v>89</v>
      </c>
      <c r="ADO8" t="s">
        <v>37</v>
      </c>
      <c r="ADP8" t="s">
        <v>37</v>
      </c>
      <c r="ADQ8" t="s">
        <v>37</v>
      </c>
      <c r="ADR8" t="s">
        <v>320</v>
      </c>
      <c r="ADS8" t="s">
        <v>10</v>
      </c>
      <c r="ADT8" t="s">
        <v>89</v>
      </c>
      <c r="ADU8" t="s">
        <v>946</v>
      </c>
      <c r="ADV8" t="s">
        <v>320</v>
      </c>
      <c r="ADW8" t="s">
        <v>13</v>
      </c>
      <c r="ADX8" t="s">
        <v>37</v>
      </c>
      <c r="ADY8" t="s">
        <v>320</v>
      </c>
      <c r="ADZ8" t="s">
        <v>176</v>
      </c>
      <c r="AEA8" t="s">
        <v>320</v>
      </c>
      <c r="AEB8" t="s">
        <v>184</v>
      </c>
      <c r="AEC8" t="s">
        <v>26</v>
      </c>
      <c r="AED8" t="s">
        <v>26</v>
      </c>
      <c r="AEE8" t="s">
        <v>26</v>
      </c>
      <c r="AEF8" t="s">
        <v>521</v>
      </c>
      <c r="AEG8" t="s">
        <v>13</v>
      </c>
      <c r="AEH8" t="s">
        <v>28</v>
      </c>
      <c r="AEI8" t="s">
        <v>160</v>
      </c>
      <c r="AEJ8" t="s">
        <v>2467</v>
      </c>
      <c r="AEK8" t="s">
        <v>30</v>
      </c>
      <c r="AEL8" t="s">
        <v>13</v>
      </c>
      <c r="AEM8" t="s">
        <v>320</v>
      </c>
      <c r="AEN8" t="s">
        <v>10</v>
      </c>
      <c r="AEO8" t="s">
        <v>13</v>
      </c>
      <c r="AEP8" t="s">
        <v>13</v>
      </c>
      <c r="AEQ8" t="s">
        <v>5</v>
      </c>
      <c r="AER8" t="s">
        <v>5</v>
      </c>
      <c r="AES8" t="s">
        <v>10</v>
      </c>
      <c r="AET8" t="s">
        <v>45</v>
      </c>
      <c r="AEU8" t="s">
        <v>47</v>
      </c>
      <c r="AEV8" t="s">
        <v>13</v>
      </c>
      <c r="AEW8" t="s">
        <v>47</v>
      </c>
      <c r="AEX8" t="s">
        <v>49</v>
      </c>
      <c r="AEY8" t="s">
        <v>8</v>
      </c>
      <c r="AEZ8" t="s">
        <v>62</v>
      </c>
      <c r="AFA8" t="s">
        <v>13</v>
      </c>
      <c r="AFB8" t="s">
        <v>13</v>
      </c>
      <c r="AFC8" t="s">
        <v>5</v>
      </c>
      <c r="AFD8" t="s">
        <v>10</v>
      </c>
      <c r="AFE8" t="s">
        <v>10</v>
      </c>
      <c r="AFF8" t="s">
        <v>1151</v>
      </c>
      <c r="AFG8" t="s">
        <v>1151</v>
      </c>
      <c r="AFH8" t="s">
        <v>1154</v>
      </c>
      <c r="AFI8" t="s">
        <v>1156</v>
      </c>
      <c r="AFJ8" t="s">
        <v>1158</v>
      </c>
      <c r="AFK8" t="s">
        <v>1160</v>
      </c>
      <c r="AFL8" t="s">
        <v>13</v>
      </c>
      <c r="AFM8" t="s">
        <v>8</v>
      </c>
      <c r="AFN8" t="s">
        <v>510</v>
      </c>
      <c r="AFO8" t="s">
        <v>37</v>
      </c>
      <c r="AFP8" t="s">
        <v>510</v>
      </c>
      <c r="AFQ8" t="s">
        <v>1171</v>
      </c>
      <c r="AFR8" t="s">
        <v>37</v>
      </c>
      <c r="AFS8" t="s">
        <v>320</v>
      </c>
      <c r="AFT8" t="s">
        <v>2467</v>
      </c>
      <c r="AFU8" t="s">
        <v>28</v>
      </c>
      <c r="AFV8" t="s">
        <v>28</v>
      </c>
      <c r="AFW8" t="s">
        <v>28</v>
      </c>
      <c r="AFX8" t="s">
        <v>28</v>
      </c>
      <c r="AFY8" t="s">
        <v>28</v>
      </c>
      <c r="AFZ8" t="s">
        <v>30</v>
      </c>
      <c r="AGA8" t="s">
        <v>13</v>
      </c>
      <c r="AGB8" t="s">
        <v>5</v>
      </c>
      <c r="AGC8" t="s">
        <v>320</v>
      </c>
      <c r="AGD8" t="s">
        <v>1188</v>
      </c>
      <c r="AGE8" t="s">
        <v>160</v>
      </c>
      <c r="AGF8" t="s">
        <v>13</v>
      </c>
      <c r="AGG8" t="s">
        <v>13</v>
      </c>
      <c r="AGH8" t="s">
        <v>5</v>
      </c>
      <c r="AGI8" t="s">
        <v>10</v>
      </c>
      <c r="AGJ8" t="s">
        <v>320</v>
      </c>
      <c r="AGK8" t="s">
        <v>10</v>
      </c>
      <c r="AGL8" t="s">
        <v>61</v>
      </c>
      <c r="AGM8" t="s">
        <v>61</v>
      </c>
      <c r="AGN8" t="s">
        <v>249</v>
      </c>
      <c r="AGO8" t="s">
        <v>249</v>
      </c>
      <c r="AGP8" t="s">
        <v>1205</v>
      </c>
      <c r="AGQ8" t="s">
        <v>204</v>
      </c>
      <c r="AGR8" t="s">
        <v>1208</v>
      </c>
      <c r="AGS8" t="s">
        <v>1208</v>
      </c>
      <c r="AGT8" t="s">
        <v>160</v>
      </c>
      <c r="AGU8" t="s">
        <v>13</v>
      </c>
      <c r="AGV8" t="s">
        <v>47</v>
      </c>
      <c r="AGW8" t="s">
        <v>184</v>
      </c>
      <c r="AGX8" t="s">
        <v>62</v>
      </c>
      <c r="AGY8" t="s">
        <v>89</v>
      </c>
      <c r="AGZ8" t="s">
        <v>328</v>
      </c>
      <c r="AHA8" t="s">
        <v>37</v>
      </c>
      <c r="AHB8" t="s">
        <v>37</v>
      </c>
      <c r="AHC8" t="s">
        <v>28</v>
      </c>
      <c r="AHD8" t="s">
        <v>61</v>
      </c>
      <c r="AHE8" t="s">
        <v>542</v>
      </c>
      <c r="AHF8" t="s">
        <v>138</v>
      </c>
      <c r="AHG8" t="s">
        <v>2467</v>
      </c>
      <c r="AHH8" t="s">
        <v>2467</v>
      </c>
      <c r="AHI8" t="s">
        <v>37</v>
      </c>
      <c r="AHJ8" t="s">
        <v>2467</v>
      </c>
      <c r="AHK8" t="s">
        <v>1233</v>
      </c>
      <c r="AHL8" t="s">
        <v>13</v>
      </c>
      <c r="AHM8" t="s">
        <v>45</v>
      </c>
      <c r="AHN8" t="s">
        <v>47</v>
      </c>
      <c r="AHO8" t="s">
        <v>37</v>
      </c>
      <c r="AHP8" t="s">
        <v>64</v>
      </c>
      <c r="AHQ8" t="s">
        <v>62</v>
      </c>
      <c r="AHR8" t="s">
        <v>13</v>
      </c>
      <c r="AHS8" t="s">
        <v>47</v>
      </c>
      <c r="AHT8" t="s">
        <v>8</v>
      </c>
      <c r="AHU8" t="s">
        <v>8</v>
      </c>
      <c r="AHV8" t="s">
        <v>10</v>
      </c>
      <c r="AHW8" t="s">
        <v>47</v>
      </c>
      <c r="AHX8" t="s">
        <v>47</v>
      </c>
      <c r="AHY8" t="s">
        <v>37</v>
      </c>
      <c r="AHZ8" t="s">
        <v>64</v>
      </c>
      <c r="AIA8" t="s">
        <v>37</v>
      </c>
      <c r="AIB8" t="s">
        <v>47</v>
      </c>
      <c r="AIC8" t="s">
        <v>64</v>
      </c>
      <c r="AID8" t="s">
        <v>1253</v>
      </c>
      <c r="AIE8" t="s">
        <v>1253</v>
      </c>
      <c r="AIF8" t="s">
        <v>13</v>
      </c>
      <c r="AIG8" t="s">
        <v>13</v>
      </c>
      <c r="AIH8" t="s">
        <v>30</v>
      </c>
      <c r="AII8" t="s">
        <v>30</v>
      </c>
      <c r="AIJ8" t="s">
        <v>1264</v>
      </c>
      <c r="AIK8" t="s">
        <v>184</v>
      </c>
      <c r="AIL8" t="s">
        <v>13</v>
      </c>
      <c r="AIM8" t="s">
        <v>10</v>
      </c>
      <c r="AIN8" t="s">
        <v>13</v>
      </c>
      <c r="AIO8" t="s">
        <v>149</v>
      </c>
      <c r="AIP8" t="s">
        <v>149</v>
      </c>
      <c r="AIQ8" t="s">
        <v>149</v>
      </c>
      <c r="AIR8" t="s">
        <v>13</v>
      </c>
      <c r="AIS8" t="s">
        <v>8</v>
      </c>
      <c r="AIT8" t="s">
        <v>320</v>
      </c>
      <c r="AIU8" t="s">
        <v>37</v>
      </c>
      <c r="AIV8" t="s">
        <v>37</v>
      </c>
      <c r="AIW8" t="s">
        <v>47</v>
      </c>
      <c r="AIX8" t="s">
        <v>37</v>
      </c>
      <c r="AIY8" t="s">
        <v>207</v>
      </c>
      <c r="AIZ8" t="s">
        <v>37</v>
      </c>
      <c r="AJA8" t="s">
        <v>57</v>
      </c>
      <c r="AJB8" t="s">
        <v>37</v>
      </c>
      <c r="AJC8" t="s">
        <v>61</v>
      </c>
      <c r="AJD8" t="s">
        <v>1292</v>
      </c>
      <c r="AJE8" t="s">
        <v>13</v>
      </c>
      <c r="AJF8" t="s">
        <v>13</v>
      </c>
      <c r="AJG8" t="s">
        <v>47</v>
      </c>
      <c r="AJH8" t="s">
        <v>49</v>
      </c>
      <c r="AJI8" t="s">
        <v>149</v>
      </c>
      <c r="AJJ8" t="s">
        <v>153</v>
      </c>
      <c r="AJK8" t="s">
        <v>61</v>
      </c>
      <c r="AJL8" t="s">
        <v>13</v>
      </c>
      <c r="AJM8" t="s">
        <v>13</v>
      </c>
      <c r="AJN8" t="s">
        <v>13</v>
      </c>
      <c r="AJO8" t="s">
        <v>89</v>
      </c>
      <c r="AJP8" t="s">
        <v>1310</v>
      </c>
      <c r="AJQ8" t="s">
        <v>37</v>
      </c>
      <c r="AJR8" t="s">
        <v>37</v>
      </c>
      <c r="AJS8" t="s">
        <v>320</v>
      </c>
      <c r="AJT8" t="s">
        <v>47</v>
      </c>
      <c r="AJU8" t="s">
        <v>13</v>
      </c>
      <c r="AJV8" t="s">
        <v>62</v>
      </c>
      <c r="AJW8" t="s">
        <v>62</v>
      </c>
      <c r="AJX8" t="s">
        <v>37</v>
      </c>
      <c r="AJY8" t="s">
        <v>320</v>
      </c>
      <c r="AJZ8" t="s">
        <v>202</v>
      </c>
      <c r="AKA8" t="s">
        <v>556</v>
      </c>
      <c r="AKB8" t="s">
        <v>30</v>
      </c>
      <c r="AKC8" t="s">
        <v>1328</v>
      </c>
      <c r="AKD8" t="s">
        <v>1328</v>
      </c>
      <c r="AKE8" t="s">
        <v>57</v>
      </c>
      <c r="AKF8" t="s">
        <v>1333</v>
      </c>
      <c r="AKG8" t="s">
        <v>47</v>
      </c>
      <c r="AKH8" t="s">
        <v>64</v>
      </c>
      <c r="AKI8" t="s">
        <v>64</v>
      </c>
      <c r="AKJ8" t="s">
        <v>10</v>
      </c>
      <c r="AKK8" t="s">
        <v>1339</v>
      </c>
      <c r="AKL8" t="s">
        <v>47</v>
      </c>
      <c r="AKM8" t="s">
        <v>47</v>
      </c>
      <c r="AKN8" t="s">
        <v>37</v>
      </c>
      <c r="AKO8" t="s">
        <v>37</v>
      </c>
      <c r="AKP8" t="s">
        <v>149</v>
      </c>
      <c r="AKQ8" t="s">
        <v>47</v>
      </c>
      <c r="AKR8" t="s">
        <v>64</v>
      </c>
      <c r="AKS8" t="s">
        <v>73</v>
      </c>
      <c r="AKT8" t="s">
        <v>1351</v>
      </c>
      <c r="AKU8" t="s">
        <v>13</v>
      </c>
      <c r="AKV8" t="s">
        <v>49</v>
      </c>
      <c r="AKW8" t="s">
        <v>61</v>
      </c>
      <c r="AKX8" t="s">
        <v>160</v>
      </c>
      <c r="AKY8" t="s">
        <v>13</v>
      </c>
      <c r="AKZ8" t="s">
        <v>47</v>
      </c>
      <c r="ALA8" t="s">
        <v>37</v>
      </c>
      <c r="ALB8" t="s">
        <v>23</v>
      </c>
      <c r="ALC8" t="s">
        <v>49</v>
      </c>
      <c r="ALD8" t="s">
        <v>13</v>
      </c>
      <c r="ALE8" t="s">
        <v>1363</v>
      </c>
      <c r="ALF8" t="s">
        <v>13</v>
      </c>
      <c r="ALG8" t="s">
        <v>13</v>
      </c>
      <c r="ALH8" t="s">
        <v>37</v>
      </c>
      <c r="ALI8" t="s">
        <v>510</v>
      </c>
      <c r="ALJ8" t="s">
        <v>89</v>
      </c>
      <c r="ALK8" t="s">
        <v>149</v>
      </c>
      <c r="ALL8" t="s">
        <v>26</v>
      </c>
      <c r="ALM8" t="s">
        <v>61</v>
      </c>
      <c r="ALN8" t="s">
        <v>153</v>
      </c>
      <c r="ALO8" t="s">
        <v>13</v>
      </c>
      <c r="ALP8" t="s">
        <v>47</v>
      </c>
      <c r="ALQ8" t="s">
        <v>49</v>
      </c>
      <c r="ALR8" t="s">
        <v>10</v>
      </c>
      <c r="ALS8" t="s">
        <v>37</v>
      </c>
      <c r="ALT8" t="s">
        <v>37</v>
      </c>
      <c r="ALU8" t="s">
        <v>1378</v>
      </c>
      <c r="ALV8" t="s">
        <v>61</v>
      </c>
      <c r="ALW8" t="s">
        <v>13</v>
      </c>
      <c r="ALX8" t="s">
        <v>13</v>
      </c>
      <c r="ALY8" t="s">
        <v>5</v>
      </c>
      <c r="ALZ8" t="s">
        <v>10</v>
      </c>
      <c r="AMA8" t="s">
        <v>176</v>
      </c>
      <c r="AMB8" t="s">
        <v>13</v>
      </c>
      <c r="AMC8" t="s">
        <v>37</v>
      </c>
      <c r="AMD8" t="s">
        <v>89</v>
      </c>
      <c r="AME8" t="s">
        <v>320</v>
      </c>
      <c r="AMF8" t="s">
        <v>10</v>
      </c>
      <c r="AMG8" t="s">
        <v>1393</v>
      </c>
      <c r="AMH8" t="s">
        <v>37</v>
      </c>
      <c r="AMI8" t="s">
        <v>37</v>
      </c>
      <c r="AMJ8" t="s">
        <v>89</v>
      </c>
      <c r="AMK8" t="s">
        <v>28</v>
      </c>
      <c r="AML8" t="s">
        <v>30</v>
      </c>
      <c r="AMM8" t="s">
        <v>2467</v>
      </c>
      <c r="AMN8" t="s">
        <v>30</v>
      </c>
      <c r="AMO8" t="s">
        <v>13</v>
      </c>
      <c r="AMP8" t="s">
        <v>47</v>
      </c>
      <c r="AMQ8" t="s">
        <v>62</v>
      </c>
      <c r="AMR8" t="s">
        <v>62</v>
      </c>
      <c r="AMS8" t="s">
        <v>320</v>
      </c>
      <c r="AMT8" t="s">
        <v>13</v>
      </c>
      <c r="AMU8" t="s">
        <v>47</v>
      </c>
      <c r="AMV8" t="s">
        <v>1415</v>
      </c>
      <c r="AMW8" t="s">
        <v>26</v>
      </c>
      <c r="AMX8" t="s">
        <v>579</v>
      </c>
      <c r="AMY8" t="s">
        <v>581</v>
      </c>
      <c r="AMZ8" t="s">
        <v>581</v>
      </c>
      <c r="ANA8" t="s">
        <v>184</v>
      </c>
      <c r="ANB8" t="s">
        <v>2467</v>
      </c>
      <c r="ANC8" t="s">
        <v>13</v>
      </c>
      <c r="AND8" t="s">
        <v>89</v>
      </c>
      <c r="ANE8" t="s">
        <v>13</v>
      </c>
      <c r="ANF8" t="s">
        <v>10</v>
      </c>
      <c r="ANG8" t="s">
        <v>10</v>
      </c>
      <c r="ANH8" t="s">
        <v>13</v>
      </c>
      <c r="ANI8" t="s">
        <v>13</v>
      </c>
      <c r="ANJ8" t="s">
        <v>61</v>
      </c>
      <c r="ANK8" t="s">
        <v>13</v>
      </c>
      <c r="ANL8" t="s">
        <v>13</v>
      </c>
      <c r="ANM8" t="s">
        <v>10</v>
      </c>
      <c r="ANN8" t="s">
        <v>10</v>
      </c>
      <c r="ANO8" t="s">
        <v>13</v>
      </c>
      <c r="ANP8" t="s">
        <v>49</v>
      </c>
      <c r="ANQ8" t="s">
        <v>13</v>
      </c>
      <c r="ANR8" t="s">
        <v>8</v>
      </c>
      <c r="ANS8" t="s">
        <v>10</v>
      </c>
      <c r="ANT8" t="s">
        <v>28</v>
      </c>
      <c r="ANU8" t="s">
        <v>61</v>
      </c>
      <c r="ANV8" t="s">
        <v>1415</v>
      </c>
      <c r="ANW8" t="s">
        <v>184</v>
      </c>
      <c r="ANX8" t="s">
        <v>13</v>
      </c>
      <c r="ANY8" t="s">
        <v>47</v>
      </c>
      <c r="ANZ8" t="s">
        <v>28</v>
      </c>
      <c r="AOA8" t="s">
        <v>57</v>
      </c>
      <c r="AOB8" t="s">
        <v>37</v>
      </c>
      <c r="AOC8" t="s">
        <v>320</v>
      </c>
      <c r="AOD8" t="s">
        <v>13</v>
      </c>
      <c r="AOE8" t="s">
        <v>13</v>
      </c>
      <c r="AOF8" t="s">
        <v>320</v>
      </c>
      <c r="AOG8" t="s">
        <v>61</v>
      </c>
      <c r="AOH8" t="s">
        <v>249</v>
      </c>
      <c r="AOI8" t="s">
        <v>249</v>
      </c>
      <c r="AOJ8" t="s">
        <v>320</v>
      </c>
      <c r="AOK8" t="s">
        <v>1467</v>
      </c>
      <c r="AOL8" t="s">
        <v>1469</v>
      </c>
      <c r="AOM8" t="s">
        <v>1471</v>
      </c>
      <c r="AON8" t="s">
        <v>13</v>
      </c>
      <c r="AOO8" t="s">
        <v>47</v>
      </c>
      <c r="AOP8" t="s">
        <v>47</v>
      </c>
      <c r="AOQ8" t="s">
        <v>37</v>
      </c>
      <c r="AOR8" t="s">
        <v>1478</v>
      </c>
      <c r="AOS8" t="s">
        <v>13</v>
      </c>
      <c r="AOT8" t="s">
        <v>13</v>
      </c>
      <c r="AOU8" t="s">
        <v>45</v>
      </c>
      <c r="AOV8" t="s">
        <v>589</v>
      </c>
      <c r="AOW8" t="s">
        <v>1485</v>
      </c>
      <c r="AOX8" t="s">
        <v>290</v>
      </c>
      <c r="AOY8" t="s">
        <v>542</v>
      </c>
      <c r="AOZ8" t="s">
        <v>13</v>
      </c>
      <c r="APA8" t="s">
        <v>37</v>
      </c>
      <c r="APB8" t="s">
        <v>5</v>
      </c>
      <c r="APC8" t="s">
        <v>13</v>
      </c>
      <c r="APD8" t="s">
        <v>1495</v>
      </c>
      <c r="APE8" t="s">
        <v>1498</v>
      </c>
      <c r="APF8" t="s">
        <v>62</v>
      </c>
      <c r="APG8" t="s">
        <v>1310</v>
      </c>
      <c r="APH8" t="s">
        <v>57</v>
      </c>
      <c r="API8" t="s">
        <v>507</v>
      </c>
      <c r="APJ8" t="s">
        <v>61</v>
      </c>
      <c r="APK8" t="s">
        <v>61</v>
      </c>
      <c r="APL8" t="s">
        <v>64</v>
      </c>
      <c r="APM8" t="s">
        <v>73</v>
      </c>
      <c r="APN8" t="s">
        <v>73</v>
      </c>
      <c r="APO8" t="s">
        <v>149</v>
      </c>
      <c r="APP8" t="s">
        <v>176</v>
      </c>
      <c r="APQ8" t="s">
        <v>176</v>
      </c>
      <c r="APR8" t="s">
        <v>13</v>
      </c>
      <c r="APS8" t="s">
        <v>13</v>
      </c>
      <c r="APT8" t="s">
        <v>57</v>
      </c>
      <c r="APU8" t="s">
        <v>37</v>
      </c>
      <c r="APV8" t="s">
        <v>61</v>
      </c>
      <c r="APW8" t="s">
        <v>1292</v>
      </c>
      <c r="APX8" t="s">
        <v>1467</v>
      </c>
      <c r="APY8" t="s">
        <v>5</v>
      </c>
      <c r="APZ8" t="s">
        <v>47</v>
      </c>
      <c r="AQA8" t="s">
        <v>47</v>
      </c>
      <c r="AQB8" t="s">
        <v>2467</v>
      </c>
      <c r="AQC8" t="s">
        <v>37</v>
      </c>
      <c r="AQD8" t="s">
        <v>5</v>
      </c>
      <c r="AQE8" t="s">
        <v>5</v>
      </c>
      <c r="AQF8" t="s">
        <v>13</v>
      </c>
      <c r="AQG8" t="s">
        <v>13</v>
      </c>
      <c r="AQH8" t="s">
        <v>49</v>
      </c>
      <c r="AQI8" t="s">
        <v>49</v>
      </c>
      <c r="AQJ8" t="s">
        <v>64</v>
      </c>
      <c r="AQK8" t="s">
        <v>320</v>
      </c>
      <c r="AQL8" t="s">
        <v>207</v>
      </c>
      <c r="AQM8" t="s">
        <v>1545</v>
      </c>
      <c r="AQN8" t="s">
        <v>1545</v>
      </c>
      <c r="AQO8" t="s">
        <v>1549</v>
      </c>
      <c r="AQP8" t="s">
        <v>1549</v>
      </c>
      <c r="AQQ8" t="s">
        <v>1549</v>
      </c>
      <c r="AQR8" t="s">
        <v>1553</v>
      </c>
      <c r="AQS8" t="s">
        <v>1555</v>
      </c>
      <c r="AQT8" t="s">
        <v>1557</v>
      </c>
      <c r="AQU8" t="s">
        <v>37</v>
      </c>
      <c r="AQV8" t="s">
        <v>28</v>
      </c>
      <c r="AQW8" t="s">
        <v>61</v>
      </c>
      <c r="AQX8" t="s">
        <v>47</v>
      </c>
      <c r="AQY8" t="s">
        <v>10</v>
      </c>
      <c r="AQZ8" t="s">
        <v>340</v>
      </c>
      <c r="ARA8" t="s">
        <v>28</v>
      </c>
      <c r="ARB8" t="s">
        <v>320</v>
      </c>
      <c r="ARC8" t="s">
        <v>207</v>
      </c>
      <c r="ARD8" t="s">
        <v>556</v>
      </c>
      <c r="ARE8" t="s">
        <v>2467</v>
      </c>
      <c r="ARF8" t="s">
        <v>2467</v>
      </c>
      <c r="ARG8" t="s">
        <v>30</v>
      </c>
      <c r="ARH8" t="s">
        <v>61</v>
      </c>
      <c r="ARI8" t="s">
        <v>61</v>
      </c>
      <c r="ARJ8" t="s">
        <v>542</v>
      </c>
      <c r="ARK8" t="s">
        <v>64</v>
      </c>
      <c r="ARL8" t="s">
        <v>176</v>
      </c>
      <c r="ARM8" t="s">
        <v>13</v>
      </c>
      <c r="ARN8" t="s">
        <v>5</v>
      </c>
      <c r="ARO8" t="s">
        <v>1581</v>
      </c>
      <c r="ARP8" t="s">
        <v>5</v>
      </c>
      <c r="ARQ8" t="s">
        <v>320</v>
      </c>
      <c r="ARR8" t="s">
        <v>207</v>
      </c>
      <c r="ARS8" t="s">
        <v>1588</v>
      </c>
      <c r="ART8" t="s">
        <v>45</v>
      </c>
      <c r="ARU8" t="s">
        <v>45</v>
      </c>
      <c r="ARV8" t="s">
        <v>1593</v>
      </c>
      <c r="ARW8" t="s">
        <v>89</v>
      </c>
      <c r="ARX8" t="s">
        <v>45</v>
      </c>
      <c r="ARY8" t="s">
        <v>45</v>
      </c>
      <c r="ARZ8" t="s">
        <v>13</v>
      </c>
      <c r="ASA8" t="s">
        <v>89</v>
      </c>
      <c r="ASB8" t="s">
        <v>1602</v>
      </c>
      <c r="ASC8" t="s">
        <v>1605</v>
      </c>
      <c r="ASD8" t="s">
        <v>1605</v>
      </c>
      <c r="ASE8" t="s">
        <v>37</v>
      </c>
      <c r="ASF8" t="s">
        <v>64</v>
      </c>
      <c r="ASG8" t="s">
        <v>37</v>
      </c>
      <c r="ASH8" t="s">
        <v>37</v>
      </c>
      <c r="ASI8" t="s">
        <v>37</v>
      </c>
      <c r="ASJ8" t="s">
        <v>64</v>
      </c>
      <c r="ASK8" t="s">
        <v>73</v>
      </c>
      <c r="ASL8" t="s">
        <v>73</v>
      </c>
      <c r="ASM8" t="s">
        <v>89</v>
      </c>
      <c r="ASN8" t="s">
        <v>37</v>
      </c>
      <c r="ASO8" t="s">
        <v>47</v>
      </c>
      <c r="ASP8" t="s">
        <v>47</v>
      </c>
      <c r="ASQ8" t="s">
        <v>47</v>
      </c>
      <c r="ASR8" t="s">
        <v>64</v>
      </c>
      <c r="ASS8" t="s">
        <v>13</v>
      </c>
      <c r="AST8" t="s">
        <v>28</v>
      </c>
      <c r="ASU8" t="s">
        <v>28</v>
      </c>
      <c r="ASV8" t="s">
        <v>551</v>
      </c>
      <c r="ASW8" t="s">
        <v>551</v>
      </c>
      <c r="ASX8" t="s">
        <v>37</v>
      </c>
      <c r="ASY8" t="s">
        <v>320</v>
      </c>
      <c r="ASZ8" t="s">
        <v>202</v>
      </c>
      <c r="ATA8" t="s">
        <v>13</v>
      </c>
      <c r="ATB8" t="s">
        <v>37</v>
      </c>
      <c r="ATC8" t="s">
        <v>13</v>
      </c>
      <c r="ATD8" t="s">
        <v>13</v>
      </c>
      <c r="ATE8" t="s">
        <v>47</v>
      </c>
      <c r="ATF8" t="s">
        <v>47</v>
      </c>
      <c r="ATG8" t="s">
        <v>73</v>
      </c>
      <c r="ATH8" t="s">
        <v>62</v>
      </c>
      <c r="ATI8" t="s">
        <v>47</v>
      </c>
      <c r="ATJ8" t="s">
        <v>47</v>
      </c>
      <c r="ATK8" t="s">
        <v>2467</v>
      </c>
      <c r="ATL8" t="s">
        <v>13</v>
      </c>
      <c r="ATM8" t="s">
        <v>47</v>
      </c>
      <c r="ATN8" t="s">
        <v>49</v>
      </c>
      <c r="ATO8" t="s">
        <v>8</v>
      </c>
      <c r="ATP8" t="s">
        <v>1649</v>
      </c>
      <c r="ATQ8" t="s">
        <v>1549</v>
      </c>
      <c r="ATR8" t="s">
        <v>1653</v>
      </c>
      <c r="ATS8" t="s">
        <v>47</v>
      </c>
      <c r="ATT8" t="s">
        <v>64</v>
      </c>
      <c r="ATU8" t="s">
        <v>73</v>
      </c>
      <c r="ATV8" t="s">
        <v>1351</v>
      </c>
      <c r="ATW8" t="s">
        <v>37</v>
      </c>
      <c r="ATX8" t="s">
        <v>2467</v>
      </c>
      <c r="ATY8" t="s">
        <v>28</v>
      </c>
      <c r="ATZ8" t="s">
        <v>28</v>
      </c>
      <c r="AUA8" t="s">
        <v>37</v>
      </c>
      <c r="AUB8" t="s">
        <v>62</v>
      </c>
      <c r="AUC8" t="s">
        <v>149</v>
      </c>
      <c r="AUD8" t="s">
        <v>149</v>
      </c>
      <c r="AUE8" t="s">
        <v>1669</v>
      </c>
      <c r="AUF8" t="s">
        <v>1672</v>
      </c>
      <c r="AUG8" t="s">
        <v>207</v>
      </c>
      <c r="AUH8" t="s">
        <v>37</v>
      </c>
      <c r="AUI8" t="s">
        <v>2467</v>
      </c>
      <c r="AUJ8" t="s">
        <v>1292</v>
      </c>
      <c r="AUK8" t="s">
        <v>13</v>
      </c>
      <c r="AUL8" t="s">
        <v>13</v>
      </c>
      <c r="AUM8" t="s">
        <v>1681</v>
      </c>
      <c r="AUN8" t="s">
        <v>1683</v>
      </c>
      <c r="AUO8" t="s">
        <v>176</v>
      </c>
      <c r="AUP8" t="s">
        <v>176</v>
      </c>
      <c r="AUQ8" t="s">
        <v>176</v>
      </c>
      <c r="AUR8" t="s">
        <v>249</v>
      </c>
      <c r="AUS8" t="s">
        <v>1205</v>
      </c>
      <c r="AUT8" t="s">
        <v>1205</v>
      </c>
      <c r="AUU8" t="s">
        <v>1593</v>
      </c>
      <c r="AUV8" t="s">
        <v>1208</v>
      </c>
      <c r="AUW8" t="s">
        <v>1208</v>
      </c>
      <c r="AUX8" t="s">
        <v>1694</v>
      </c>
      <c r="AUY8" t="s">
        <v>5</v>
      </c>
      <c r="AUZ8" t="s">
        <v>320</v>
      </c>
      <c r="AVA8" t="s">
        <v>13</v>
      </c>
      <c r="AVB8" t="s">
        <v>57</v>
      </c>
      <c r="AVC8" t="s">
        <v>1702</v>
      </c>
      <c r="AVD8" t="s">
        <v>1704</v>
      </c>
      <c r="AVE8" t="s">
        <v>1704</v>
      </c>
      <c r="AVF8" t="s">
        <v>13</v>
      </c>
      <c r="AVG8" t="s">
        <v>89</v>
      </c>
      <c r="AVH8" t="s">
        <v>89</v>
      </c>
      <c r="AVI8" t="s">
        <v>13</v>
      </c>
      <c r="AVJ8" t="s">
        <v>37</v>
      </c>
      <c r="AVK8" t="s">
        <v>5</v>
      </c>
      <c r="AVL8" t="s">
        <v>320</v>
      </c>
      <c r="AVM8" t="s">
        <v>10</v>
      </c>
      <c r="AVN8" t="s">
        <v>89</v>
      </c>
      <c r="AVO8" t="s">
        <v>13</v>
      </c>
      <c r="AVP8" t="s">
        <v>47</v>
      </c>
      <c r="AVQ8" t="s">
        <v>61</v>
      </c>
      <c r="AVR8" t="s">
        <v>45</v>
      </c>
      <c r="AVS8" t="s">
        <v>320</v>
      </c>
      <c r="AVT8" t="s">
        <v>207</v>
      </c>
      <c r="AVU8" t="s">
        <v>47</v>
      </c>
      <c r="AVV8" t="s">
        <v>64</v>
      </c>
      <c r="AVW8" t="s">
        <v>23</v>
      </c>
      <c r="AVX8" t="s">
        <v>23</v>
      </c>
      <c r="AVY8" t="s">
        <v>23</v>
      </c>
      <c r="AVZ8" t="s">
        <v>23</v>
      </c>
      <c r="AWA8" t="s">
        <v>61</v>
      </c>
      <c r="AWB8" t="s">
        <v>61</v>
      </c>
      <c r="AWC8" t="s">
        <v>45</v>
      </c>
      <c r="AWD8" t="s">
        <v>45</v>
      </c>
      <c r="AWE8" t="s">
        <v>28</v>
      </c>
      <c r="AWF8" t="s">
        <v>49</v>
      </c>
      <c r="AWG8" t="s">
        <v>47</v>
      </c>
      <c r="AWH8" t="s">
        <v>1743</v>
      </c>
      <c r="AWI8" t="s">
        <v>507</v>
      </c>
      <c r="AWJ8" t="s">
        <v>1745</v>
      </c>
      <c r="AWK8" t="s">
        <v>64</v>
      </c>
      <c r="AWL8" t="s">
        <v>64</v>
      </c>
      <c r="AWM8" t="s">
        <v>13</v>
      </c>
      <c r="AWN8" t="s">
        <v>1752</v>
      </c>
      <c r="AWO8" t="s">
        <v>1752</v>
      </c>
      <c r="AWP8" t="s">
        <v>1151</v>
      </c>
      <c r="AWQ8" t="s">
        <v>28</v>
      </c>
      <c r="AWR8" t="s">
        <v>28</v>
      </c>
      <c r="AWS8" t="s">
        <v>45</v>
      </c>
      <c r="AWT8" t="s">
        <v>13</v>
      </c>
      <c r="AWU8" t="s">
        <v>5</v>
      </c>
      <c r="AWV8" t="s">
        <v>5</v>
      </c>
      <c r="AWW8" t="s">
        <v>10</v>
      </c>
      <c r="AWX8" t="s">
        <v>1233</v>
      </c>
      <c r="AWY8" t="s">
        <v>45</v>
      </c>
      <c r="AWZ8" t="s">
        <v>149</v>
      </c>
      <c r="AXA8" t="s">
        <v>149</v>
      </c>
      <c r="AXB8" t="s">
        <v>320</v>
      </c>
      <c r="AXC8" t="s">
        <v>1188</v>
      </c>
      <c r="AXD8" t="s">
        <v>176</v>
      </c>
      <c r="AXE8" t="s">
        <v>13</v>
      </c>
      <c r="AXF8" t="s">
        <v>320</v>
      </c>
      <c r="AXG8" t="s">
        <v>45</v>
      </c>
      <c r="AXH8" t="s">
        <v>47</v>
      </c>
      <c r="AXI8" t="s">
        <v>37</v>
      </c>
      <c r="AXJ8" t="s">
        <v>1694</v>
      </c>
      <c r="AXK8" t="s">
        <v>13</v>
      </c>
      <c r="AXL8" t="s">
        <v>28</v>
      </c>
      <c r="AXM8" t="s">
        <v>556</v>
      </c>
      <c r="AXN8" t="s">
        <v>556</v>
      </c>
      <c r="AXO8" t="s">
        <v>1791</v>
      </c>
      <c r="AXP8" t="s">
        <v>320</v>
      </c>
      <c r="AXQ8" t="s">
        <v>37</v>
      </c>
      <c r="AXR8" t="s">
        <v>320</v>
      </c>
      <c r="AXS8" t="s">
        <v>30</v>
      </c>
      <c r="AXT8" t="s">
        <v>30</v>
      </c>
      <c r="AXU8" t="s">
        <v>13</v>
      </c>
      <c r="AXV8" t="s">
        <v>5</v>
      </c>
      <c r="AXW8" t="s">
        <v>320</v>
      </c>
      <c r="AXX8" t="s">
        <v>45</v>
      </c>
      <c r="AXY8" t="s">
        <v>37</v>
      </c>
      <c r="AXZ8" t="s">
        <v>13</v>
      </c>
      <c r="AYA8" t="s">
        <v>184</v>
      </c>
      <c r="AYB8" t="s">
        <v>176</v>
      </c>
      <c r="AYC8" t="s">
        <v>320</v>
      </c>
      <c r="AYD8" t="s">
        <v>207</v>
      </c>
      <c r="AYE8" t="s">
        <v>45</v>
      </c>
      <c r="AYF8" t="s">
        <v>26</v>
      </c>
      <c r="AYG8" t="s">
        <v>678</v>
      </c>
      <c r="AYH8" t="s">
        <v>678</v>
      </c>
      <c r="AYI8" t="s">
        <v>678</v>
      </c>
      <c r="AYJ8" t="s">
        <v>556</v>
      </c>
      <c r="AYK8" t="s">
        <v>556</v>
      </c>
      <c r="AYL8" t="s">
        <v>13</v>
      </c>
      <c r="AYM8" t="s">
        <v>47</v>
      </c>
      <c r="AYN8" t="s">
        <v>49</v>
      </c>
      <c r="AYO8" t="s">
        <v>8</v>
      </c>
      <c r="AYP8" t="s">
        <v>249</v>
      </c>
      <c r="AYQ8" t="s">
        <v>249</v>
      </c>
      <c r="AYR8" t="s">
        <v>1205</v>
      </c>
      <c r="AYS8" t="s">
        <v>204</v>
      </c>
      <c r="AYT8" t="s">
        <v>1593</v>
      </c>
      <c r="AYU8" t="s">
        <v>1208</v>
      </c>
      <c r="AYV8" t="s">
        <v>13</v>
      </c>
      <c r="AYW8" t="s">
        <v>176</v>
      </c>
      <c r="AYX8" t="s">
        <v>13</v>
      </c>
      <c r="AYY8" t="s">
        <v>510</v>
      </c>
      <c r="AYZ8" t="s">
        <v>5</v>
      </c>
      <c r="AZA8" t="s">
        <v>320</v>
      </c>
      <c r="AZB8" t="s">
        <v>37</v>
      </c>
      <c r="AZC8" t="s">
        <v>5</v>
      </c>
      <c r="AZD8" t="s">
        <v>320</v>
      </c>
      <c r="AZE8" t="s">
        <v>1378</v>
      </c>
      <c r="AZF8" t="s">
        <v>10</v>
      </c>
      <c r="AZG8" t="s">
        <v>13</v>
      </c>
      <c r="AZH8" t="s">
        <v>320</v>
      </c>
      <c r="AZI8" t="s">
        <v>13</v>
      </c>
      <c r="AZJ8" t="s">
        <v>37</v>
      </c>
      <c r="AZK8" t="s">
        <v>89</v>
      </c>
      <c r="AZL8" t="s">
        <v>28</v>
      </c>
      <c r="AZM8" t="s">
        <v>61</v>
      </c>
      <c r="AZN8" t="s">
        <v>13</v>
      </c>
      <c r="AZO8" t="s">
        <v>89</v>
      </c>
      <c r="AZP8" t="s">
        <v>1860</v>
      </c>
      <c r="AZQ8" t="s">
        <v>202</v>
      </c>
      <c r="AZR8" t="s">
        <v>507</v>
      </c>
      <c r="AZS8" t="s">
        <v>1865</v>
      </c>
      <c r="AZT8" t="s">
        <v>57</v>
      </c>
      <c r="AZU8" t="s">
        <v>202</v>
      </c>
      <c r="AZV8" t="s">
        <v>2467</v>
      </c>
      <c r="AZW8" t="s">
        <v>257</v>
      </c>
      <c r="AZX8" t="s">
        <v>61</v>
      </c>
      <c r="AZY8" t="s">
        <v>28</v>
      </c>
      <c r="AZZ8" t="s">
        <v>13</v>
      </c>
      <c r="BAA8" t="s">
        <v>8</v>
      </c>
      <c r="BAB8" t="s">
        <v>62</v>
      </c>
      <c r="BAC8" t="s">
        <v>10</v>
      </c>
      <c r="BAD8" t="s">
        <v>521</v>
      </c>
      <c r="BAE8" t="s">
        <v>61</v>
      </c>
      <c r="BAF8" t="s">
        <v>45</v>
      </c>
      <c r="BAG8" t="s">
        <v>45</v>
      </c>
      <c r="BAH8" t="s">
        <v>290</v>
      </c>
      <c r="BAI8" t="s">
        <v>290</v>
      </c>
      <c r="BAJ8" t="s">
        <v>37</v>
      </c>
      <c r="BAK8" t="s">
        <v>2467</v>
      </c>
      <c r="BAL8" t="s">
        <v>13</v>
      </c>
      <c r="BAM8" t="s">
        <v>249</v>
      </c>
      <c r="BAN8" t="s">
        <v>1205</v>
      </c>
      <c r="BAO8" t="s">
        <v>1593</v>
      </c>
      <c r="BAP8" t="s">
        <v>123</v>
      </c>
      <c r="BAQ8" t="s">
        <v>184</v>
      </c>
      <c r="BAR8" t="s">
        <v>13</v>
      </c>
      <c r="BAS8" t="s">
        <v>64</v>
      </c>
      <c r="BAT8" t="s">
        <v>64</v>
      </c>
      <c r="BAU8" t="s">
        <v>64</v>
      </c>
      <c r="BAV8" t="s">
        <v>320</v>
      </c>
      <c r="BAW8" t="s">
        <v>160</v>
      </c>
      <c r="BAX8" t="s">
        <v>1905</v>
      </c>
      <c r="BAY8" t="s">
        <v>1171</v>
      </c>
      <c r="BAZ8" t="s">
        <v>1908</v>
      </c>
      <c r="BBA8" t="s">
        <v>1911</v>
      </c>
      <c r="BBB8" t="s">
        <v>1911</v>
      </c>
      <c r="BBC8" t="s">
        <v>1911</v>
      </c>
      <c r="BBD8" t="s">
        <v>130</v>
      </c>
      <c r="BBE8" t="s">
        <v>130</v>
      </c>
      <c r="BBF8" t="s">
        <v>130</v>
      </c>
      <c r="BBG8" t="s">
        <v>132</v>
      </c>
      <c r="BBH8" t="s">
        <v>10</v>
      </c>
      <c r="BBI8" t="s">
        <v>207</v>
      </c>
      <c r="BBJ8" t="s">
        <v>2467</v>
      </c>
      <c r="BBK8" t="s">
        <v>1926</v>
      </c>
      <c r="BBL8" t="s">
        <v>57</v>
      </c>
      <c r="BBM8" t="s">
        <v>37</v>
      </c>
      <c r="BBN8" t="s">
        <v>1208</v>
      </c>
      <c r="BBO8" t="s">
        <v>37</v>
      </c>
      <c r="BBP8" t="s">
        <v>2467</v>
      </c>
      <c r="BBQ8" t="s">
        <v>28</v>
      </c>
      <c r="BBR8" t="s">
        <v>297</v>
      </c>
      <c r="BBS8" t="s">
        <v>64</v>
      </c>
      <c r="BBT8" t="s">
        <v>28</v>
      </c>
      <c r="BBU8" t="s">
        <v>28</v>
      </c>
      <c r="BBV8" t="s">
        <v>57</v>
      </c>
      <c r="BBW8" t="s">
        <v>89</v>
      </c>
      <c r="BBX8" t="s">
        <v>1593</v>
      </c>
      <c r="BBY8" t="s">
        <v>1393</v>
      </c>
      <c r="BBZ8" t="s">
        <v>13</v>
      </c>
      <c r="BCA8" t="s">
        <v>89</v>
      </c>
      <c r="BCB8" t="s">
        <v>13</v>
      </c>
      <c r="BCC8" t="s">
        <v>73</v>
      </c>
      <c r="BCD8" t="s">
        <v>62</v>
      </c>
      <c r="BCE8" t="s">
        <v>13</v>
      </c>
      <c r="BCF8" t="s">
        <v>45</v>
      </c>
      <c r="BCG8" t="s">
        <v>47</v>
      </c>
      <c r="BCH8" t="s">
        <v>37</v>
      </c>
      <c r="BCI8" t="s">
        <v>49</v>
      </c>
      <c r="BCJ8" t="s">
        <v>49</v>
      </c>
      <c r="BCK8" t="s">
        <v>13</v>
      </c>
      <c r="BCL8" t="s">
        <v>13</v>
      </c>
      <c r="BCM8" t="s">
        <v>47</v>
      </c>
      <c r="BCN8" t="s">
        <v>8</v>
      </c>
      <c r="BCO8" t="s">
        <v>1205</v>
      </c>
      <c r="BCP8" t="s">
        <v>1593</v>
      </c>
      <c r="BCQ8" t="s">
        <v>1393</v>
      </c>
      <c r="BCR8" t="s">
        <v>45</v>
      </c>
      <c r="BCS8" t="s">
        <v>47</v>
      </c>
      <c r="BCT8" t="s">
        <v>64</v>
      </c>
      <c r="BCU8" t="s">
        <v>73</v>
      </c>
      <c r="BCV8" t="s">
        <v>73</v>
      </c>
      <c r="BCW8" t="s">
        <v>1351</v>
      </c>
      <c r="BCX8" t="s">
        <v>13</v>
      </c>
      <c r="BCY8" t="s">
        <v>37</v>
      </c>
      <c r="BCZ8" t="s">
        <v>47</v>
      </c>
      <c r="BDA8" t="s">
        <v>49</v>
      </c>
      <c r="BDB8" t="s">
        <v>49</v>
      </c>
      <c r="BDC8" t="s">
        <v>13</v>
      </c>
      <c r="BDD8" t="s">
        <v>13</v>
      </c>
      <c r="BDE8" t="s">
        <v>13</v>
      </c>
      <c r="BDF8" t="s">
        <v>13</v>
      </c>
      <c r="BDG8" t="s">
        <v>13</v>
      </c>
      <c r="BDH8" t="s">
        <v>47</v>
      </c>
      <c r="BDI8" t="s">
        <v>47</v>
      </c>
      <c r="BDJ8" t="s">
        <v>825</v>
      </c>
      <c r="BDK8" t="s">
        <v>89</v>
      </c>
      <c r="BDL8" t="s">
        <v>1991</v>
      </c>
      <c r="BDM8" t="s">
        <v>47</v>
      </c>
      <c r="BDN8" t="s">
        <v>47</v>
      </c>
      <c r="BDO8" t="s">
        <v>37</v>
      </c>
      <c r="BDP8" t="s">
        <v>62</v>
      </c>
      <c r="BDQ8" t="s">
        <v>13</v>
      </c>
      <c r="BDR8" t="s">
        <v>202</v>
      </c>
      <c r="BDS8" t="s">
        <v>37</v>
      </c>
      <c r="BDT8" t="s">
        <v>45</v>
      </c>
      <c r="BDU8" t="s">
        <v>8</v>
      </c>
      <c r="BDV8" t="s">
        <v>176</v>
      </c>
      <c r="BDW8" t="s">
        <v>45</v>
      </c>
      <c r="BDX8" t="s">
        <v>45</v>
      </c>
      <c r="BDY8" t="s">
        <v>290</v>
      </c>
      <c r="BDZ8" t="s">
        <v>123</v>
      </c>
      <c r="BEA8" t="s">
        <v>123</v>
      </c>
      <c r="BEB8" t="s">
        <v>37</v>
      </c>
      <c r="BEC8" t="s">
        <v>37</v>
      </c>
      <c r="BED8" t="s">
        <v>2014</v>
      </c>
      <c r="BEE8" t="s">
        <v>2014</v>
      </c>
      <c r="BEF8" t="s">
        <v>2014</v>
      </c>
      <c r="BEG8" t="s">
        <v>57</v>
      </c>
      <c r="BEH8" t="s">
        <v>61</v>
      </c>
      <c r="BEI8" t="s">
        <v>328</v>
      </c>
      <c r="BEJ8" t="s">
        <v>64</v>
      </c>
      <c r="BEK8" t="s">
        <v>49</v>
      </c>
      <c r="BEL8" t="s">
        <v>45</v>
      </c>
      <c r="BEM8" t="s">
        <v>45</v>
      </c>
      <c r="BEN8" t="s">
        <v>45</v>
      </c>
      <c r="BEO8" t="s">
        <v>49</v>
      </c>
      <c r="BEP8" t="s">
        <v>257</v>
      </c>
      <c r="BEQ8" t="s">
        <v>28</v>
      </c>
      <c r="BER8" t="s">
        <v>946</v>
      </c>
      <c r="BES8" t="s">
        <v>343</v>
      </c>
      <c r="BET8" t="s">
        <v>343</v>
      </c>
      <c r="BEU8" t="s">
        <v>343</v>
      </c>
      <c r="BEV8" t="s">
        <v>37</v>
      </c>
      <c r="BEW8" t="s">
        <v>57</v>
      </c>
      <c r="BEX8" t="s">
        <v>2038</v>
      </c>
      <c r="BEY8" t="s">
        <v>1351</v>
      </c>
      <c r="BEZ8" t="s">
        <v>37</v>
      </c>
      <c r="BFA8" t="s">
        <v>320</v>
      </c>
      <c r="BFB8" t="s">
        <v>207</v>
      </c>
      <c r="BFC8" t="s">
        <v>2467</v>
      </c>
      <c r="BFD8" t="s">
        <v>8</v>
      </c>
      <c r="BFE8" t="s">
        <v>8</v>
      </c>
      <c r="BFF8" t="s">
        <v>2050</v>
      </c>
      <c r="BFG8" t="s">
        <v>202</v>
      </c>
      <c r="BFH8" t="s">
        <v>149</v>
      </c>
      <c r="BFI8" t="s">
        <v>149</v>
      </c>
      <c r="BFJ8" t="s">
        <v>1669</v>
      </c>
      <c r="BFK8" t="s">
        <v>2057</v>
      </c>
      <c r="BFL8" t="s">
        <v>57</v>
      </c>
      <c r="BFM8" t="s">
        <v>13</v>
      </c>
      <c r="BFN8" t="s">
        <v>10</v>
      </c>
      <c r="BFO8" t="s">
        <v>45</v>
      </c>
      <c r="BFP8" t="s">
        <v>2066</v>
      </c>
      <c r="BFQ8" t="s">
        <v>2066</v>
      </c>
      <c r="BFR8" t="s">
        <v>2069</v>
      </c>
      <c r="BFS8" t="s">
        <v>37</v>
      </c>
      <c r="BFT8" t="s">
        <v>149</v>
      </c>
      <c r="BFU8" t="s">
        <v>149</v>
      </c>
      <c r="BFV8" t="s">
        <v>149</v>
      </c>
      <c r="BFW8" t="s">
        <v>149</v>
      </c>
      <c r="BFX8" t="s">
        <v>1545</v>
      </c>
      <c r="BFY8" t="s">
        <v>28</v>
      </c>
      <c r="BFZ8" t="s">
        <v>37</v>
      </c>
      <c r="BGA8" t="s">
        <v>2472</v>
      </c>
      <c r="BGB8" t="s">
        <v>2082</v>
      </c>
      <c r="BGC8" t="s">
        <v>521</v>
      </c>
      <c r="BGD8" t="s">
        <v>61</v>
      </c>
      <c r="BGE8" t="s">
        <v>2085</v>
      </c>
      <c r="BGF8" t="s">
        <v>343</v>
      </c>
      <c r="BGG8" t="s">
        <v>176</v>
      </c>
      <c r="BGH8" t="s">
        <v>37</v>
      </c>
      <c r="BGI8" t="s">
        <v>1683</v>
      </c>
      <c r="BGJ8" t="s">
        <v>49</v>
      </c>
      <c r="BGK8" t="s">
        <v>62</v>
      </c>
      <c r="BGL8" t="s">
        <v>510</v>
      </c>
      <c r="BGM8" t="s">
        <v>30</v>
      </c>
      <c r="BGN8" t="s">
        <v>8</v>
      </c>
      <c r="BGO8" t="s">
        <v>13</v>
      </c>
      <c r="BGP8" t="s">
        <v>47</v>
      </c>
      <c r="BGQ8" t="s">
        <v>49</v>
      </c>
      <c r="BGR8" t="s">
        <v>64</v>
      </c>
      <c r="BGS8" t="s">
        <v>13</v>
      </c>
      <c r="BGT8" t="s">
        <v>5</v>
      </c>
      <c r="BGU8" t="s">
        <v>320</v>
      </c>
      <c r="BGV8" t="s">
        <v>2467</v>
      </c>
      <c r="BGW8" t="s">
        <v>28</v>
      </c>
      <c r="BGX8" t="s">
        <v>28</v>
      </c>
      <c r="BGY8" t="s">
        <v>62</v>
      </c>
      <c r="BGZ8" t="s">
        <v>62</v>
      </c>
      <c r="BHA8" t="s">
        <v>762</v>
      </c>
      <c r="BHB8" t="s">
        <v>2115</v>
      </c>
      <c r="BHC8" t="s">
        <v>5</v>
      </c>
    </row>
    <row r="9" spans="5:1563" x14ac:dyDescent="0.25">
      <c r="E9" t="s">
        <v>2194</v>
      </c>
      <c r="F9" t="s">
        <v>2196</v>
      </c>
      <c r="G9" t="s">
        <v>10</v>
      </c>
      <c r="H9" t="s">
        <v>11</v>
      </c>
      <c r="I9">
        <v>268614</v>
      </c>
      <c r="L9" t="s">
        <v>2501</v>
      </c>
      <c r="M9" t="s">
        <v>6</v>
      </c>
      <c r="N9" t="s">
        <v>7</v>
      </c>
      <c r="O9" t="s">
        <v>9</v>
      </c>
      <c r="P9" t="s">
        <v>11</v>
      </c>
      <c r="Q9" t="s">
        <v>14</v>
      </c>
      <c r="R9" t="s">
        <v>15</v>
      </c>
      <c r="S9" t="s">
        <v>17</v>
      </c>
      <c r="T9" t="s">
        <v>18</v>
      </c>
      <c r="U9" t="s">
        <v>20</v>
      </c>
      <c r="V9" t="s">
        <v>21</v>
      </c>
      <c r="W9" t="s">
        <v>24</v>
      </c>
      <c r="X9" t="s">
        <v>25</v>
      </c>
      <c r="Y9" t="s">
        <v>27</v>
      </c>
      <c r="Z9" t="s">
        <v>29</v>
      </c>
      <c r="AA9" t="s">
        <v>27</v>
      </c>
      <c r="AB9" t="s">
        <v>32</v>
      </c>
      <c r="AC9" t="s">
        <v>33</v>
      </c>
      <c r="AD9" t="s">
        <v>34</v>
      </c>
      <c r="AE9" t="s">
        <v>35</v>
      </c>
      <c r="AF9" t="s">
        <v>38</v>
      </c>
      <c r="AG9" t="s">
        <v>39</v>
      </c>
      <c r="AH9" t="s">
        <v>40</v>
      </c>
      <c r="AI9" t="s">
        <v>41</v>
      </c>
      <c r="AJ9" t="s">
        <v>42</v>
      </c>
      <c r="AK9" t="s">
        <v>44</v>
      </c>
      <c r="AL9" t="s">
        <v>46</v>
      </c>
      <c r="AM9" t="s">
        <v>48</v>
      </c>
      <c r="AN9" t="s">
        <v>50</v>
      </c>
      <c r="AO9" t="s">
        <v>51</v>
      </c>
      <c r="AP9" t="s">
        <v>52</v>
      </c>
      <c r="AQ9" t="s">
        <v>53</v>
      </c>
      <c r="AR9" t="s">
        <v>54</v>
      </c>
      <c r="AS9" t="s">
        <v>55</v>
      </c>
      <c r="AT9" t="s">
        <v>56</v>
      </c>
      <c r="AU9" t="s">
        <v>58</v>
      </c>
      <c r="AV9" t="s">
        <v>59</v>
      </c>
      <c r="AW9" t="s">
        <v>60</v>
      </c>
      <c r="AX9" t="s">
        <v>58</v>
      </c>
      <c r="AY9" t="s">
        <v>63</v>
      </c>
      <c r="AZ9" t="s">
        <v>65</v>
      </c>
      <c r="BA9" t="s">
        <v>66</v>
      </c>
      <c r="BB9" t="s">
        <v>67</v>
      </c>
      <c r="BC9" t="s">
        <v>68</v>
      </c>
      <c r="BD9" t="s">
        <v>69</v>
      </c>
      <c r="BE9" t="s">
        <v>70</v>
      </c>
      <c r="BF9" t="s">
        <v>71</v>
      </c>
      <c r="BG9" t="s">
        <v>72</v>
      </c>
      <c r="BH9" t="s">
        <v>74</v>
      </c>
      <c r="BI9" t="s">
        <v>75</v>
      </c>
      <c r="BJ9" t="s">
        <v>76</v>
      </c>
      <c r="BK9" t="s">
        <v>77</v>
      </c>
      <c r="BL9" t="s">
        <v>78</v>
      </c>
      <c r="BM9" t="s">
        <v>79</v>
      </c>
      <c r="BN9" t="s">
        <v>81</v>
      </c>
      <c r="BO9" t="s">
        <v>82</v>
      </c>
      <c r="BP9" t="s">
        <v>84</v>
      </c>
      <c r="BQ9" t="s">
        <v>85</v>
      </c>
      <c r="BR9" t="s">
        <v>86</v>
      </c>
      <c r="BS9" t="s">
        <v>87</v>
      </c>
      <c r="BT9" t="s">
        <v>88</v>
      </c>
      <c r="BU9" t="s">
        <v>90</v>
      </c>
      <c r="BV9" t="s">
        <v>91</v>
      </c>
      <c r="BW9" t="s">
        <v>92</v>
      </c>
      <c r="BX9" t="s">
        <v>93</v>
      </c>
      <c r="BY9" t="s">
        <v>94</v>
      </c>
      <c r="BZ9" t="s">
        <v>95</v>
      </c>
      <c r="CA9" t="s">
        <v>96</v>
      </c>
      <c r="CB9" t="s">
        <v>97</v>
      </c>
      <c r="CC9" t="s">
        <v>98</v>
      </c>
      <c r="CD9" t="s">
        <v>99</v>
      </c>
      <c r="CE9" t="s">
        <v>100</v>
      </c>
      <c r="CF9" t="s">
        <v>101</v>
      </c>
      <c r="CG9" t="s">
        <v>103</v>
      </c>
      <c r="CH9" t="s">
        <v>104</v>
      </c>
      <c r="CI9" t="s">
        <v>105</v>
      </c>
      <c r="CJ9" t="s">
        <v>106</v>
      </c>
      <c r="CK9" t="s">
        <v>108</v>
      </c>
      <c r="CL9" t="s">
        <v>111</v>
      </c>
      <c r="CM9" t="s">
        <v>112</v>
      </c>
      <c r="CN9" t="s">
        <v>113</v>
      </c>
      <c r="CO9" t="s">
        <v>114</v>
      </c>
      <c r="CP9" t="s">
        <v>115</v>
      </c>
      <c r="CQ9" t="s">
        <v>116</v>
      </c>
      <c r="CR9" t="s">
        <v>117</v>
      </c>
      <c r="CS9" t="s">
        <v>119</v>
      </c>
      <c r="CT9" t="s">
        <v>121</v>
      </c>
      <c r="CU9" t="s">
        <v>122</v>
      </c>
      <c r="CV9" t="s">
        <v>124</v>
      </c>
      <c r="CW9" t="s">
        <v>125</v>
      </c>
      <c r="CX9" t="s">
        <v>126</v>
      </c>
      <c r="CY9" t="s">
        <v>127</v>
      </c>
      <c r="CZ9" t="s">
        <v>128</v>
      </c>
      <c r="DA9" t="s">
        <v>131</v>
      </c>
      <c r="DB9" t="s">
        <v>133</v>
      </c>
      <c r="DC9" t="s">
        <v>134</v>
      </c>
      <c r="DD9" t="s">
        <v>135</v>
      </c>
      <c r="DE9" t="s">
        <v>136</v>
      </c>
      <c r="DF9" t="s">
        <v>137</v>
      </c>
      <c r="DG9" t="s">
        <v>139</v>
      </c>
      <c r="DH9" t="s">
        <v>140</v>
      </c>
      <c r="DI9" t="s">
        <v>143</v>
      </c>
      <c r="DJ9" t="s">
        <v>145</v>
      </c>
      <c r="DK9" t="s">
        <v>146</v>
      </c>
      <c r="DL9" t="s">
        <v>147</v>
      </c>
      <c r="DM9" t="s">
        <v>148</v>
      </c>
      <c r="DN9" t="s">
        <v>150</v>
      </c>
      <c r="DO9" t="s">
        <v>152</v>
      </c>
      <c r="DP9" t="s">
        <v>150</v>
      </c>
      <c r="DQ9" t="s">
        <v>154</v>
      </c>
      <c r="DR9" t="s">
        <v>155</v>
      </c>
      <c r="DS9" t="s">
        <v>156</v>
      </c>
      <c r="DT9" t="s">
        <v>157</v>
      </c>
      <c r="DU9" t="s">
        <v>158</v>
      </c>
      <c r="DV9" t="s">
        <v>159</v>
      </c>
      <c r="DW9" t="s">
        <v>161</v>
      </c>
      <c r="DX9" t="s">
        <v>162</v>
      </c>
      <c r="DY9" t="s">
        <v>164</v>
      </c>
      <c r="DZ9" t="s">
        <v>165</v>
      </c>
      <c r="EA9" t="s">
        <v>166</v>
      </c>
      <c r="EB9" t="s">
        <v>167</v>
      </c>
      <c r="EC9" t="s">
        <v>168</v>
      </c>
      <c r="ED9" t="s">
        <v>169</v>
      </c>
      <c r="EE9" t="s">
        <v>170</v>
      </c>
      <c r="EF9" t="s">
        <v>172</v>
      </c>
      <c r="EG9" t="s">
        <v>174</v>
      </c>
      <c r="EH9" t="s">
        <v>177</v>
      </c>
      <c r="EI9" t="s">
        <v>178</v>
      </c>
      <c r="EJ9" t="s">
        <v>180</v>
      </c>
      <c r="EK9" t="s">
        <v>182</v>
      </c>
      <c r="EL9" t="s">
        <v>185</v>
      </c>
      <c r="EM9" t="s">
        <v>187</v>
      </c>
      <c r="EN9" t="s">
        <v>188</v>
      </c>
      <c r="EO9" t="s">
        <v>189</v>
      </c>
      <c r="EP9" t="s">
        <v>191</v>
      </c>
      <c r="EQ9" t="s">
        <v>192</v>
      </c>
      <c r="ER9" t="s">
        <v>193</v>
      </c>
      <c r="ES9" t="s">
        <v>194</v>
      </c>
      <c r="ET9" t="s">
        <v>195</v>
      </c>
      <c r="EU9" t="s">
        <v>196</v>
      </c>
      <c r="EV9" t="s">
        <v>197</v>
      </c>
      <c r="EW9" t="s">
        <v>198</v>
      </c>
      <c r="EX9" t="s">
        <v>199</v>
      </c>
      <c r="EY9" t="s">
        <v>200</v>
      </c>
      <c r="EZ9" t="s">
        <v>203</v>
      </c>
      <c r="FA9" t="s">
        <v>205</v>
      </c>
      <c r="FB9" t="s">
        <v>208</v>
      </c>
      <c r="FC9" t="s">
        <v>210</v>
      </c>
      <c r="FD9" t="s">
        <v>211</v>
      </c>
      <c r="FE9" t="s">
        <v>212</v>
      </c>
      <c r="FF9" t="s">
        <v>214</v>
      </c>
      <c r="FG9" t="s">
        <v>215</v>
      </c>
      <c r="FH9" t="s">
        <v>215</v>
      </c>
      <c r="FI9" t="s">
        <v>216</v>
      </c>
      <c r="FJ9" t="s">
        <v>217</v>
      </c>
      <c r="FK9" t="s">
        <v>218</v>
      </c>
      <c r="FL9" t="s">
        <v>219</v>
      </c>
      <c r="FM9" t="s">
        <v>219</v>
      </c>
      <c r="FN9" t="s">
        <v>222</v>
      </c>
      <c r="FO9" t="s">
        <v>223</v>
      </c>
      <c r="FP9" t="s">
        <v>222</v>
      </c>
      <c r="FQ9" t="s">
        <v>227</v>
      </c>
      <c r="FR9" t="s">
        <v>227</v>
      </c>
      <c r="FS9" t="s">
        <v>230</v>
      </c>
      <c r="FT9" t="s">
        <v>232</v>
      </c>
      <c r="FU9" t="s">
        <v>233</v>
      </c>
      <c r="FV9" t="s">
        <v>236</v>
      </c>
      <c r="FW9" t="s">
        <v>237</v>
      </c>
      <c r="FX9" t="s">
        <v>238</v>
      </c>
      <c r="FY9" t="s">
        <v>239</v>
      </c>
      <c r="FZ9" t="s">
        <v>240</v>
      </c>
      <c r="GA9" t="s">
        <v>241</v>
      </c>
      <c r="GB9" t="s">
        <v>242</v>
      </c>
      <c r="GC9" t="s">
        <v>243</v>
      </c>
      <c r="GD9" t="s">
        <v>245</v>
      </c>
      <c r="GE9" t="s">
        <v>247</v>
      </c>
      <c r="GF9" t="s">
        <v>246</v>
      </c>
      <c r="GG9" t="s">
        <v>248</v>
      </c>
      <c r="GH9" t="s">
        <v>250</v>
      </c>
      <c r="GI9" t="s">
        <v>251</v>
      </c>
      <c r="GJ9" t="s">
        <v>253</v>
      </c>
      <c r="GK9" t="s">
        <v>255</v>
      </c>
      <c r="GL9" t="s">
        <v>258</v>
      </c>
      <c r="GM9" t="s">
        <v>258</v>
      </c>
      <c r="GN9" t="s">
        <v>260</v>
      </c>
      <c r="GO9" t="s">
        <v>261</v>
      </c>
      <c r="GP9" t="s">
        <v>262</v>
      </c>
      <c r="GQ9" t="s">
        <v>263</v>
      </c>
      <c r="GR9" t="s">
        <v>264</v>
      </c>
      <c r="GS9" t="s">
        <v>266</v>
      </c>
      <c r="GT9" t="s">
        <v>268</v>
      </c>
      <c r="GU9" t="s">
        <v>269</v>
      </c>
      <c r="GV9" t="s">
        <v>270</v>
      </c>
      <c r="GW9" t="s">
        <v>272</v>
      </c>
      <c r="GX9" t="s">
        <v>274</v>
      </c>
      <c r="GY9" t="s">
        <v>275</v>
      </c>
      <c r="GZ9" t="s">
        <v>276</v>
      </c>
      <c r="HA9" t="s">
        <v>278</v>
      </c>
      <c r="HB9" t="s">
        <v>279</v>
      </c>
      <c r="HC9" t="s">
        <v>281</v>
      </c>
      <c r="HD9" t="s">
        <v>283</v>
      </c>
      <c r="HE9" t="s">
        <v>284</v>
      </c>
      <c r="HF9" t="s">
        <v>285</v>
      </c>
      <c r="HG9" t="s">
        <v>286</v>
      </c>
      <c r="HH9" t="s">
        <v>288</v>
      </c>
      <c r="HI9" t="s">
        <v>289</v>
      </c>
      <c r="HJ9" t="s">
        <v>291</v>
      </c>
      <c r="HK9" t="s">
        <v>293</v>
      </c>
      <c r="HL9" t="s">
        <v>294</v>
      </c>
      <c r="HM9" t="s">
        <v>295</v>
      </c>
      <c r="HN9" t="s">
        <v>296</v>
      </c>
      <c r="HO9" t="s">
        <v>295</v>
      </c>
      <c r="HP9" t="s">
        <v>298</v>
      </c>
      <c r="HQ9" t="s">
        <v>300</v>
      </c>
      <c r="HR9" t="s">
        <v>301</v>
      </c>
      <c r="HS9" t="s">
        <v>303</v>
      </c>
      <c r="HT9" t="s">
        <v>304</v>
      </c>
      <c r="HU9" t="s">
        <v>306</v>
      </c>
      <c r="HV9" t="s">
        <v>307</v>
      </c>
      <c r="HW9" t="s">
        <v>309</v>
      </c>
      <c r="HX9" t="s">
        <v>310</v>
      </c>
      <c r="HY9" t="s">
        <v>311</v>
      </c>
      <c r="HZ9" t="s">
        <v>313</v>
      </c>
      <c r="IA9" t="s">
        <v>314</v>
      </c>
      <c r="IB9" t="s">
        <v>315</v>
      </c>
      <c r="IC9" t="s">
        <v>316</v>
      </c>
      <c r="ID9" t="s">
        <v>318</v>
      </c>
      <c r="IE9" t="s">
        <v>319</v>
      </c>
      <c r="IF9" t="s">
        <v>321</v>
      </c>
      <c r="IG9" t="s">
        <v>322</v>
      </c>
      <c r="IH9" t="s">
        <v>324</v>
      </c>
      <c r="II9" t="s">
        <v>326</v>
      </c>
      <c r="IJ9" t="s">
        <v>327</v>
      </c>
      <c r="IK9" t="s">
        <v>329</v>
      </c>
      <c r="IL9" t="s">
        <v>330</v>
      </c>
      <c r="IM9" t="s">
        <v>331</v>
      </c>
      <c r="IN9" t="s">
        <v>332</v>
      </c>
      <c r="IO9" t="s">
        <v>333</v>
      </c>
      <c r="IP9" t="s">
        <v>335</v>
      </c>
      <c r="IQ9" t="s">
        <v>336</v>
      </c>
      <c r="IR9" t="s">
        <v>337</v>
      </c>
      <c r="IS9" t="s">
        <v>338</v>
      </c>
      <c r="IT9" t="s">
        <v>339</v>
      </c>
      <c r="IU9" t="s">
        <v>341</v>
      </c>
      <c r="IV9" t="s">
        <v>344</v>
      </c>
      <c r="IW9" t="s">
        <v>346</v>
      </c>
      <c r="IX9" t="s">
        <v>347</v>
      </c>
      <c r="IY9" t="s">
        <v>348</v>
      </c>
      <c r="IZ9" t="s">
        <v>350</v>
      </c>
      <c r="JA9" t="s">
        <v>351</v>
      </c>
      <c r="JB9" t="s">
        <v>353</v>
      </c>
      <c r="JC9" t="s">
        <v>355</v>
      </c>
      <c r="JD9" t="s">
        <v>357</v>
      </c>
      <c r="JE9" t="s">
        <v>359</v>
      </c>
      <c r="JF9" t="s">
        <v>360</v>
      </c>
      <c r="JG9" t="s">
        <v>362</v>
      </c>
      <c r="JH9" t="s">
        <v>364</v>
      </c>
      <c r="JI9" t="s">
        <v>365</v>
      </c>
      <c r="JJ9" t="s">
        <v>367</v>
      </c>
      <c r="JK9" t="s">
        <v>368</v>
      </c>
      <c r="JL9" t="s">
        <v>369</v>
      </c>
      <c r="JM9" t="s">
        <v>370</v>
      </c>
      <c r="JN9" t="s">
        <v>372</v>
      </c>
      <c r="JO9" t="s">
        <v>373</v>
      </c>
      <c r="JP9" t="s">
        <v>374</v>
      </c>
      <c r="JQ9" t="s">
        <v>375</v>
      </c>
      <c r="JR9" t="s">
        <v>376</v>
      </c>
      <c r="JS9" t="s">
        <v>377</v>
      </c>
      <c r="JT9" t="s">
        <v>380</v>
      </c>
      <c r="JU9" t="s">
        <v>382</v>
      </c>
      <c r="JV9" t="s">
        <v>385</v>
      </c>
      <c r="JW9" t="s">
        <v>386</v>
      </c>
      <c r="JX9" t="s">
        <v>387</v>
      </c>
      <c r="JY9" t="s">
        <v>388</v>
      </c>
      <c r="JZ9" t="s">
        <v>389</v>
      </c>
      <c r="KA9" t="s">
        <v>390</v>
      </c>
      <c r="KB9" t="s">
        <v>391</v>
      </c>
      <c r="KC9" t="s">
        <v>392</v>
      </c>
      <c r="KD9" t="s">
        <v>394</v>
      </c>
      <c r="KE9" t="s">
        <v>395</v>
      </c>
      <c r="KF9" t="s">
        <v>396</v>
      </c>
      <c r="KG9" t="s">
        <v>397</v>
      </c>
      <c r="KH9" t="s">
        <v>398</v>
      </c>
      <c r="KI9" t="s">
        <v>400</v>
      </c>
      <c r="KJ9" t="s">
        <v>402</v>
      </c>
      <c r="KK9" t="s">
        <v>404</v>
      </c>
      <c r="KL9" t="s">
        <v>405</v>
      </c>
      <c r="KM9" t="s">
        <v>406</v>
      </c>
      <c r="KN9" t="s">
        <v>407</v>
      </c>
      <c r="KO9" t="s">
        <v>408</v>
      </c>
      <c r="KP9" t="s">
        <v>409</v>
      </c>
      <c r="KQ9" t="s">
        <v>410</v>
      </c>
      <c r="KR9" t="s">
        <v>411</v>
      </c>
      <c r="KS9" t="s">
        <v>413</v>
      </c>
      <c r="KT9" t="s">
        <v>415</v>
      </c>
      <c r="KU9" t="s">
        <v>416</v>
      </c>
      <c r="KV9" t="s">
        <v>417</v>
      </c>
      <c r="KW9" t="s">
        <v>419</v>
      </c>
      <c r="KX9" t="s">
        <v>420</v>
      </c>
      <c r="KY9" t="s">
        <v>421</v>
      </c>
      <c r="KZ9" t="s">
        <v>422</v>
      </c>
      <c r="LA9" t="s">
        <v>423</v>
      </c>
      <c r="LB9" t="s">
        <v>424</v>
      </c>
      <c r="LC9" t="s">
        <v>425</v>
      </c>
      <c r="LD9" t="s">
        <v>426</v>
      </c>
      <c r="LE9" t="s">
        <v>427</v>
      </c>
      <c r="LF9" t="s">
        <v>148</v>
      </c>
      <c r="LG9" t="s">
        <v>428</v>
      </c>
      <c r="LH9" t="s">
        <v>430</v>
      </c>
      <c r="LI9" t="s">
        <v>431</v>
      </c>
      <c r="LJ9" t="s">
        <v>432</v>
      </c>
      <c r="LK9" t="s">
        <v>433</v>
      </c>
      <c r="LL9" t="s">
        <v>435</v>
      </c>
      <c r="LM9" t="s">
        <v>436</v>
      </c>
      <c r="LN9" t="s">
        <v>438</v>
      </c>
      <c r="LO9" t="s">
        <v>439</v>
      </c>
      <c r="LP9" t="s">
        <v>440</v>
      </c>
      <c r="LQ9" t="s">
        <v>441</v>
      </c>
      <c r="LR9" t="s">
        <v>443</v>
      </c>
      <c r="LS9" t="s">
        <v>444</v>
      </c>
      <c r="LT9" t="s">
        <v>445</v>
      </c>
      <c r="LU9" t="s">
        <v>447</v>
      </c>
      <c r="LV9" t="s">
        <v>449</v>
      </c>
      <c r="LW9" t="s">
        <v>450</v>
      </c>
      <c r="LX9" t="s">
        <v>451</v>
      </c>
      <c r="LY9" t="s">
        <v>453</v>
      </c>
      <c r="LZ9" t="s">
        <v>455</v>
      </c>
      <c r="MA9" t="s">
        <v>457</v>
      </c>
      <c r="MB9" t="s">
        <v>458</v>
      </c>
      <c r="MC9" t="s">
        <v>460</v>
      </c>
      <c r="MD9" t="s">
        <v>461</v>
      </c>
      <c r="ME9" t="s">
        <v>463</v>
      </c>
      <c r="MF9" t="s">
        <v>465</v>
      </c>
      <c r="MG9" t="s">
        <v>467</v>
      </c>
      <c r="MH9" t="s">
        <v>468</v>
      </c>
      <c r="MI9" t="s">
        <v>470</v>
      </c>
      <c r="MJ9" t="s">
        <v>471</v>
      </c>
      <c r="MK9" t="s">
        <v>473</v>
      </c>
      <c r="ML9" t="s">
        <v>475</v>
      </c>
      <c r="MM9" t="s">
        <v>477</v>
      </c>
      <c r="MN9" t="s">
        <v>478</v>
      </c>
      <c r="MO9" t="s">
        <v>479</v>
      </c>
      <c r="MP9" t="s">
        <v>480</v>
      </c>
      <c r="MQ9" t="s">
        <v>482</v>
      </c>
      <c r="MR9" t="s">
        <v>483</v>
      </c>
      <c r="MS9" t="s">
        <v>484</v>
      </c>
      <c r="MT9" t="s">
        <v>486</v>
      </c>
      <c r="MU9" t="s">
        <v>487</v>
      </c>
      <c r="MV9" t="s">
        <v>489</v>
      </c>
      <c r="MW9" t="s">
        <v>491</v>
      </c>
      <c r="MX9" t="s">
        <v>492</v>
      </c>
      <c r="MY9" t="s">
        <v>493</v>
      </c>
      <c r="MZ9" t="s">
        <v>494</v>
      </c>
      <c r="NA9" t="s">
        <v>496</v>
      </c>
      <c r="NB9" t="s">
        <v>498</v>
      </c>
      <c r="NC9" t="s">
        <v>500</v>
      </c>
      <c r="ND9" t="s">
        <v>502</v>
      </c>
      <c r="NE9" t="s">
        <v>503</v>
      </c>
      <c r="NF9" t="s">
        <v>505</v>
      </c>
      <c r="NG9" t="s">
        <v>508</v>
      </c>
      <c r="NH9" t="s">
        <v>509</v>
      </c>
      <c r="NI9" t="s">
        <v>511</v>
      </c>
      <c r="NJ9" t="s">
        <v>512</v>
      </c>
      <c r="NK9" t="s">
        <v>514</v>
      </c>
      <c r="NL9" t="s">
        <v>516</v>
      </c>
      <c r="NM9" t="s">
        <v>517</v>
      </c>
      <c r="NN9" t="s">
        <v>519</v>
      </c>
      <c r="NO9" t="s">
        <v>520</v>
      </c>
      <c r="NP9" t="s">
        <v>522</v>
      </c>
      <c r="NQ9" t="s">
        <v>523</v>
      </c>
      <c r="NR9" t="s">
        <v>525</v>
      </c>
      <c r="NS9" t="s">
        <v>526</v>
      </c>
      <c r="NT9" t="s">
        <v>528</v>
      </c>
      <c r="NU9" t="s">
        <v>529</v>
      </c>
      <c r="NV9" t="s">
        <v>531</v>
      </c>
      <c r="NW9" t="s">
        <v>532</v>
      </c>
      <c r="NX9" t="s">
        <v>534</v>
      </c>
      <c r="NY9" t="s">
        <v>536</v>
      </c>
      <c r="NZ9" t="s">
        <v>537</v>
      </c>
      <c r="OA9" t="s">
        <v>368</v>
      </c>
      <c r="OB9" t="s">
        <v>539</v>
      </c>
      <c r="OC9" t="s">
        <v>541</v>
      </c>
      <c r="OD9" t="s">
        <v>543</v>
      </c>
      <c r="OE9" t="s">
        <v>545</v>
      </c>
      <c r="OF9" t="s">
        <v>546</v>
      </c>
      <c r="OG9" t="s">
        <v>547</v>
      </c>
      <c r="OH9" t="s">
        <v>548</v>
      </c>
      <c r="OI9" t="s">
        <v>550</v>
      </c>
      <c r="OJ9" t="s">
        <v>552</v>
      </c>
      <c r="OK9" t="s">
        <v>552</v>
      </c>
      <c r="OL9" t="s">
        <v>555</v>
      </c>
      <c r="OM9" t="s">
        <v>557</v>
      </c>
      <c r="ON9" t="s">
        <v>558</v>
      </c>
      <c r="OO9" t="s">
        <v>559</v>
      </c>
      <c r="OP9" t="s">
        <v>560</v>
      </c>
      <c r="OQ9" t="s">
        <v>561</v>
      </c>
      <c r="OR9" t="s">
        <v>563</v>
      </c>
      <c r="OS9" t="s">
        <v>564</v>
      </c>
      <c r="OT9" t="s">
        <v>565</v>
      </c>
      <c r="OU9" t="s">
        <v>566</v>
      </c>
      <c r="OV9" t="s">
        <v>567</v>
      </c>
      <c r="OW9" t="s">
        <v>568</v>
      </c>
      <c r="OX9" t="s">
        <v>569</v>
      </c>
      <c r="OY9" t="s">
        <v>571</v>
      </c>
      <c r="OZ9" t="s">
        <v>572</v>
      </c>
      <c r="PA9" t="s">
        <v>573</v>
      </c>
      <c r="PB9" t="s">
        <v>575</v>
      </c>
      <c r="PC9" t="s">
        <v>576</v>
      </c>
      <c r="PD9" t="s">
        <v>577</v>
      </c>
      <c r="PE9" t="s">
        <v>578</v>
      </c>
      <c r="PF9" t="s">
        <v>580</v>
      </c>
      <c r="PG9" t="s">
        <v>580</v>
      </c>
      <c r="PH9" t="s">
        <v>582</v>
      </c>
      <c r="PI9" t="s">
        <v>121</v>
      </c>
      <c r="PJ9" t="s">
        <v>585</v>
      </c>
      <c r="PK9" t="s">
        <v>586</v>
      </c>
      <c r="PL9" t="s">
        <v>586</v>
      </c>
      <c r="PM9" t="s">
        <v>587</v>
      </c>
      <c r="PN9" t="s">
        <v>588</v>
      </c>
      <c r="PO9" t="s">
        <v>590</v>
      </c>
      <c r="PP9" t="s">
        <v>591</v>
      </c>
      <c r="PQ9" t="s">
        <v>592</v>
      </c>
      <c r="PR9" t="s">
        <v>593</v>
      </c>
      <c r="PS9" t="s">
        <v>595</v>
      </c>
      <c r="PT9" t="s">
        <v>597</v>
      </c>
      <c r="PU9" t="s">
        <v>598</v>
      </c>
      <c r="PV9" t="s">
        <v>599</v>
      </c>
      <c r="PW9" t="s">
        <v>600</v>
      </c>
      <c r="PX9" t="s">
        <v>601</v>
      </c>
      <c r="PY9" t="s">
        <v>602</v>
      </c>
      <c r="PZ9" t="s">
        <v>604</v>
      </c>
      <c r="QA9" t="s">
        <v>65</v>
      </c>
      <c r="QB9" t="s">
        <v>605</v>
      </c>
      <c r="QC9" t="s">
        <v>606</v>
      </c>
      <c r="QD9" t="s">
        <v>608</v>
      </c>
      <c r="QE9" t="s">
        <v>609</v>
      </c>
      <c r="QF9" t="s">
        <v>610</v>
      </c>
      <c r="QG9" t="s">
        <v>611</v>
      </c>
      <c r="QH9" t="s">
        <v>613</v>
      </c>
      <c r="QI9" t="s">
        <v>614</v>
      </c>
      <c r="QJ9" t="s">
        <v>616</v>
      </c>
      <c r="QK9" t="s">
        <v>617</v>
      </c>
      <c r="QL9" t="s">
        <v>619</v>
      </c>
      <c r="QM9" t="s">
        <v>620</v>
      </c>
      <c r="QN9" t="s">
        <v>621</v>
      </c>
      <c r="QO9" t="s">
        <v>623</v>
      </c>
      <c r="QP9" t="s">
        <v>624</v>
      </c>
      <c r="QQ9" t="s">
        <v>625</v>
      </c>
      <c r="QR9" t="s">
        <v>627</v>
      </c>
      <c r="QS9" t="s">
        <v>629</v>
      </c>
      <c r="QT9" t="s">
        <v>630</v>
      </c>
      <c r="QU9" t="s">
        <v>631</v>
      </c>
      <c r="QV9" t="s">
        <v>632</v>
      </c>
      <c r="QW9" t="s">
        <v>633</v>
      </c>
      <c r="QX9" t="s">
        <v>634</v>
      </c>
      <c r="QY9" t="s">
        <v>635</v>
      </c>
      <c r="QZ9" t="s">
        <v>634</v>
      </c>
      <c r="RA9" t="s">
        <v>635</v>
      </c>
      <c r="RB9" t="s">
        <v>639</v>
      </c>
      <c r="RC9" t="s">
        <v>641</v>
      </c>
      <c r="RD9" t="s">
        <v>643</v>
      </c>
      <c r="RE9" t="s">
        <v>645</v>
      </c>
      <c r="RF9" t="s">
        <v>647</v>
      </c>
      <c r="RG9" t="s">
        <v>648</v>
      </c>
      <c r="RH9" t="s">
        <v>649</v>
      </c>
      <c r="RI9" t="s">
        <v>652</v>
      </c>
      <c r="RJ9" t="s">
        <v>650</v>
      </c>
      <c r="RK9" t="s">
        <v>655</v>
      </c>
      <c r="RL9" t="s">
        <v>656</v>
      </c>
      <c r="RM9" t="s">
        <v>658</v>
      </c>
      <c r="RN9" t="s">
        <v>660</v>
      </c>
      <c r="RO9" t="s">
        <v>661</v>
      </c>
      <c r="RP9" t="s">
        <v>663</v>
      </c>
      <c r="RQ9" t="s">
        <v>665</v>
      </c>
      <c r="RR9" t="s">
        <v>666</v>
      </c>
      <c r="RS9" t="s">
        <v>668</v>
      </c>
      <c r="RT9" t="s">
        <v>670</v>
      </c>
      <c r="RU9" t="s">
        <v>672</v>
      </c>
      <c r="RV9" t="s">
        <v>673</v>
      </c>
      <c r="RW9" t="s">
        <v>674</v>
      </c>
      <c r="RX9" t="s">
        <v>676</v>
      </c>
      <c r="RY9" t="s">
        <v>679</v>
      </c>
      <c r="RZ9" t="s">
        <v>680</v>
      </c>
      <c r="SA9" t="s">
        <v>681</v>
      </c>
      <c r="SB9" t="s">
        <v>683</v>
      </c>
      <c r="SC9" t="s">
        <v>684</v>
      </c>
      <c r="SD9" t="s">
        <v>685</v>
      </c>
      <c r="SE9" t="s">
        <v>686</v>
      </c>
      <c r="SF9" t="s">
        <v>688</v>
      </c>
      <c r="SG9" t="s">
        <v>690</v>
      </c>
      <c r="SH9" t="s">
        <v>691</v>
      </c>
      <c r="SI9" t="s">
        <v>694</v>
      </c>
      <c r="SJ9" t="s">
        <v>696</v>
      </c>
      <c r="SK9" t="s">
        <v>698</v>
      </c>
      <c r="SL9" t="s">
        <v>699</v>
      </c>
      <c r="SM9" t="s">
        <v>700</v>
      </c>
      <c r="SN9" t="s">
        <v>702</v>
      </c>
      <c r="SO9" t="s">
        <v>703</v>
      </c>
      <c r="SP9" t="s">
        <v>704</v>
      </c>
      <c r="SQ9" t="s">
        <v>705</v>
      </c>
      <c r="SR9" t="s">
        <v>706</v>
      </c>
      <c r="SS9" t="s">
        <v>707</v>
      </c>
      <c r="ST9" t="s">
        <v>709</v>
      </c>
      <c r="SU9" t="s">
        <v>711</v>
      </c>
      <c r="SV9" t="s">
        <v>712</v>
      </c>
      <c r="SW9" t="s">
        <v>714</v>
      </c>
      <c r="SX9" t="s">
        <v>715</v>
      </c>
      <c r="SY9" t="s">
        <v>716</v>
      </c>
      <c r="SZ9" t="s">
        <v>718</v>
      </c>
      <c r="TA9" t="s">
        <v>720</v>
      </c>
      <c r="TB9" t="s">
        <v>722</v>
      </c>
      <c r="TC9" t="s">
        <v>724</v>
      </c>
      <c r="TD9" t="s">
        <v>726</v>
      </c>
      <c r="TE9" t="s">
        <v>728</v>
      </c>
      <c r="TF9" t="s">
        <v>729</v>
      </c>
      <c r="TG9" t="s">
        <v>731</v>
      </c>
      <c r="TH9" t="s">
        <v>733</v>
      </c>
      <c r="TI9" t="s">
        <v>735</v>
      </c>
      <c r="TJ9" t="s">
        <v>737</v>
      </c>
      <c r="TK9" t="s">
        <v>738</v>
      </c>
      <c r="TL9" t="s">
        <v>740</v>
      </c>
      <c r="TM9" t="s">
        <v>742</v>
      </c>
      <c r="TN9" t="s">
        <v>743</v>
      </c>
      <c r="TO9" t="s">
        <v>745</v>
      </c>
      <c r="TP9" t="s">
        <v>746</v>
      </c>
      <c r="TQ9" t="s">
        <v>747</v>
      </c>
      <c r="TR9" t="s">
        <v>749</v>
      </c>
      <c r="TS9" t="s">
        <v>751</v>
      </c>
      <c r="TT9" t="s">
        <v>752</v>
      </c>
      <c r="TU9" t="s">
        <v>754</v>
      </c>
      <c r="TV9" t="s">
        <v>756</v>
      </c>
      <c r="TW9" t="s">
        <v>758</v>
      </c>
      <c r="TX9" t="s">
        <v>760</v>
      </c>
      <c r="TY9" t="s">
        <v>763</v>
      </c>
      <c r="TZ9" t="s">
        <v>765</v>
      </c>
      <c r="UA9" t="s">
        <v>767</v>
      </c>
      <c r="UB9" t="s">
        <v>769</v>
      </c>
      <c r="UC9" t="s">
        <v>770</v>
      </c>
      <c r="UD9" t="s">
        <v>771</v>
      </c>
      <c r="UE9" t="s">
        <v>773</v>
      </c>
      <c r="UF9" t="s">
        <v>774</v>
      </c>
      <c r="UG9" t="s">
        <v>776</v>
      </c>
      <c r="UH9" t="s">
        <v>778</v>
      </c>
      <c r="UI9" t="s">
        <v>779</v>
      </c>
      <c r="UJ9" t="s">
        <v>780</v>
      </c>
      <c r="UK9" t="s">
        <v>782</v>
      </c>
      <c r="UL9" t="s">
        <v>784</v>
      </c>
      <c r="UM9" t="s">
        <v>785</v>
      </c>
      <c r="UN9" t="s">
        <v>786</v>
      </c>
      <c r="UO9" t="s">
        <v>788</v>
      </c>
      <c r="UP9" t="s">
        <v>790</v>
      </c>
      <c r="UQ9" t="s">
        <v>790</v>
      </c>
      <c r="UR9" t="s">
        <v>791</v>
      </c>
      <c r="US9" t="s">
        <v>792</v>
      </c>
      <c r="UT9" t="s">
        <v>793</v>
      </c>
      <c r="UU9" t="s">
        <v>794</v>
      </c>
      <c r="UV9" t="s">
        <v>796</v>
      </c>
      <c r="UW9" t="s">
        <v>798</v>
      </c>
      <c r="UX9" t="s">
        <v>799</v>
      </c>
      <c r="UY9" t="s">
        <v>801</v>
      </c>
      <c r="UZ9" t="s">
        <v>802</v>
      </c>
      <c r="VA9" t="s">
        <v>804</v>
      </c>
      <c r="VB9" t="s">
        <v>805</v>
      </c>
      <c r="VC9" t="s">
        <v>806</v>
      </c>
      <c r="VD9" t="s">
        <v>807</v>
      </c>
      <c r="VE9" t="s">
        <v>809</v>
      </c>
      <c r="VF9" t="s">
        <v>810</v>
      </c>
      <c r="VG9" t="s">
        <v>811</v>
      </c>
      <c r="VH9" t="s">
        <v>812</v>
      </c>
      <c r="VI9" t="s">
        <v>813</v>
      </c>
      <c r="VJ9" t="s">
        <v>814</v>
      </c>
      <c r="VK9" t="s">
        <v>815</v>
      </c>
      <c r="VL9" t="s">
        <v>817</v>
      </c>
      <c r="VM9" t="s">
        <v>819</v>
      </c>
      <c r="VN9" t="s">
        <v>820</v>
      </c>
      <c r="VO9" t="s">
        <v>821</v>
      </c>
      <c r="VP9" t="s">
        <v>823</v>
      </c>
      <c r="VQ9" t="s">
        <v>824</v>
      </c>
      <c r="VR9" t="s">
        <v>826</v>
      </c>
      <c r="VS9" t="s">
        <v>828</v>
      </c>
      <c r="VT9" t="s">
        <v>829</v>
      </c>
      <c r="VU9" t="s">
        <v>830</v>
      </c>
      <c r="VV9" t="s">
        <v>832</v>
      </c>
      <c r="VW9" t="s">
        <v>439</v>
      </c>
      <c r="VX9" t="s">
        <v>833</v>
      </c>
      <c r="VY9" t="s">
        <v>835</v>
      </c>
      <c r="VZ9" t="s">
        <v>837</v>
      </c>
      <c r="WA9" t="s">
        <v>838</v>
      </c>
      <c r="WB9" t="s">
        <v>839</v>
      </c>
      <c r="WC9" t="s">
        <v>840</v>
      </c>
      <c r="WD9" t="s">
        <v>842</v>
      </c>
      <c r="WE9" t="s">
        <v>843</v>
      </c>
      <c r="WF9" t="s">
        <v>191</v>
      </c>
      <c r="WG9" t="s">
        <v>845</v>
      </c>
      <c r="WH9" t="s">
        <v>847</v>
      </c>
      <c r="WI9" t="s">
        <v>846</v>
      </c>
      <c r="WJ9" t="s">
        <v>848</v>
      </c>
      <c r="WK9" t="s">
        <v>849</v>
      </c>
      <c r="WL9" t="s">
        <v>850</v>
      </c>
      <c r="WM9" t="s">
        <v>850</v>
      </c>
      <c r="WN9" t="s">
        <v>852</v>
      </c>
      <c r="WO9" t="s">
        <v>853</v>
      </c>
      <c r="WP9" t="s">
        <v>854</v>
      </c>
      <c r="WQ9" t="s">
        <v>855</v>
      </c>
      <c r="WR9" t="s">
        <v>857</v>
      </c>
      <c r="WS9" t="s">
        <v>858</v>
      </c>
      <c r="WT9" t="s">
        <v>860</v>
      </c>
      <c r="WU9" t="s">
        <v>862</v>
      </c>
      <c r="WV9" t="s">
        <v>863</v>
      </c>
      <c r="WW9" t="s">
        <v>865</v>
      </c>
      <c r="WX9" t="s">
        <v>866</v>
      </c>
      <c r="WY9" t="s">
        <v>868</v>
      </c>
      <c r="WZ9" t="s">
        <v>870</v>
      </c>
      <c r="XA9" t="s">
        <v>872</v>
      </c>
      <c r="XB9" t="s">
        <v>874</v>
      </c>
      <c r="XC9" t="s">
        <v>875</v>
      </c>
      <c r="XD9" t="s">
        <v>876</v>
      </c>
      <c r="XE9" t="s">
        <v>878</v>
      </c>
      <c r="XF9" t="s">
        <v>880</v>
      </c>
      <c r="XG9" t="s">
        <v>881</v>
      </c>
      <c r="XH9" t="s">
        <v>882</v>
      </c>
      <c r="XI9" t="s">
        <v>883</v>
      </c>
      <c r="XJ9" t="s">
        <v>884</v>
      </c>
      <c r="XK9" t="s">
        <v>886</v>
      </c>
      <c r="XL9" t="s">
        <v>887</v>
      </c>
      <c r="XM9" t="s">
        <v>888</v>
      </c>
      <c r="XN9" t="s">
        <v>889</v>
      </c>
      <c r="XO9" t="s">
        <v>890</v>
      </c>
      <c r="XP9" t="s">
        <v>891</v>
      </c>
      <c r="XQ9" t="s">
        <v>893</v>
      </c>
      <c r="XR9" t="s">
        <v>894</v>
      </c>
      <c r="XS9" t="s">
        <v>895</v>
      </c>
      <c r="XT9" t="s">
        <v>897</v>
      </c>
      <c r="XU9" t="s">
        <v>898</v>
      </c>
      <c r="XV9" t="s">
        <v>899</v>
      </c>
      <c r="XW9" t="s">
        <v>900</v>
      </c>
      <c r="XX9" t="s">
        <v>902</v>
      </c>
      <c r="XY9" t="s">
        <v>903</v>
      </c>
      <c r="XZ9" t="s">
        <v>905</v>
      </c>
      <c r="YA9" t="s">
        <v>906</v>
      </c>
      <c r="YB9" t="s">
        <v>908</v>
      </c>
      <c r="YC9" t="s">
        <v>909</v>
      </c>
      <c r="YD9" t="s">
        <v>911</v>
      </c>
      <c r="YE9" t="s">
        <v>912</v>
      </c>
      <c r="YF9" t="s">
        <v>914</v>
      </c>
      <c r="YG9" t="s">
        <v>915</v>
      </c>
      <c r="YH9" t="s">
        <v>916</v>
      </c>
      <c r="YI9" t="s">
        <v>918</v>
      </c>
      <c r="YJ9" t="s">
        <v>919</v>
      </c>
      <c r="YK9" t="s">
        <v>920</v>
      </c>
      <c r="YL9" t="s">
        <v>921</v>
      </c>
      <c r="YM9" t="s">
        <v>922</v>
      </c>
      <c r="YN9" t="s">
        <v>924</v>
      </c>
      <c r="YO9" t="s">
        <v>925</v>
      </c>
      <c r="YP9" t="s">
        <v>926</v>
      </c>
      <c r="YQ9" t="s">
        <v>927</v>
      </c>
      <c r="YR9" t="s">
        <v>592</v>
      </c>
      <c r="YS9" t="s">
        <v>929</v>
      </c>
      <c r="YT9" t="s">
        <v>931</v>
      </c>
      <c r="YU9" t="s">
        <v>932</v>
      </c>
      <c r="YV9" t="s">
        <v>934</v>
      </c>
      <c r="YW9" t="s">
        <v>935</v>
      </c>
      <c r="YX9" t="s">
        <v>937</v>
      </c>
      <c r="YY9" t="s">
        <v>938</v>
      </c>
      <c r="YZ9" t="s">
        <v>939</v>
      </c>
      <c r="ZA9" t="s">
        <v>940</v>
      </c>
      <c r="ZB9" t="s">
        <v>942</v>
      </c>
      <c r="ZC9" t="s">
        <v>943</v>
      </c>
      <c r="ZD9" t="s">
        <v>944</v>
      </c>
      <c r="ZE9" t="s">
        <v>947</v>
      </c>
      <c r="ZF9" t="s">
        <v>948</v>
      </c>
      <c r="ZG9" t="s">
        <v>948</v>
      </c>
      <c r="ZH9" t="s">
        <v>950</v>
      </c>
      <c r="ZI9" t="s">
        <v>951</v>
      </c>
      <c r="ZJ9" t="s">
        <v>952</v>
      </c>
      <c r="ZK9" t="s">
        <v>953</v>
      </c>
      <c r="ZL9" t="s">
        <v>955</v>
      </c>
      <c r="ZM9" t="s">
        <v>14</v>
      </c>
      <c r="ZN9" t="s">
        <v>957</v>
      </c>
      <c r="ZO9" t="s">
        <v>959</v>
      </c>
      <c r="ZP9" t="s">
        <v>961</v>
      </c>
      <c r="ZQ9" t="s">
        <v>963</v>
      </c>
      <c r="ZR9" t="s">
        <v>964</v>
      </c>
      <c r="ZS9" t="s">
        <v>425</v>
      </c>
      <c r="ZT9" t="s">
        <v>427</v>
      </c>
      <c r="ZU9" t="s">
        <v>967</v>
      </c>
      <c r="ZV9" t="s">
        <v>969</v>
      </c>
      <c r="ZW9" t="s">
        <v>970</v>
      </c>
      <c r="ZX9" t="s">
        <v>972</v>
      </c>
      <c r="ZY9" t="s">
        <v>973</v>
      </c>
      <c r="ZZ9" t="s">
        <v>974</v>
      </c>
      <c r="AAA9" t="s">
        <v>975</v>
      </c>
      <c r="AAB9" t="s">
        <v>977</v>
      </c>
      <c r="AAC9" t="s">
        <v>978</v>
      </c>
      <c r="AAD9" t="s">
        <v>979</v>
      </c>
      <c r="AAE9" t="s">
        <v>980</v>
      </c>
      <c r="AAF9" t="s">
        <v>982</v>
      </c>
      <c r="AAG9" t="s">
        <v>984</v>
      </c>
      <c r="AAH9" t="s">
        <v>985</v>
      </c>
      <c r="AAI9" t="s">
        <v>987</v>
      </c>
      <c r="AAJ9" t="s">
        <v>988</v>
      </c>
      <c r="AAK9" t="s">
        <v>989</v>
      </c>
      <c r="AAL9" t="s">
        <v>990</v>
      </c>
      <c r="AAM9" t="s">
        <v>991</v>
      </c>
      <c r="AAN9" t="s">
        <v>992</v>
      </c>
      <c r="AAO9" t="s">
        <v>993</v>
      </c>
      <c r="AAP9" t="s">
        <v>994</v>
      </c>
      <c r="AAQ9" t="s">
        <v>995</v>
      </c>
      <c r="AAR9" t="s">
        <v>996</v>
      </c>
      <c r="AAS9" t="s">
        <v>997</v>
      </c>
      <c r="AAT9" t="s">
        <v>999</v>
      </c>
      <c r="AAU9" t="s">
        <v>1000</v>
      </c>
      <c r="AAV9" t="s">
        <v>1001</v>
      </c>
      <c r="AAW9" t="s">
        <v>1002</v>
      </c>
      <c r="AAX9" t="s">
        <v>1004</v>
      </c>
      <c r="AAY9" t="s">
        <v>1005</v>
      </c>
      <c r="AAZ9" t="s">
        <v>1006</v>
      </c>
      <c r="ABA9" t="s">
        <v>1007</v>
      </c>
      <c r="ABB9" t="s">
        <v>1008</v>
      </c>
      <c r="ABC9" t="s">
        <v>1009</v>
      </c>
      <c r="ABD9" t="s">
        <v>1010</v>
      </c>
      <c r="ABE9" t="s">
        <v>1011</v>
      </c>
      <c r="ABF9" t="s">
        <v>1013</v>
      </c>
      <c r="ABG9" t="s">
        <v>1015</v>
      </c>
      <c r="ABH9" t="s">
        <v>1017</v>
      </c>
      <c r="ABI9" t="s">
        <v>1018</v>
      </c>
      <c r="ABJ9" t="s">
        <v>1020</v>
      </c>
      <c r="ABK9" t="s">
        <v>1021</v>
      </c>
      <c r="ABL9" t="s">
        <v>1022</v>
      </c>
      <c r="ABM9" t="s">
        <v>1023</v>
      </c>
      <c r="ABN9" t="s">
        <v>1024</v>
      </c>
      <c r="ABO9" t="s">
        <v>1025</v>
      </c>
      <c r="ABP9" t="s">
        <v>1026</v>
      </c>
      <c r="ABQ9" t="s">
        <v>1028</v>
      </c>
      <c r="ABR9" t="s">
        <v>1029</v>
      </c>
      <c r="ABS9" t="s">
        <v>1031</v>
      </c>
      <c r="ABT9" t="s">
        <v>1032</v>
      </c>
      <c r="ABU9" t="s">
        <v>1034</v>
      </c>
      <c r="ABV9" t="s">
        <v>1035</v>
      </c>
      <c r="ABW9" t="s">
        <v>1037</v>
      </c>
      <c r="ABX9" t="s">
        <v>1038</v>
      </c>
      <c r="ABY9" t="s">
        <v>1040</v>
      </c>
      <c r="ABZ9" t="s">
        <v>1041</v>
      </c>
      <c r="ACA9" t="s">
        <v>1043</v>
      </c>
      <c r="ACB9" t="s">
        <v>1044</v>
      </c>
      <c r="ACC9" t="s">
        <v>1046</v>
      </c>
      <c r="ACD9" t="s">
        <v>1047</v>
      </c>
      <c r="ACE9" t="s">
        <v>1048</v>
      </c>
      <c r="ACF9" t="s">
        <v>1049</v>
      </c>
      <c r="ACG9" t="s">
        <v>1051</v>
      </c>
      <c r="ACH9" t="s">
        <v>1052</v>
      </c>
      <c r="ACI9" t="s">
        <v>1054</v>
      </c>
      <c r="ACJ9" t="s">
        <v>1055</v>
      </c>
      <c r="ACK9" t="s">
        <v>1057</v>
      </c>
      <c r="ACL9" t="s">
        <v>1058</v>
      </c>
      <c r="ACM9" t="s">
        <v>1059</v>
      </c>
      <c r="ACN9" t="s">
        <v>1060</v>
      </c>
      <c r="ACO9" t="s">
        <v>1062</v>
      </c>
      <c r="ACP9" t="s">
        <v>1064</v>
      </c>
      <c r="ACQ9" t="s">
        <v>1066</v>
      </c>
      <c r="ACR9" t="s">
        <v>1067</v>
      </c>
      <c r="ACS9" t="s">
        <v>1068</v>
      </c>
      <c r="ACT9" t="s">
        <v>1070</v>
      </c>
      <c r="ACU9" t="s">
        <v>1071</v>
      </c>
      <c r="ACV9" t="s">
        <v>1072</v>
      </c>
      <c r="ACW9" t="s">
        <v>1074</v>
      </c>
      <c r="ACX9" t="s">
        <v>1076</v>
      </c>
      <c r="ACY9" t="s">
        <v>1078</v>
      </c>
      <c r="ACZ9" t="s">
        <v>1079</v>
      </c>
      <c r="ADA9" t="s">
        <v>1080</v>
      </c>
      <c r="ADB9" t="s">
        <v>1081</v>
      </c>
      <c r="ADC9" t="s">
        <v>1082</v>
      </c>
      <c r="ADD9" t="s">
        <v>1083</v>
      </c>
      <c r="ADE9" t="s">
        <v>1084</v>
      </c>
      <c r="ADF9" t="s">
        <v>1086</v>
      </c>
      <c r="ADG9" t="s">
        <v>1087</v>
      </c>
      <c r="ADH9" t="s">
        <v>1089</v>
      </c>
      <c r="ADI9" t="s">
        <v>1090</v>
      </c>
      <c r="ADJ9" t="s">
        <v>1091</v>
      </c>
      <c r="ADK9" t="s">
        <v>1093</v>
      </c>
      <c r="ADL9" t="s">
        <v>1094</v>
      </c>
      <c r="ADM9" t="s">
        <v>1095</v>
      </c>
      <c r="ADN9" t="s">
        <v>1096</v>
      </c>
      <c r="ADO9" t="s">
        <v>1098</v>
      </c>
      <c r="ADP9" t="s">
        <v>1100</v>
      </c>
      <c r="ADQ9" t="s">
        <v>1101</v>
      </c>
      <c r="ADR9" t="s">
        <v>1102</v>
      </c>
      <c r="ADS9" t="s">
        <v>1103</v>
      </c>
      <c r="ADT9" t="s">
        <v>1104</v>
      </c>
      <c r="ADU9" t="s">
        <v>1106</v>
      </c>
      <c r="ADV9" t="s">
        <v>1107</v>
      </c>
      <c r="ADW9" t="s">
        <v>1054</v>
      </c>
      <c r="ADX9" t="s">
        <v>1109</v>
      </c>
      <c r="ADY9" t="s">
        <v>1055</v>
      </c>
      <c r="ADZ9" t="s">
        <v>1111</v>
      </c>
      <c r="AEA9" t="s">
        <v>1112</v>
      </c>
      <c r="AEB9" t="s">
        <v>1113</v>
      </c>
      <c r="AEC9" t="s">
        <v>1114</v>
      </c>
      <c r="AED9" t="s">
        <v>1115</v>
      </c>
      <c r="AEE9" t="s">
        <v>1116</v>
      </c>
      <c r="AEF9" t="s">
        <v>1117</v>
      </c>
      <c r="AEG9" t="s">
        <v>1119</v>
      </c>
      <c r="AEH9" t="s">
        <v>1121</v>
      </c>
      <c r="AEI9">
        <v>8500113</v>
      </c>
      <c r="AEJ9" t="s">
        <v>1124</v>
      </c>
      <c r="AEK9" t="s">
        <v>1125</v>
      </c>
      <c r="AEL9" t="s">
        <v>1127</v>
      </c>
      <c r="AEM9" t="s">
        <v>1128</v>
      </c>
      <c r="AEN9" t="s">
        <v>1130</v>
      </c>
      <c r="AEO9" t="s">
        <v>1005</v>
      </c>
      <c r="AEP9" t="s">
        <v>1132</v>
      </c>
      <c r="AEQ9" t="s">
        <v>1133</v>
      </c>
      <c r="AER9" t="s">
        <v>1134</v>
      </c>
      <c r="AES9" t="s">
        <v>1135</v>
      </c>
      <c r="AET9" t="s">
        <v>1136</v>
      </c>
      <c r="AEU9" t="s">
        <v>1137</v>
      </c>
      <c r="AEV9" t="s">
        <v>1139</v>
      </c>
      <c r="AEW9" t="s">
        <v>1140</v>
      </c>
      <c r="AEX9" t="s">
        <v>1141</v>
      </c>
      <c r="AEY9" t="s">
        <v>1142</v>
      </c>
      <c r="AEZ9" t="s">
        <v>1143</v>
      </c>
      <c r="AFA9" t="s">
        <v>1145</v>
      </c>
      <c r="AFB9" t="s">
        <v>1146</v>
      </c>
      <c r="AFC9" t="s">
        <v>1147</v>
      </c>
      <c r="AFD9" t="s">
        <v>1148</v>
      </c>
      <c r="AFE9" t="s">
        <v>1149</v>
      </c>
      <c r="AFF9" t="s">
        <v>1152</v>
      </c>
      <c r="AFG9" t="s">
        <v>1153</v>
      </c>
      <c r="AFH9" t="s">
        <v>1155</v>
      </c>
      <c r="AFI9" t="s">
        <v>1157</v>
      </c>
      <c r="AFJ9" t="s">
        <v>1159</v>
      </c>
      <c r="AFK9" t="s">
        <v>1161</v>
      </c>
      <c r="AFL9" t="s">
        <v>1163</v>
      </c>
      <c r="AFM9" t="s">
        <v>1164</v>
      </c>
      <c r="AFN9" t="s">
        <v>1166</v>
      </c>
      <c r="AFO9" t="s">
        <v>1168</v>
      </c>
      <c r="AFP9" t="s">
        <v>1169</v>
      </c>
      <c r="AFQ9" t="s">
        <v>1172</v>
      </c>
      <c r="AFR9" t="s">
        <v>1174</v>
      </c>
      <c r="AFS9" t="s">
        <v>1175</v>
      </c>
      <c r="AFT9" t="s">
        <v>1177</v>
      </c>
      <c r="AFU9" t="s">
        <v>1177</v>
      </c>
      <c r="AFV9" t="s">
        <v>1178</v>
      </c>
      <c r="AFW9" t="s">
        <v>1179</v>
      </c>
      <c r="AFX9" t="s">
        <v>1180</v>
      </c>
      <c r="AFY9" t="s">
        <v>1181</v>
      </c>
      <c r="AFZ9" t="s">
        <v>1182</v>
      </c>
      <c r="AGA9" t="s">
        <v>1184</v>
      </c>
      <c r="AGB9" t="s">
        <v>1185</v>
      </c>
      <c r="AGC9" t="s">
        <v>1186</v>
      </c>
      <c r="AGD9" t="s">
        <v>1189</v>
      </c>
      <c r="AGE9" t="s">
        <v>1191</v>
      </c>
      <c r="AGF9" t="s">
        <v>1193</v>
      </c>
      <c r="AGG9" t="s">
        <v>1194</v>
      </c>
      <c r="AGH9" t="s">
        <v>1195</v>
      </c>
      <c r="AGI9" t="s">
        <v>1196</v>
      </c>
      <c r="AGJ9" t="s">
        <v>1198</v>
      </c>
      <c r="AGK9" t="s">
        <v>1064</v>
      </c>
      <c r="AGL9" t="s">
        <v>1200</v>
      </c>
      <c r="AGM9" t="s">
        <v>1202</v>
      </c>
      <c r="AGN9" t="s">
        <v>1203</v>
      </c>
      <c r="AGO9" t="s">
        <v>1204</v>
      </c>
      <c r="AGP9" t="s">
        <v>1206</v>
      </c>
      <c r="AGQ9" t="s">
        <v>1207</v>
      </c>
      <c r="AGR9" t="s">
        <v>1206</v>
      </c>
      <c r="AGS9" t="s">
        <v>1209</v>
      </c>
      <c r="AGT9" t="s">
        <v>1211</v>
      </c>
      <c r="AGU9" t="s">
        <v>1212</v>
      </c>
      <c r="AGV9" t="s">
        <v>1213</v>
      </c>
      <c r="AGW9" t="s">
        <v>1215</v>
      </c>
      <c r="AGX9" t="s">
        <v>1216</v>
      </c>
      <c r="AGY9" t="s">
        <v>1217</v>
      </c>
      <c r="AGZ9" t="s">
        <v>1218</v>
      </c>
      <c r="AHA9" t="s">
        <v>1219</v>
      </c>
      <c r="AHB9" t="s">
        <v>1220</v>
      </c>
      <c r="AHC9" t="s">
        <v>1221</v>
      </c>
      <c r="AHD9" t="s">
        <v>1223</v>
      </c>
      <c r="AHE9" t="s">
        <v>1224</v>
      </c>
      <c r="AHF9" t="s">
        <v>1226</v>
      </c>
      <c r="AHG9" t="s">
        <v>1228</v>
      </c>
      <c r="AHH9" t="s">
        <v>1229</v>
      </c>
      <c r="AHI9" t="s">
        <v>1230</v>
      </c>
      <c r="AHJ9" t="s">
        <v>1231</v>
      </c>
      <c r="AHK9" t="s">
        <v>1234</v>
      </c>
      <c r="AHL9" t="s">
        <v>1006</v>
      </c>
      <c r="AHM9" t="s">
        <v>1235</v>
      </c>
      <c r="AHN9" t="s">
        <v>1236</v>
      </c>
      <c r="AHO9" t="s">
        <v>1237</v>
      </c>
      <c r="AHP9" t="s">
        <v>1238</v>
      </c>
      <c r="AHQ9" t="s">
        <v>1239</v>
      </c>
      <c r="AHR9" t="s">
        <v>1240</v>
      </c>
      <c r="AHS9" t="s">
        <v>1241</v>
      </c>
      <c r="AHT9" t="s">
        <v>1242</v>
      </c>
      <c r="AHU9" t="s">
        <v>1243</v>
      </c>
      <c r="AHV9" t="s">
        <v>1244</v>
      </c>
      <c r="AHW9" t="s">
        <v>1245</v>
      </c>
      <c r="AHX9" t="s">
        <v>1246</v>
      </c>
      <c r="AHY9" t="s">
        <v>1247</v>
      </c>
      <c r="AHZ9" t="s">
        <v>1248</v>
      </c>
      <c r="AIA9" t="s">
        <v>1249</v>
      </c>
      <c r="AIB9" t="s">
        <v>1250</v>
      </c>
      <c r="AIC9" t="s">
        <v>1251</v>
      </c>
      <c r="AID9" t="s">
        <v>1254</v>
      </c>
      <c r="AIE9" t="s">
        <v>1255</v>
      </c>
      <c r="AIF9" t="s">
        <v>1257</v>
      </c>
      <c r="AIG9" t="s">
        <v>1259</v>
      </c>
      <c r="AIH9" t="s">
        <v>1261</v>
      </c>
      <c r="AII9" t="s">
        <v>1262</v>
      </c>
      <c r="AIJ9" t="s">
        <v>1265</v>
      </c>
      <c r="AIK9" t="s">
        <v>1267</v>
      </c>
      <c r="AIL9" t="s">
        <v>1269</v>
      </c>
      <c r="AIM9" t="s">
        <v>180</v>
      </c>
      <c r="AIN9" t="s">
        <v>1271</v>
      </c>
      <c r="AIO9" t="s">
        <v>1273</v>
      </c>
      <c r="AIP9" t="s">
        <v>1274</v>
      </c>
      <c r="AIQ9" t="s">
        <v>1275</v>
      </c>
      <c r="AIR9" t="s">
        <v>1276</v>
      </c>
      <c r="AIS9" t="s">
        <v>1277</v>
      </c>
      <c r="AIT9" t="s">
        <v>1279</v>
      </c>
      <c r="AIU9" t="s">
        <v>1280</v>
      </c>
      <c r="AIV9" t="s">
        <v>1281</v>
      </c>
      <c r="AIW9" t="s">
        <v>1282</v>
      </c>
      <c r="AIX9" t="s">
        <v>1284</v>
      </c>
      <c r="AIY9" t="s">
        <v>1286</v>
      </c>
      <c r="AIZ9" t="s">
        <v>1288</v>
      </c>
      <c r="AJA9" t="s">
        <v>1289</v>
      </c>
      <c r="AJB9" t="s">
        <v>1290</v>
      </c>
      <c r="AJC9" t="s">
        <v>1291</v>
      </c>
      <c r="AJD9" t="s">
        <v>1293</v>
      </c>
      <c r="AJE9" t="s">
        <v>1295</v>
      </c>
      <c r="AJF9" t="s">
        <v>1297</v>
      </c>
      <c r="AJG9" t="s">
        <v>1298</v>
      </c>
      <c r="AJH9" t="s">
        <v>1299</v>
      </c>
      <c r="AJI9" t="s">
        <v>1300</v>
      </c>
      <c r="AJJ9" t="s">
        <v>1300</v>
      </c>
      <c r="AJK9" t="s">
        <v>1302</v>
      </c>
      <c r="AJL9" t="s">
        <v>1304</v>
      </c>
      <c r="AJM9" t="s">
        <v>571</v>
      </c>
      <c r="AJN9" t="s">
        <v>1307</v>
      </c>
      <c r="AJO9" t="s">
        <v>1308</v>
      </c>
      <c r="AJP9" t="s">
        <v>1311</v>
      </c>
      <c r="AJQ9" t="s">
        <v>1313</v>
      </c>
      <c r="AJR9" t="s">
        <v>1315</v>
      </c>
      <c r="AJS9" t="s">
        <v>1316</v>
      </c>
      <c r="AJT9" t="s">
        <v>1317</v>
      </c>
      <c r="AJU9" t="s">
        <v>1318</v>
      </c>
      <c r="AJV9" t="s">
        <v>1319</v>
      </c>
      <c r="AJW9" t="s">
        <v>1320</v>
      </c>
      <c r="AJX9" t="s">
        <v>1322</v>
      </c>
      <c r="AJY9" t="s">
        <v>1323</v>
      </c>
      <c r="AJZ9" t="s">
        <v>1325</v>
      </c>
      <c r="AKA9" t="s">
        <v>1327</v>
      </c>
      <c r="AKB9" t="s">
        <v>1261</v>
      </c>
      <c r="AKC9" t="s">
        <v>1329</v>
      </c>
      <c r="AKD9" t="s">
        <v>1330</v>
      </c>
      <c r="AKE9" t="s">
        <v>1332</v>
      </c>
      <c r="AKF9" t="s">
        <v>1334</v>
      </c>
      <c r="AKG9" t="s">
        <v>1335</v>
      </c>
      <c r="AKH9" t="s">
        <v>1336</v>
      </c>
      <c r="AKI9" t="s">
        <v>1337</v>
      </c>
      <c r="AKJ9" t="s">
        <v>1338</v>
      </c>
      <c r="AKK9" t="s">
        <v>1340</v>
      </c>
      <c r="AKL9" t="s">
        <v>1341</v>
      </c>
      <c r="AKM9" t="s">
        <v>1342</v>
      </c>
      <c r="AKN9" t="s">
        <v>1343</v>
      </c>
      <c r="AKO9" t="s">
        <v>1345</v>
      </c>
      <c r="AKP9" t="s">
        <v>1347</v>
      </c>
      <c r="AKQ9" t="s">
        <v>1348</v>
      </c>
      <c r="AKR9" t="s">
        <v>1349</v>
      </c>
      <c r="AKS9" t="s">
        <v>1350</v>
      </c>
      <c r="AKT9" t="s">
        <v>1352</v>
      </c>
      <c r="AKU9" t="s">
        <v>482</v>
      </c>
      <c r="AKV9" t="s">
        <v>483</v>
      </c>
      <c r="AKW9" t="s">
        <v>1353</v>
      </c>
      <c r="AKX9" t="s">
        <v>1355</v>
      </c>
      <c r="AKY9" t="s">
        <v>1356</v>
      </c>
      <c r="AKZ9" t="s">
        <v>1357</v>
      </c>
      <c r="ALA9" t="s">
        <v>1359</v>
      </c>
      <c r="ALB9" t="s">
        <v>1360</v>
      </c>
      <c r="ALC9" t="s">
        <v>1361</v>
      </c>
      <c r="ALD9" t="s">
        <v>1362</v>
      </c>
      <c r="ALE9" t="s">
        <v>1364</v>
      </c>
      <c r="ALF9" t="s">
        <v>1366</v>
      </c>
      <c r="ALG9" t="s">
        <v>1367</v>
      </c>
      <c r="ALH9" t="s">
        <v>1369</v>
      </c>
      <c r="ALI9" t="s">
        <v>1370</v>
      </c>
      <c r="ALJ9" t="s">
        <v>1371</v>
      </c>
      <c r="ALK9" t="s">
        <v>1372</v>
      </c>
      <c r="ALL9" t="s">
        <v>1373</v>
      </c>
      <c r="ALM9" t="s">
        <v>1373</v>
      </c>
      <c r="ALN9" t="s">
        <v>1372</v>
      </c>
      <c r="ALO9" t="s">
        <v>1240</v>
      </c>
      <c r="ALP9" t="s">
        <v>1241</v>
      </c>
      <c r="ALQ9" t="s">
        <v>1374</v>
      </c>
      <c r="ALR9" t="s">
        <v>1244</v>
      </c>
      <c r="ALS9" t="s">
        <v>1375</v>
      </c>
      <c r="ALT9" t="s">
        <v>1376</v>
      </c>
      <c r="ALU9" t="s">
        <v>1377</v>
      </c>
      <c r="ALV9" t="s">
        <v>1379</v>
      </c>
      <c r="ALW9" t="s">
        <v>1381</v>
      </c>
      <c r="ALX9" t="s">
        <v>1382</v>
      </c>
      <c r="ALY9" t="s">
        <v>1383</v>
      </c>
      <c r="ALZ9" t="s">
        <v>1384</v>
      </c>
      <c r="AMA9" t="s">
        <v>1386</v>
      </c>
      <c r="AMB9" t="s">
        <v>1387</v>
      </c>
      <c r="AMC9" t="s">
        <v>1388</v>
      </c>
      <c r="AMD9" t="s">
        <v>1389</v>
      </c>
      <c r="AME9" t="s">
        <v>1391</v>
      </c>
      <c r="AMF9" t="s">
        <v>1392</v>
      </c>
      <c r="AMG9" t="s">
        <v>1394</v>
      </c>
      <c r="AMH9" t="s">
        <v>1396</v>
      </c>
      <c r="AMI9" t="s">
        <v>1397</v>
      </c>
      <c r="AMJ9" t="s">
        <v>1399</v>
      </c>
      <c r="AMK9" t="s">
        <v>1401</v>
      </c>
      <c r="AML9" t="s">
        <v>1402</v>
      </c>
      <c r="AMM9" t="s">
        <v>1403</v>
      </c>
      <c r="AMN9" t="s">
        <v>1404</v>
      </c>
      <c r="AMO9" t="s">
        <v>1406</v>
      </c>
      <c r="AMP9" t="s">
        <v>1407</v>
      </c>
      <c r="AMQ9" t="s">
        <v>1408</v>
      </c>
      <c r="AMR9" t="s">
        <v>1409</v>
      </c>
      <c r="AMS9" t="s">
        <v>1411</v>
      </c>
      <c r="AMT9" t="s">
        <v>1413</v>
      </c>
      <c r="AMU9" t="s">
        <v>1414</v>
      </c>
      <c r="AMV9" t="s">
        <v>1416</v>
      </c>
      <c r="AMW9" t="s">
        <v>1417</v>
      </c>
      <c r="AMX9" t="s">
        <v>1418</v>
      </c>
      <c r="AMY9" t="s">
        <v>1418</v>
      </c>
      <c r="AMZ9" t="s">
        <v>1419</v>
      </c>
      <c r="ANA9" t="s">
        <v>1421</v>
      </c>
      <c r="ANB9" t="s">
        <v>1422</v>
      </c>
      <c r="ANC9" t="s">
        <v>1424</v>
      </c>
      <c r="AND9" t="s">
        <v>1425</v>
      </c>
      <c r="ANE9" t="s">
        <v>1427</v>
      </c>
      <c r="ANF9" t="s">
        <v>1428</v>
      </c>
      <c r="ANG9" t="s">
        <v>1429</v>
      </c>
      <c r="ANH9" t="s">
        <v>1431</v>
      </c>
      <c r="ANI9" t="s">
        <v>1433</v>
      </c>
      <c r="ANJ9" t="s">
        <v>1434</v>
      </c>
      <c r="ANK9" t="s">
        <v>1436</v>
      </c>
      <c r="ANL9" t="s">
        <v>1437</v>
      </c>
      <c r="ANM9" t="s">
        <v>1438</v>
      </c>
      <c r="ANN9" t="s">
        <v>1439</v>
      </c>
      <c r="ANO9" t="s">
        <v>1440</v>
      </c>
      <c r="ANP9" t="s">
        <v>1441</v>
      </c>
      <c r="ANQ9" t="s">
        <v>330</v>
      </c>
      <c r="ANR9" t="s">
        <v>1442</v>
      </c>
      <c r="ANS9" t="s">
        <v>1443</v>
      </c>
      <c r="ANT9" t="s">
        <v>1444</v>
      </c>
      <c r="ANU9" t="s">
        <v>1445</v>
      </c>
      <c r="ANV9" t="s">
        <v>1446</v>
      </c>
      <c r="ANW9" t="s">
        <v>1448</v>
      </c>
      <c r="ANX9" t="s">
        <v>1449</v>
      </c>
      <c r="ANY9" t="s">
        <v>1450</v>
      </c>
      <c r="ANZ9" t="s">
        <v>1451</v>
      </c>
      <c r="AOA9" t="s">
        <v>1452</v>
      </c>
      <c r="AOB9" t="s">
        <v>1454</v>
      </c>
      <c r="AOC9" t="s">
        <v>1455</v>
      </c>
      <c r="AOD9" t="s">
        <v>1457</v>
      </c>
      <c r="AOE9" t="s">
        <v>1459</v>
      </c>
      <c r="AOF9" t="s">
        <v>1460</v>
      </c>
      <c r="AOG9" t="s">
        <v>1461</v>
      </c>
      <c r="AOH9" t="s">
        <v>1462</v>
      </c>
      <c r="AOI9" t="s">
        <v>1463</v>
      </c>
      <c r="AOJ9" t="s">
        <v>1465</v>
      </c>
      <c r="AOK9" t="s">
        <v>1468</v>
      </c>
      <c r="AOL9" t="s">
        <v>1470</v>
      </c>
      <c r="AOM9" t="s">
        <v>1472</v>
      </c>
      <c r="AON9" t="s">
        <v>1474</v>
      </c>
      <c r="AOO9" t="s">
        <v>1475</v>
      </c>
      <c r="AOP9" t="s">
        <v>1476</v>
      </c>
      <c r="AOQ9" t="s">
        <v>1477</v>
      </c>
      <c r="AOR9" t="s">
        <v>1479</v>
      </c>
      <c r="AOS9" t="s">
        <v>1480</v>
      </c>
      <c r="AOT9" t="s">
        <v>1481</v>
      </c>
      <c r="AOU9" t="s">
        <v>1482</v>
      </c>
      <c r="AOV9" t="s">
        <v>1484</v>
      </c>
      <c r="AOW9" t="s">
        <v>1484</v>
      </c>
      <c r="AOX9" t="s">
        <v>1486</v>
      </c>
      <c r="AOY9" t="s">
        <v>1488</v>
      </c>
      <c r="AOZ9" t="s">
        <v>1490</v>
      </c>
      <c r="APA9" t="s">
        <v>1491</v>
      </c>
      <c r="APB9" t="s">
        <v>1492</v>
      </c>
      <c r="APC9" t="s">
        <v>563</v>
      </c>
      <c r="APD9" t="s">
        <v>1496</v>
      </c>
      <c r="APE9" t="s">
        <v>1499</v>
      </c>
      <c r="APF9" t="s">
        <v>1500</v>
      </c>
      <c r="APG9" t="s">
        <v>1499</v>
      </c>
      <c r="APH9" t="s">
        <v>1502</v>
      </c>
      <c r="API9" t="s">
        <v>1503</v>
      </c>
      <c r="APJ9" t="s">
        <v>1505</v>
      </c>
      <c r="APK9" t="s">
        <v>1506</v>
      </c>
      <c r="APL9" t="s">
        <v>1507</v>
      </c>
      <c r="APM9" t="s">
        <v>1508</v>
      </c>
      <c r="APN9" t="s">
        <v>1509</v>
      </c>
      <c r="APO9" t="s">
        <v>1511</v>
      </c>
      <c r="APP9" t="s">
        <v>1513</v>
      </c>
      <c r="APQ9" t="s">
        <v>1514</v>
      </c>
      <c r="APR9" t="s">
        <v>1515</v>
      </c>
      <c r="APS9" t="s">
        <v>1516</v>
      </c>
      <c r="APT9" t="s">
        <v>1517</v>
      </c>
      <c r="APU9" t="s">
        <v>1518</v>
      </c>
      <c r="APV9" t="s">
        <v>1519</v>
      </c>
      <c r="APW9" t="s">
        <v>1520</v>
      </c>
      <c r="APX9" t="s">
        <v>1522</v>
      </c>
      <c r="APY9" t="s">
        <v>1524</v>
      </c>
      <c r="APZ9" t="s">
        <v>1525</v>
      </c>
      <c r="AQA9" t="s">
        <v>1526</v>
      </c>
      <c r="AQB9" t="s">
        <v>1528</v>
      </c>
      <c r="AQC9" t="s">
        <v>1530</v>
      </c>
      <c r="AQD9" t="s">
        <v>1531</v>
      </c>
      <c r="AQE9" t="s">
        <v>1532</v>
      </c>
      <c r="AQF9" t="s">
        <v>1534</v>
      </c>
      <c r="AQG9" t="s">
        <v>1536</v>
      </c>
      <c r="AQH9" t="s">
        <v>1537</v>
      </c>
      <c r="AQI9" t="s">
        <v>1538</v>
      </c>
      <c r="AQJ9" t="s">
        <v>1540</v>
      </c>
      <c r="AQK9" t="s">
        <v>1542</v>
      </c>
      <c r="AQL9" t="s">
        <v>1543</v>
      </c>
      <c r="AQM9" t="s">
        <v>1546</v>
      </c>
      <c r="AQN9" t="s">
        <v>1547</v>
      </c>
      <c r="AQO9" t="s">
        <v>1550</v>
      </c>
      <c r="AQP9" t="s">
        <v>1551</v>
      </c>
      <c r="AQQ9" t="s">
        <v>1552</v>
      </c>
      <c r="AQR9" t="s">
        <v>1554</v>
      </c>
      <c r="AQS9" t="s">
        <v>1556</v>
      </c>
      <c r="AQT9" t="s">
        <v>1558</v>
      </c>
      <c r="AQU9" t="s">
        <v>1559</v>
      </c>
      <c r="AQV9" t="s">
        <v>1560</v>
      </c>
      <c r="AQW9" t="s">
        <v>1561</v>
      </c>
      <c r="AQX9" t="s">
        <v>1562</v>
      </c>
      <c r="AQY9" t="s">
        <v>1563</v>
      </c>
      <c r="AQZ9" t="s">
        <v>1564</v>
      </c>
      <c r="ARA9" t="s">
        <v>1565</v>
      </c>
      <c r="ARB9" t="s">
        <v>906</v>
      </c>
      <c r="ARC9" t="s">
        <v>1567</v>
      </c>
      <c r="ARD9" t="s">
        <v>1568</v>
      </c>
      <c r="ARE9" t="s">
        <v>1569</v>
      </c>
      <c r="ARF9" t="s">
        <v>1570</v>
      </c>
      <c r="ARG9" t="s">
        <v>1571</v>
      </c>
      <c r="ARH9" t="s">
        <v>1573</v>
      </c>
      <c r="ARI9" t="s">
        <v>1574</v>
      </c>
      <c r="ARJ9" t="s">
        <v>1575</v>
      </c>
      <c r="ARK9" t="s">
        <v>1576</v>
      </c>
      <c r="ARL9" t="s">
        <v>1578</v>
      </c>
      <c r="ARM9" t="s">
        <v>1579</v>
      </c>
      <c r="ARN9" t="s">
        <v>1580</v>
      </c>
      <c r="ARO9" t="s">
        <v>1582</v>
      </c>
      <c r="ARP9" t="s">
        <v>1584</v>
      </c>
      <c r="ARQ9" t="s">
        <v>1585</v>
      </c>
      <c r="ARR9" t="s">
        <v>1586</v>
      </c>
      <c r="ARS9" t="s">
        <v>1589</v>
      </c>
      <c r="ART9" t="s">
        <v>1591</v>
      </c>
      <c r="ARU9" t="s">
        <v>1592</v>
      </c>
      <c r="ARV9" t="s">
        <v>1594</v>
      </c>
      <c r="ARW9" t="s">
        <v>1596</v>
      </c>
      <c r="ARX9" t="s">
        <v>1597</v>
      </c>
      <c r="ARY9" t="s">
        <v>1598</v>
      </c>
      <c r="ARZ9" t="s">
        <v>1600</v>
      </c>
      <c r="ASA9" t="s">
        <v>1601</v>
      </c>
      <c r="ASB9" t="s">
        <v>1603</v>
      </c>
      <c r="ASC9" t="s">
        <v>1606</v>
      </c>
      <c r="ASD9" t="s">
        <v>1607</v>
      </c>
      <c r="ASE9" t="s">
        <v>1608</v>
      </c>
      <c r="ASF9" t="s">
        <v>1609</v>
      </c>
      <c r="ASG9" t="s">
        <v>1610</v>
      </c>
      <c r="ASH9" t="s">
        <v>1611</v>
      </c>
      <c r="ASI9" t="s">
        <v>1612</v>
      </c>
      <c r="ASJ9" t="s">
        <v>1613</v>
      </c>
      <c r="ASK9" t="s">
        <v>1615</v>
      </c>
      <c r="ASL9" t="s">
        <v>1616</v>
      </c>
      <c r="ASM9" t="s">
        <v>1617</v>
      </c>
      <c r="ASN9" t="s">
        <v>1619</v>
      </c>
      <c r="ASO9" t="s">
        <v>1620</v>
      </c>
      <c r="ASP9" t="s">
        <v>1621</v>
      </c>
      <c r="ASQ9" t="s">
        <v>1622</v>
      </c>
      <c r="ASR9" t="s">
        <v>1623</v>
      </c>
      <c r="ASS9" t="s">
        <v>1624</v>
      </c>
      <c r="AST9" t="s">
        <v>1626</v>
      </c>
      <c r="ASU9" t="s">
        <v>1627</v>
      </c>
      <c r="ASV9" t="s">
        <v>1628</v>
      </c>
      <c r="ASW9" t="s">
        <v>1629</v>
      </c>
      <c r="ASX9" t="s">
        <v>1631</v>
      </c>
      <c r="ASY9" t="s">
        <v>1632</v>
      </c>
      <c r="ASZ9" t="s">
        <v>1633</v>
      </c>
      <c r="ATA9" t="s">
        <v>1635</v>
      </c>
      <c r="ATB9" t="s">
        <v>1636</v>
      </c>
      <c r="ATC9" t="s">
        <v>95</v>
      </c>
      <c r="ATD9" t="s">
        <v>1637</v>
      </c>
      <c r="ATE9" t="s">
        <v>1638</v>
      </c>
      <c r="ATF9" t="s">
        <v>1639</v>
      </c>
      <c r="ATG9" t="s">
        <v>1640</v>
      </c>
      <c r="ATH9" t="s">
        <v>1641</v>
      </c>
      <c r="ATI9" t="s">
        <v>1642</v>
      </c>
      <c r="ATJ9" t="s">
        <v>1643</v>
      </c>
      <c r="ATK9" t="s">
        <v>1645</v>
      </c>
      <c r="ATL9" t="s">
        <v>269</v>
      </c>
      <c r="ATM9" t="s">
        <v>1646</v>
      </c>
      <c r="ATN9" t="s">
        <v>99</v>
      </c>
      <c r="ATO9" t="s">
        <v>1647</v>
      </c>
      <c r="ATP9" t="s">
        <v>1650</v>
      </c>
      <c r="ATQ9" t="s">
        <v>1651</v>
      </c>
      <c r="ATR9" t="s">
        <v>1654</v>
      </c>
      <c r="ATS9" t="s">
        <v>1655</v>
      </c>
      <c r="ATT9" t="s">
        <v>1656</v>
      </c>
      <c r="ATU9" t="s">
        <v>1657</v>
      </c>
      <c r="ATV9" t="s">
        <v>1658</v>
      </c>
      <c r="ATW9" t="s">
        <v>1660</v>
      </c>
      <c r="ATX9" t="s">
        <v>1661</v>
      </c>
      <c r="ATY9" t="s">
        <v>1662</v>
      </c>
      <c r="ATZ9" t="s">
        <v>1663</v>
      </c>
      <c r="AUA9" t="s">
        <v>1664</v>
      </c>
      <c r="AUB9" t="s">
        <v>1665</v>
      </c>
      <c r="AUC9" t="s">
        <v>1667</v>
      </c>
      <c r="AUD9" t="s">
        <v>1668</v>
      </c>
      <c r="AUE9" t="s">
        <v>1670</v>
      </c>
      <c r="AUF9" t="s">
        <v>1673</v>
      </c>
      <c r="AUG9" t="s">
        <v>649</v>
      </c>
      <c r="AUH9" t="s">
        <v>1675</v>
      </c>
      <c r="AUI9" t="s">
        <v>1676</v>
      </c>
      <c r="AUJ9" t="s">
        <v>1677</v>
      </c>
      <c r="AUK9" t="s">
        <v>1679</v>
      </c>
      <c r="AUL9" t="s">
        <v>1680</v>
      </c>
      <c r="AUM9" t="s">
        <v>1682</v>
      </c>
      <c r="AUN9" t="s">
        <v>1684</v>
      </c>
      <c r="AUO9" t="s">
        <v>1685</v>
      </c>
      <c r="AUP9" t="s">
        <v>1686</v>
      </c>
      <c r="AUQ9" t="s">
        <v>1687</v>
      </c>
      <c r="AUR9" t="s">
        <v>1688</v>
      </c>
      <c r="AUS9" t="s">
        <v>1689</v>
      </c>
      <c r="AUT9" t="s">
        <v>1690</v>
      </c>
      <c r="AUU9" t="s">
        <v>1691</v>
      </c>
      <c r="AUV9" t="s">
        <v>1689</v>
      </c>
      <c r="AUW9" t="s">
        <v>1692</v>
      </c>
      <c r="AUX9" t="s">
        <v>1695</v>
      </c>
      <c r="AUY9" t="s">
        <v>1697</v>
      </c>
      <c r="AUZ9" t="s">
        <v>1698</v>
      </c>
      <c r="AVA9" t="s">
        <v>1699</v>
      </c>
      <c r="AVB9" t="s">
        <v>1701</v>
      </c>
      <c r="AVC9" t="s">
        <v>1703</v>
      </c>
      <c r="AVD9" t="s">
        <v>1705</v>
      </c>
      <c r="AVE9" t="s">
        <v>1706</v>
      </c>
      <c r="AVF9" t="s">
        <v>1708</v>
      </c>
      <c r="AVG9" t="s">
        <v>1710</v>
      </c>
      <c r="AVH9" t="s">
        <v>1711</v>
      </c>
      <c r="AVI9" t="s">
        <v>1713</v>
      </c>
      <c r="AVJ9" t="s">
        <v>1714</v>
      </c>
      <c r="AVK9" t="s">
        <v>1715</v>
      </c>
      <c r="AVL9" t="s">
        <v>1716</v>
      </c>
      <c r="AVM9" t="s">
        <v>1717</v>
      </c>
      <c r="AVN9" t="s">
        <v>1718</v>
      </c>
      <c r="AVO9" t="s">
        <v>1719</v>
      </c>
      <c r="AVP9" t="s">
        <v>1720</v>
      </c>
      <c r="AVQ9" t="s">
        <v>1721</v>
      </c>
      <c r="AVR9" t="s">
        <v>1723</v>
      </c>
      <c r="AVS9" t="s">
        <v>858</v>
      </c>
      <c r="AVT9" t="s">
        <v>1725</v>
      </c>
      <c r="AVU9" t="s">
        <v>1727</v>
      </c>
      <c r="AVV9" t="s">
        <v>1728</v>
      </c>
      <c r="AVW9" t="s">
        <v>1730</v>
      </c>
      <c r="AVX9" t="s">
        <v>1731</v>
      </c>
      <c r="AVY9" t="s">
        <v>1732</v>
      </c>
      <c r="AVZ9" t="s">
        <v>1733</v>
      </c>
      <c r="AWA9" t="s">
        <v>1734</v>
      </c>
      <c r="AWB9" t="s">
        <v>1735</v>
      </c>
      <c r="AWC9" t="s">
        <v>1736</v>
      </c>
      <c r="AWD9" t="s">
        <v>1737</v>
      </c>
      <c r="AWE9" t="s">
        <v>1739</v>
      </c>
      <c r="AWF9" t="s">
        <v>1740</v>
      </c>
      <c r="AWG9" t="s">
        <v>1741</v>
      </c>
      <c r="AWH9" t="s">
        <v>1744</v>
      </c>
      <c r="AWI9" t="s">
        <v>1744</v>
      </c>
      <c r="AWJ9" t="s">
        <v>1746</v>
      </c>
      <c r="AWK9" t="s">
        <v>1747</v>
      </c>
      <c r="AWL9" t="s">
        <v>1748</v>
      </c>
      <c r="AWM9" t="s">
        <v>1750</v>
      </c>
      <c r="AWN9" t="s">
        <v>1753</v>
      </c>
      <c r="AWO9" t="s">
        <v>1754</v>
      </c>
      <c r="AWP9" t="s">
        <v>1756</v>
      </c>
      <c r="AWQ9" t="s">
        <v>1758</v>
      </c>
      <c r="AWR9" t="s">
        <v>1759</v>
      </c>
      <c r="AWS9" t="s">
        <v>1760</v>
      </c>
      <c r="AWT9" t="s">
        <v>1762</v>
      </c>
      <c r="AWU9" t="s">
        <v>1763</v>
      </c>
      <c r="AWV9" t="s">
        <v>1764</v>
      </c>
      <c r="AWW9" t="s">
        <v>1765</v>
      </c>
      <c r="AWX9" t="s">
        <v>1767</v>
      </c>
      <c r="AWY9" t="s">
        <v>1768</v>
      </c>
      <c r="AWZ9" t="s">
        <v>1770</v>
      </c>
      <c r="AXA9" t="s">
        <v>1771</v>
      </c>
      <c r="AXB9" t="s">
        <v>1773</v>
      </c>
      <c r="AXC9" t="s">
        <v>1775</v>
      </c>
      <c r="AXD9" t="s">
        <v>1777</v>
      </c>
      <c r="AXE9" t="s">
        <v>1778</v>
      </c>
      <c r="AXF9" t="s">
        <v>1779</v>
      </c>
      <c r="AXG9" t="s">
        <v>1780</v>
      </c>
      <c r="AXH9" t="s">
        <v>1781</v>
      </c>
      <c r="AXI9" t="s">
        <v>1782</v>
      </c>
      <c r="AXJ9" t="s">
        <v>1784</v>
      </c>
      <c r="AXK9" t="s">
        <v>1785</v>
      </c>
      <c r="AXL9" t="s">
        <v>1787</v>
      </c>
      <c r="AXM9" t="s">
        <v>1789</v>
      </c>
      <c r="AXN9" t="s">
        <v>1790</v>
      </c>
      <c r="AXO9" t="s">
        <v>1792</v>
      </c>
      <c r="AXP9" t="s">
        <v>1794</v>
      </c>
      <c r="AXQ9" t="s">
        <v>1796</v>
      </c>
      <c r="AXR9" t="s">
        <v>1797</v>
      </c>
      <c r="AXS9" t="s">
        <v>1799</v>
      </c>
      <c r="AXT9" t="s">
        <v>1800</v>
      </c>
      <c r="AXU9" t="s">
        <v>1801</v>
      </c>
      <c r="AXV9" t="s">
        <v>1803</v>
      </c>
      <c r="AXW9" t="s">
        <v>1804</v>
      </c>
      <c r="AXX9" t="s">
        <v>1805</v>
      </c>
      <c r="AXY9" t="s">
        <v>1806</v>
      </c>
      <c r="AXZ9" t="s">
        <v>1808</v>
      </c>
      <c r="AYA9" t="s">
        <v>1809</v>
      </c>
      <c r="AYB9" t="s">
        <v>1811</v>
      </c>
      <c r="AYC9" t="s">
        <v>1812</v>
      </c>
      <c r="AYD9" t="s">
        <v>1813</v>
      </c>
      <c r="AYE9" t="s">
        <v>1815</v>
      </c>
      <c r="AYF9" t="s">
        <v>1817</v>
      </c>
      <c r="AYG9" t="s">
        <v>1819</v>
      </c>
      <c r="AYH9" t="s">
        <v>1820</v>
      </c>
      <c r="AYI9" t="s">
        <v>1821</v>
      </c>
      <c r="AYJ9" t="s">
        <v>1822</v>
      </c>
      <c r="AYK9" t="s">
        <v>1823</v>
      </c>
      <c r="AYL9" t="s">
        <v>1824</v>
      </c>
      <c r="AYM9" t="s">
        <v>1825</v>
      </c>
      <c r="AYN9" t="s">
        <v>700</v>
      </c>
      <c r="AYO9" t="s">
        <v>1826</v>
      </c>
      <c r="AYP9" t="s">
        <v>1827</v>
      </c>
      <c r="AYQ9" t="s">
        <v>1828</v>
      </c>
      <c r="AYR9" t="s">
        <v>1829</v>
      </c>
      <c r="AYS9" t="s">
        <v>1830</v>
      </c>
      <c r="AYT9" t="s">
        <v>1831</v>
      </c>
      <c r="AYU9" t="s">
        <v>1829</v>
      </c>
      <c r="AYV9" t="s">
        <v>1832</v>
      </c>
      <c r="AYW9" t="s">
        <v>1834</v>
      </c>
      <c r="AYX9" t="s">
        <v>1835</v>
      </c>
      <c r="AYY9" t="s">
        <v>1836</v>
      </c>
      <c r="AYZ9" t="s">
        <v>1838</v>
      </c>
      <c r="AZA9" t="s">
        <v>1839</v>
      </c>
      <c r="AZB9" t="s">
        <v>1841</v>
      </c>
      <c r="AZC9" t="s">
        <v>1842</v>
      </c>
      <c r="AZD9" t="s">
        <v>1843</v>
      </c>
      <c r="AZE9" t="s">
        <v>1844</v>
      </c>
      <c r="AZF9" t="s">
        <v>1846</v>
      </c>
      <c r="AZG9" t="s">
        <v>1848</v>
      </c>
      <c r="AZH9" t="s">
        <v>1849</v>
      </c>
      <c r="AZI9" t="s">
        <v>318</v>
      </c>
      <c r="AZJ9" t="s">
        <v>1851</v>
      </c>
      <c r="AZK9" t="s">
        <v>1852</v>
      </c>
      <c r="AZL9" t="s">
        <v>1854</v>
      </c>
      <c r="AZM9" t="s">
        <v>1855</v>
      </c>
      <c r="AZN9" t="s">
        <v>1857</v>
      </c>
      <c r="AZO9" t="s">
        <v>1858</v>
      </c>
      <c r="AZP9" t="s">
        <v>1861</v>
      </c>
      <c r="AZQ9" t="s">
        <v>1862</v>
      </c>
      <c r="AZR9" t="s">
        <v>1864</v>
      </c>
      <c r="AZS9" t="s">
        <v>1866</v>
      </c>
      <c r="AZT9" t="s">
        <v>1868</v>
      </c>
      <c r="AZU9" t="s">
        <v>1869</v>
      </c>
      <c r="AZV9" t="s">
        <v>1871</v>
      </c>
      <c r="AZW9" t="s">
        <v>1872</v>
      </c>
      <c r="AZX9" t="s">
        <v>1873</v>
      </c>
      <c r="AZY9" t="s">
        <v>1874</v>
      </c>
      <c r="AZZ9" t="s">
        <v>1875</v>
      </c>
      <c r="BAA9" t="s">
        <v>1876</v>
      </c>
      <c r="BAB9" t="s">
        <v>1877</v>
      </c>
      <c r="BAC9" t="s">
        <v>1878</v>
      </c>
      <c r="BAD9" t="s">
        <v>1879</v>
      </c>
      <c r="BAE9" t="s">
        <v>1880</v>
      </c>
      <c r="BAF9" t="s">
        <v>1881</v>
      </c>
      <c r="BAG9" t="s">
        <v>1882</v>
      </c>
      <c r="BAH9" t="s">
        <v>1883</v>
      </c>
      <c r="BAI9" t="s">
        <v>1884</v>
      </c>
      <c r="BAJ9" t="s">
        <v>1885</v>
      </c>
      <c r="BAK9" t="s">
        <v>1886</v>
      </c>
      <c r="BAL9" t="s">
        <v>1888</v>
      </c>
      <c r="BAM9" t="s">
        <v>1889</v>
      </c>
      <c r="BAN9" t="s">
        <v>1890</v>
      </c>
      <c r="BAO9" t="s">
        <v>1891</v>
      </c>
      <c r="BAP9" t="s">
        <v>1892</v>
      </c>
      <c r="BAQ9" t="s">
        <v>1894</v>
      </c>
      <c r="BAR9" t="s">
        <v>1895</v>
      </c>
      <c r="BAS9" t="s">
        <v>1897</v>
      </c>
      <c r="BAT9" t="s">
        <v>1898</v>
      </c>
      <c r="BAU9" t="s">
        <v>1899</v>
      </c>
      <c r="BAV9" t="s">
        <v>1901</v>
      </c>
      <c r="BAW9" t="s">
        <v>1903</v>
      </c>
      <c r="BAX9" t="s">
        <v>1906</v>
      </c>
      <c r="BAY9" t="s">
        <v>1907</v>
      </c>
      <c r="BAZ9" t="s">
        <v>1909</v>
      </c>
      <c r="BBA9" t="s">
        <v>1910</v>
      </c>
      <c r="BBB9" t="s">
        <v>1912</v>
      </c>
      <c r="BBC9" t="s">
        <v>1913</v>
      </c>
      <c r="BBD9" t="s">
        <v>1915</v>
      </c>
      <c r="BBE9" t="s">
        <v>1916</v>
      </c>
      <c r="BBF9" t="s">
        <v>1917</v>
      </c>
      <c r="BBG9" t="s">
        <v>1918</v>
      </c>
      <c r="BBH9" t="s">
        <v>1920</v>
      </c>
      <c r="BBI9" t="s">
        <v>1922</v>
      </c>
      <c r="BBJ9" t="s">
        <v>1924</v>
      </c>
      <c r="BBK9" t="s">
        <v>1927</v>
      </c>
      <c r="BBL9" t="s">
        <v>1928</v>
      </c>
      <c r="BBM9" t="s">
        <v>1929</v>
      </c>
      <c r="BBN9" t="s">
        <v>1930</v>
      </c>
      <c r="BBO9" t="s">
        <v>1932</v>
      </c>
      <c r="BBP9" t="s">
        <v>1570</v>
      </c>
      <c r="BBQ9" t="s">
        <v>1569</v>
      </c>
      <c r="BBR9" t="s">
        <v>1569</v>
      </c>
      <c r="BBS9" t="s">
        <v>1934</v>
      </c>
      <c r="BBT9" t="s">
        <v>1936</v>
      </c>
      <c r="BBU9" t="s">
        <v>1451</v>
      </c>
      <c r="BBV9" t="s">
        <v>1938</v>
      </c>
      <c r="BBW9" t="s">
        <v>1939</v>
      </c>
      <c r="BBX9" t="s">
        <v>1940</v>
      </c>
      <c r="BBY9" t="s">
        <v>1941</v>
      </c>
      <c r="BBZ9" t="s">
        <v>164</v>
      </c>
      <c r="BCA9" t="s">
        <v>1943</v>
      </c>
      <c r="BCB9" t="s">
        <v>1944</v>
      </c>
      <c r="BCC9" t="s">
        <v>1945</v>
      </c>
      <c r="BCD9" t="s">
        <v>1946</v>
      </c>
      <c r="BCE9" t="s">
        <v>1948</v>
      </c>
      <c r="BCF9" t="s">
        <v>1949</v>
      </c>
      <c r="BCG9" t="s">
        <v>1950</v>
      </c>
      <c r="BCH9" t="s">
        <v>1951</v>
      </c>
      <c r="BCI9" t="s">
        <v>1952</v>
      </c>
      <c r="BCJ9" t="s">
        <v>1953</v>
      </c>
      <c r="BCK9" t="s">
        <v>1955</v>
      </c>
      <c r="BCL9" t="s">
        <v>1957</v>
      </c>
      <c r="BCM9" t="s">
        <v>1958</v>
      </c>
      <c r="BCN9" t="s">
        <v>1959</v>
      </c>
      <c r="BCO9" t="s">
        <v>1960</v>
      </c>
      <c r="BCP9" t="s">
        <v>1961</v>
      </c>
      <c r="BCQ9" t="s">
        <v>1962</v>
      </c>
      <c r="BCR9" t="s">
        <v>1963</v>
      </c>
      <c r="BCS9" t="s">
        <v>1964</v>
      </c>
      <c r="BCT9" t="s">
        <v>1965</v>
      </c>
      <c r="BCU9" t="s">
        <v>1966</v>
      </c>
      <c r="BCV9" t="s">
        <v>1967</v>
      </c>
      <c r="BCW9" t="s">
        <v>1968</v>
      </c>
      <c r="BCX9" t="s">
        <v>1970</v>
      </c>
      <c r="BCY9" t="s">
        <v>1971</v>
      </c>
      <c r="BCZ9" t="s">
        <v>1972</v>
      </c>
      <c r="BDA9" t="s">
        <v>1973</v>
      </c>
      <c r="BDB9" t="s">
        <v>1974</v>
      </c>
      <c r="BDC9" t="s">
        <v>1976</v>
      </c>
      <c r="BDD9" t="s">
        <v>1978</v>
      </c>
      <c r="BDE9" t="s">
        <v>1980</v>
      </c>
      <c r="BDF9" t="s">
        <v>1982</v>
      </c>
      <c r="BDG9" t="s">
        <v>1984</v>
      </c>
      <c r="BDH9" t="s">
        <v>1985</v>
      </c>
      <c r="BDI9" t="s">
        <v>1986</v>
      </c>
      <c r="BDJ9" t="s">
        <v>1988</v>
      </c>
      <c r="BDK9" t="s">
        <v>1990</v>
      </c>
      <c r="BDL9" t="s">
        <v>1992</v>
      </c>
      <c r="BDM9" t="s">
        <v>1993</v>
      </c>
      <c r="BDN9" t="s">
        <v>1994</v>
      </c>
      <c r="BDO9" t="s">
        <v>1995</v>
      </c>
      <c r="BDP9" t="s">
        <v>1996</v>
      </c>
      <c r="BDQ9" t="s">
        <v>1998</v>
      </c>
      <c r="BDR9" t="s">
        <v>2000</v>
      </c>
      <c r="BDS9" t="s">
        <v>2001</v>
      </c>
      <c r="BDT9" t="s">
        <v>2002</v>
      </c>
      <c r="BDU9" t="s">
        <v>2003</v>
      </c>
      <c r="BDV9" t="s">
        <v>2004</v>
      </c>
      <c r="BDW9" t="s">
        <v>2005</v>
      </c>
      <c r="BDX9" t="s">
        <v>2006</v>
      </c>
      <c r="BDY9" t="s">
        <v>2007</v>
      </c>
      <c r="BDZ9" t="s">
        <v>2008</v>
      </c>
      <c r="BEA9" t="s">
        <v>2009</v>
      </c>
      <c r="BEB9" t="s">
        <v>2011</v>
      </c>
      <c r="BEC9" t="s">
        <v>2012</v>
      </c>
      <c r="BED9" t="s">
        <v>2015</v>
      </c>
      <c r="BEE9" t="s">
        <v>2016</v>
      </c>
      <c r="BEF9" t="s">
        <v>2017</v>
      </c>
      <c r="BEG9" t="s">
        <v>2018</v>
      </c>
      <c r="BEH9" t="s">
        <v>2019</v>
      </c>
      <c r="BEI9" t="s">
        <v>2018</v>
      </c>
      <c r="BEJ9" t="s">
        <v>2020</v>
      </c>
      <c r="BEK9" t="s">
        <v>2021</v>
      </c>
      <c r="BEL9" t="s">
        <v>2022</v>
      </c>
      <c r="BEM9" t="s">
        <v>2023</v>
      </c>
      <c r="BEN9" t="s">
        <v>2024</v>
      </c>
      <c r="BEO9" t="s">
        <v>2025</v>
      </c>
      <c r="BEP9" t="s">
        <v>2027</v>
      </c>
      <c r="BEQ9" t="s">
        <v>2027</v>
      </c>
      <c r="BER9" t="s">
        <v>2029</v>
      </c>
      <c r="BES9" t="s">
        <v>2030</v>
      </c>
      <c r="BET9" t="s">
        <v>2031</v>
      </c>
      <c r="BEU9" t="s">
        <v>2033</v>
      </c>
      <c r="BEV9" t="s">
        <v>2035</v>
      </c>
      <c r="BEW9" t="s">
        <v>2037</v>
      </c>
      <c r="BEX9" t="s">
        <v>2039</v>
      </c>
      <c r="BEY9" t="s">
        <v>2040</v>
      </c>
      <c r="BEZ9" t="s">
        <v>2042</v>
      </c>
      <c r="BFA9" t="s">
        <v>2043</v>
      </c>
      <c r="BFB9" t="s">
        <v>2045</v>
      </c>
      <c r="BFC9" t="s">
        <v>2046</v>
      </c>
      <c r="BFD9" t="s">
        <v>2047</v>
      </c>
      <c r="BFE9" t="s">
        <v>2048</v>
      </c>
      <c r="BFF9" t="s">
        <v>2051</v>
      </c>
      <c r="BFG9" t="s">
        <v>2052</v>
      </c>
      <c r="BFH9" t="s">
        <v>2054</v>
      </c>
      <c r="BFI9" t="s">
        <v>2055</v>
      </c>
      <c r="BFJ9" t="s">
        <v>2056</v>
      </c>
      <c r="BFK9" t="s">
        <v>2058</v>
      </c>
      <c r="BFL9" t="s">
        <v>2060</v>
      </c>
      <c r="BFM9" t="s">
        <v>2062</v>
      </c>
      <c r="BFN9" t="s">
        <v>2063</v>
      </c>
      <c r="BFO9" t="s">
        <v>2064</v>
      </c>
      <c r="BFP9" t="s">
        <v>2067</v>
      </c>
      <c r="BFQ9" t="s">
        <v>2068</v>
      </c>
      <c r="BFR9" t="s">
        <v>2067</v>
      </c>
      <c r="BFS9" t="s">
        <v>2071</v>
      </c>
      <c r="BFT9" t="s">
        <v>2073</v>
      </c>
      <c r="BFU9" t="s">
        <v>2075</v>
      </c>
      <c r="BFV9" t="s">
        <v>2076</v>
      </c>
      <c r="BFW9" t="s">
        <v>2077</v>
      </c>
      <c r="BFX9" t="s">
        <v>2078</v>
      </c>
      <c r="BFY9" t="s">
        <v>2079</v>
      </c>
      <c r="BFZ9" t="s">
        <v>2080</v>
      </c>
      <c r="BGA9" t="s">
        <v>2081</v>
      </c>
      <c r="BGB9" t="s">
        <v>2081</v>
      </c>
      <c r="BGC9" t="s">
        <v>2083</v>
      </c>
      <c r="BGD9" t="s">
        <v>2084</v>
      </c>
      <c r="BGE9" t="s">
        <v>2086</v>
      </c>
      <c r="BGF9" t="s">
        <v>2088</v>
      </c>
      <c r="BGG9" t="s">
        <v>2089</v>
      </c>
      <c r="BGH9" t="s">
        <v>2091</v>
      </c>
      <c r="BGI9" t="s">
        <v>2092</v>
      </c>
      <c r="BGJ9" t="s">
        <v>2093</v>
      </c>
      <c r="BGK9" t="s">
        <v>2094</v>
      </c>
      <c r="BGL9" t="s">
        <v>2095</v>
      </c>
      <c r="BGM9" t="s">
        <v>2096</v>
      </c>
      <c r="BGN9" t="s">
        <v>2098</v>
      </c>
      <c r="BGO9" t="s">
        <v>2099</v>
      </c>
      <c r="BGP9" t="s">
        <v>2100</v>
      </c>
      <c r="BGQ9" t="s">
        <v>2101</v>
      </c>
      <c r="BGR9" t="s">
        <v>2102</v>
      </c>
      <c r="BGS9" t="s">
        <v>2104</v>
      </c>
      <c r="BGT9" t="s">
        <v>2105</v>
      </c>
      <c r="BGU9" t="s">
        <v>2106</v>
      </c>
      <c r="BGV9" t="s">
        <v>2107</v>
      </c>
      <c r="BGW9" t="s">
        <v>2108</v>
      </c>
      <c r="BGX9" t="s">
        <v>2109</v>
      </c>
      <c r="BGY9" t="s">
        <v>2110</v>
      </c>
      <c r="BGZ9" t="s">
        <v>2111</v>
      </c>
      <c r="BHA9" t="s">
        <v>2113</v>
      </c>
      <c r="BHB9" t="s">
        <v>2116</v>
      </c>
      <c r="BHC9" t="s">
        <v>2118</v>
      </c>
    </row>
    <row r="10" spans="5:1563" x14ac:dyDescent="0.25">
      <c r="E10" t="s">
        <v>2193</v>
      </c>
      <c r="F10" t="s">
        <v>12</v>
      </c>
      <c r="G10" t="s">
        <v>13</v>
      </c>
      <c r="H10" t="s">
        <v>14</v>
      </c>
      <c r="I10">
        <v>193847</v>
      </c>
      <c r="L10" t="s">
        <v>2502</v>
      </c>
      <c r="M10">
        <v>358146</v>
      </c>
      <c r="N10">
        <v>358146</v>
      </c>
      <c r="O10">
        <v>268614</v>
      </c>
      <c r="P10">
        <v>268614</v>
      </c>
      <c r="Q10">
        <v>193847</v>
      </c>
      <c r="R10">
        <v>193847</v>
      </c>
      <c r="S10">
        <v>168926</v>
      </c>
      <c r="T10">
        <v>168926</v>
      </c>
      <c r="U10">
        <v>152560</v>
      </c>
      <c r="V10">
        <v>128362</v>
      </c>
      <c r="W10">
        <v>105272</v>
      </c>
      <c r="X10">
        <v>105272</v>
      </c>
      <c r="Y10">
        <v>96451</v>
      </c>
      <c r="Z10">
        <v>96451</v>
      </c>
      <c r="AA10">
        <v>96451</v>
      </c>
      <c r="AB10">
        <v>82594</v>
      </c>
      <c r="AC10">
        <v>82594</v>
      </c>
      <c r="AD10">
        <v>67975</v>
      </c>
      <c r="AE10">
        <v>67975</v>
      </c>
      <c r="AF10">
        <v>65424</v>
      </c>
      <c r="AG10">
        <v>65424</v>
      </c>
      <c r="AH10">
        <v>65424</v>
      </c>
      <c r="AI10">
        <v>65424</v>
      </c>
      <c r="AJ10">
        <v>65424</v>
      </c>
      <c r="AK10">
        <v>64154</v>
      </c>
      <c r="AL10">
        <v>63893</v>
      </c>
      <c r="AM10">
        <v>63546</v>
      </c>
      <c r="AN10">
        <v>63546</v>
      </c>
      <c r="AO10">
        <v>63546</v>
      </c>
      <c r="AP10">
        <v>63546</v>
      </c>
      <c r="AQ10">
        <v>63546</v>
      </c>
      <c r="AR10">
        <v>61895</v>
      </c>
      <c r="AS10">
        <v>61895</v>
      </c>
      <c r="AT10">
        <v>61895</v>
      </c>
      <c r="AU10">
        <v>61128</v>
      </c>
      <c r="AV10">
        <v>61128</v>
      </c>
      <c r="AW10">
        <v>61128</v>
      </c>
      <c r="AX10">
        <v>61128</v>
      </c>
      <c r="AY10">
        <v>60773</v>
      </c>
      <c r="AZ10">
        <v>60002</v>
      </c>
      <c r="BA10">
        <v>60002</v>
      </c>
      <c r="BB10">
        <v>59154</v>
      </c>
      <c r="BC10">
        <v>59154</v>
      </c>
      <c r="BD10">
        <v>59154</v>
      </c>
      <c r="BE10">
        <v>50308</v>
      </c>
      <c r="BF10">
        <v>50308</v>
      </c>
      <c r="BG10">
        <v>49527</v>
      </c>
      <c r="BH10">
        <v>49527</v>
      </c>
      <c r="BI10">
        <v>49527</v>
      </c>
      <c r="BJ10">
        <v>49527</v>
      </c>
      <c r="BK10">
        <v>49527</v>
      </c>
      <c r="BL10">
        <v>49527</v>
      </c>
      <c r="BM10">
        <v>49527</v>
      </c>
      <c r="BN10">
        <v>48308</v>
      </c>
      <c r="BO10">
        <v>48293</v>
      </c>
      <c r="BP10">
        <v>46936</v>
      </c>
      <c r="BQ10">
        <v>46936</v>
      </c>
      <c r="BR10">
        <v>46936</v>
      </c>
      <c r="BS10">
        <v>46936</v>
      </c>
      <c r="BT10">
        <v>46936</v>
      </c>
      <c r="BU10">
        <v>46936</v>
      </c>
      <c r="BV10">
        <v>45462</v>
      </c>
      <c r="BW10">
        <v>43617</v>
      </c>
      <c r="BX10">
        <v>43617</v>
      </c>
      <c r="BY10">
        <v>43617</v>
      </c>
      <c r="BZ10">
        <v>43022</v>
      </c>
      <c r="CA10">
        <v>43022</v>
      </c>
      <c r="CB10">
        <v>43022</v>
      </c>
      <c r="CC10">
        <v>43022</v>
      </c>
      <c r="CD10">
        <v>43022</v>
      </c>
      <c r="CE10">
        <v>43022</v>
      </c>
      <c r="CF10">
        <v>43022</v>
      </c>
      <c r="CG10">
        <v>40160</v>
      </c>
      <c r="CH10">
        <v>40160</v>
      </c>
      <c r="CI10">
        <v>40160</v>
      </c>
      <c r="CJ10">
        <v>40160</v>
      </c>
      <c r="CK10">
        <v>40037</v>
      </c>
      <c r="CL10">
        <v>38652</v>
      </c>
      <c r="CM10">
        <v>38652</v>
      </c>
      <c r="CN10">
        <v>38652</v>
      </c>
      <c r="CO10">
        <v>38652</v>
      </c>
      <c r="CP10">
        <v>38652</v>
      </c>
      <c r="CQ10">
        <v>38652</v>
      </c>
      <c r="CR10">
        <v>38652</v>
      </c>
      <c r="CS10">
        <v>38083</v>
      </c>
      <c r="CT10">
        <v>35762</v>
      </c>
      <c r="CU10">
        <v>35762</v>
      </c>
      <c r="CV10">
        <v>35261</v>
      </c>
      <c r="CW10">
        <v>35261</v>
      </c>
      <c r="CX10">
        <v>34908</v>
      </c>
      <c r="CY10">
        <v>34908</v>
      </c>
      <c r="CZ10">
        <v>34908</v>
      </c>
      <c r="DA10">
        <v>34659</v>
      </c>
      <c r="DB10">
        <v>34659</v>
      </c>
      <c r="DC10">
        <v>34659</v>
      </c>
      <c r="DD10">
        <v>34659</v>
      </c>
      <c r="DE10">
        <v>34659</v>
      </c>
      <c r="DF10">
        <v>34659</v>
      </c>
      <c r="DG10">
        <v>34659</v>
      </c>
      <c r="DH10">
        <v>34308</v>
      </c>
      <c r="DI10">
        <v>34276</v>
      </c>
      <c r="DJ10">
        <v>34154</v>
      </c>
      <c r="DK10">
        <v>33628</v>
      </c>
      <c r="DL10">
        <v>33628</v>
      </c>
      <c r="DM10">
        <v>33628</v>
      </c>
      <c r="DN10">
        <v>33418</v>
      </c>
      <c r="DO10">
        <v>33418</v>
      </c>
      <c r="DP10">
        <v>33418</v>
      </c>
      <c r="DQ10">
        <v>32683</v>
      </c>
      <c r="DR10">
        <v>32683</v>
      </c>
      <c r="DS10">
        <v>32683</v>
      </c>
      <c r="DT10">
        <v>31714</v>
      </c>
      <c r="DU10">
        <v>31714</v>
      </c>
      <c r="DV10">
        <v>30693</v>
      </c>
      <c r="DW10">
        <v>30308</v>
      </c>
      <c r="DX10">
        <v>30308</v>
      </c>
      <c r="DY10">
        <v>29486</v>
      </c>
      <c r="DZ10">
        <v>29486</v>
      </c>
      <c r="EA10">
        <v>29296</v>
      </c>
      <c r="EB10">
        <v>29296</v>
      </c>
      <c r="EC10">
        <v>29296</v>
      </c>
      <c r="ED10">
        <v>29296</v>
      </c>
      <c r="EE10">
        <v>29296</v>
      </c>
      <c r="EF10">
        <v>28888</v>
      </c>
      <c r="EG10">
        <v>28304</v>
      </c>
      <c r="EH10">
        <v>28125</v>
      </c>
      <c r="EI10">
        <v>28125</v>
      </c>
      <c r="EJ10">
        <v>28072</v>
      </c>
      <c r="EK10">
        <v>25945</v>
      </c>
      <c r="EL10">
        <v>24473</v>
      </c>
      <c r="EM10">
        <v>24473</v>
      </c>
      <c r="EN10">
        <v>24183</v>
      </c>
      <c r="EO10">
        <v>24183</v>
      </c>
      <c r="EP10">
        <v>23751</v>
      </c>
      <c r="EQ10">
        <v>22990</v>
      </c>
      <c r="ER10">
        <v>22990</v>
      </c>
      <c r="ES10">
        <v>22775</v>
      </c>
      <c r="ET10">
        <v>22775</v>
      </c>
      <c r="EU10">
        <v>22775</v>
      </c>
      <c r="EV10">
        <v>22083</v>
      </c>
      <c r="EW10">
        <v>22083</v>
      </c>
      <c r="EX10">
        <v>22083</v>
      </c>
      <c r="EY10">
        <v>22083</v>
      </c>
      <c r="EZ10">
        <v>21790</v>
      </c>
      <c r="FA10">
        <v>21459</v>
      </c>
      <c r="FB10">
        <v>21103</v>
      </c>
      <c r="FC10">
        <v>20892</v>
      </c>
      <c r="FD10">
        <v>20797</v>
      </c>
      <c r="FE10">
        <v>20797</v>
      </c>
      <c r="FF10">
        <v>20778</v>
      </c>
      <c r="FG10">
        <v>20777</v>
      </c>
      <c r="FH10">
        <v>20777</v>
      </c>
      <c r="FI10">
        <v>20401</v>
      </c>
      <c r="FJ10">
        <v>20401</v>
      </c>
      <c r="FK10">
        <v>20401</v>
      </c>
      <c r="FL10">
        <v>20236</v>
      </c>
      <c r="FM10">
        <v>20236</v>
      </c>
      <c r="FN10">
        <v>19879</v>
      </c>
      <c r="FO10">
        <v>19879</v>
      </c>
      <c r="FP10">
        <v>19879</v>
      </c>
      <c r="FQ10">
        <v>19571</v>
      </c>
      <c r="FR10">
        <v>19571</v>
      </c>
      <c r="FS10">
        <v>19546</v>
      </c>
      <c r="FT10">
        <v>19501</v>
      </c>
      <c r="FU10">
        <v>19501</v>
      </c>
      <c r="FV10">
        <v>19319</v>
      </c>
      <c r="FW10">
        <v>19319</v>
      </c>
      <c r="FX10">
        <v>19090</v>
      </c>
      <c r="FY10">
        <v>19090</v>
      </c>
      <c r="FZ10">
        <v>19090</v>
      </c>
      <c r="GA10">
        <v>18974</v>
      </c>
      <c r="GB10">
        <v>18974</v>
      </c>
      <c r="GC10">
        <v>18974</v>
      </c>
      <c r="GD10">
        <v>18715</v>
      </c>
      <c r="GE10">
        <v>18263</v>
      </c>
      <c r="GF10">
        <v>18263</v>
      </c>
      <c r="GG10">
        <v>18263</v>
      </c>
      <c r="GH10">
        <v>18030</v>
      </c>
      <c r="GI10">
        <v>18030</v>
      </c>
      <c r="GJ10">
        <v>17584</v>
      </c>
      <c r="GK10">
        <v>17399</v>
      </c>
      <c r="GL10">
        <v>17076</v>
      </c>
      <c r="GM10">
        <v>17076</v>
      </c>
      <c r="GN10">
        <v>17010</v>
      </c>
      <c r="GO10">
        <v>16992</v>
      </c>
      <c r="GP10">
        <v>16992</v>
      </c>
      <c r="GQ10">
        <v>16992</v>
      </c>
      <c r="GR10">
        <v>16992</v>
      </c>
      <c r="GS10">
        <v>16087</v>
      </c>
      <c r="GT10">
        <v>15877</v>
      </c>
      <c r="GU10">
        <v>15572</v>
      </c>
      <c r="GV10">
        <v>15246</v>
      </c>
      <c r="GW10">
        <v>15049</v>
      </c>
      <c r="GX10">
        <v>14833</v>
      </c>
      <c r="GY10">
        <v>14627</v>
      </c>
      <c r="GZ10">
        <v>14627</v>
      </c>
      <c r="HA10">
        <v>14401</v>
      </c>
      <c r="HB10">
        <v>14401</v>
      </c>
      <c r="HC10">
        <v>14265</v>
      </c>
      <c r="HD10">
        <v>14156</v>
      </c>
      <c r="HE10">
        <v>14156</v>
      </c>
      <c r="HF10">
        <v>14156</v>
      </c>
      <c r="HG10">
        <v>14156</v>
      </c>
      <c r="HH10">
        <v>14131</v>
      </c>
      <c r="HI10">
        <v>14131</v>
      </c>
      <c r="HJ10">
        <v>14015</v>
      </c>
      <c r="HK10">
        <v>13724</v>
      </c>
      <c r="HL10">
        <v>13180</v>
      </c>
      <c r="HM10">
        <v>13180</v>
      </c>
      <c r="HN10">
        <v>13180</v>
      </c>
      <c r="HO10">
        <v>13180</v>
      </c>
      <c r="HP10">
        <v>13180</v>
      </c>
      <c r="HQ10">
        <v>12575</v>
      </c>
      <c r="HR10">
        <v>12575</v>
      </c>
      <c r="HS10">
        <v>12539</v>
      </c>
      <c r="HT10">
        <v>12539</v>
      </c>
      <c r="HU10">
        <v>12284</v>
      </c>
      <c r="HV10">
        <v>12079</v>
      </c>
      <c r="HW10">
        <v>11833</v>
      </c>
      <c r="HX10">
        <v>11833</v>
      </c>
      <c r="HY10">
        <v>11833</v>
      </c>
      <c r="HZ10">
        <v>11789</v>
      </c>
      <c r="IA10">
        <v>11696</v>
      </c>
      <c r="IB10">
        <v>11696</v>
      </c>
      <c r="IC10">
        <v>11696</v>
      </c>
      <c r="ID10">
        <v>11664</v>
      </c>
      <c r="IE10">
        <v>11664</v>
      </c>
      <c r="IF10">
        <v>11664</v>
      </c>
      <c r="IG10">
        <v>11664</v>
      </c>
      <c r="IH10">
        <v>11648</v>
      </c>
      <c r="II10">
        <v>11594</v>
      </c>
      <c r="IJ10">
        <v>11560</v>
      </c>
      <c r="IK10">
        <v>11560</v>
      </c>
      <c r="IL10">
        <v>11532</v>
      </c>
      <c r="IM10">
        <v>11532</v>
      </c>
      <c r="IN10">
        <v>11532</v>
      </c>
      <c r="IO10">
        <v>11178</v>
      </c>
      <c r="IP10">
        <v>11052</v>
      </c>
      <c r="IQ10">
        <v>11052</v>
      </c>
      <c r="IR10">
        <v>11052</v>
      </c>
      <c r="IS10">
        <v>11046</v>
      </c>
      <c r="IT10">
        <v>11046</v>
      </c>
      <c r="IU10">
        <v>11046</v>
      </c>
      <c r="IV10">
        <v>11028</v>
      </c>
      <c r="IW10">
        <v>10916</v>
      </c>
      <c r="IX10">
        <v>10735</v>
      </c>
      <c r="IY10">
        <v>10720</v>
      </c>
      <c r="IZ10">
        <v>10682</v>
      </c>
      <c r="JA10">
        <v>10682</v>
      </c>
      <c r="JB10">
        <v>10461</v>
      </c>
      <c r="JC10">
        <v>10445</v>
      </c>
      <c r="JD10">
        <v>10396</v>
      </c>
      <c r="JE10">
        <v>10387</v>
      </c>
      <c r="JF10">
        <v>10387</v>
      </c>
      <c r="JG10">
        <v>10385</v>
      </c>
      <c r="JH10">
        <v>10384</v>
      </c>
      <c r="JI10">
        <v>10384</v>
      </c>
      <c r="JJ10">
        <v>10292</v>
      </c>
      <c r="JK10">
        <v>10292</v>
      </c>
      <c r="JL10">
        <v>10292</v>
      </c>
      <c r="JM10">
        <v>10292</v>
      </c>
      <c r="JN10">
        <v>10187</v>
      </c>
      <c r="JO10">
        <v>10187</v>
      </c>
      <c r="JP10">
        <v>10187</v>
      </c>
      <c r="JQ10">
        <v>10187</v>
      </c>
      <c r="JR10">
        <v>10187</v>
      </c>
      <c r="JS10">
        <v>10187</v>
      </c>
      <c r="JT10">
        <v>10102</v>
      </c>
      <c r="JU10">
        <v>9982</v>
      </c>
      <c r="JV10">
        <v>9942</v>
      </c>
      <c r="JW10">
        <v>9942</v>
      </c>
      <c r="JX10">
        <v>9936</v>
      </c>
      <c r="JY10">
        <v>9899</v>
      </c>
      <c r="JZ10">
        <v>9872</v>
      </c>
      <c r="KA10">
        <v>9848</v>
      </c>
      <c r="KB10">
        <v>9848</v>
      </c>
      <c r="KC10">
        <v>9848</v>
      </c>
      <c r="KD10">
        <v>9775</v>
      </c>
      <c r="KE10">
        <v>9775</v>
      </c>
      <c r="KF10">
        <v>9775</v>
      </c>
      <c r="KG10">
        <v>9765</v>
      </c>
      <c r="KH10">
        <v>9765</v>
      </c>
      <c r="KI10">
        <v>9718</v>
      </c>
      <c r="KJ10">
        <v>9709</v>
      </c>
      <c r="KK10">
        <v>9647</v>
      </c>
      <c r="KL10">
        <v>9647</v>
      </c>
      <c r="KM10">
        <v>9647</v>
      </c>
      <c r="KN10">
        <v>9647</v>
      </c>
      <c r="KO10">
        <v>9621</v>
      </c>
      <c r="KP10">
        <v>9621</v>
      </c>
      <c r="KQ10">
        <v>9621</v>
      </c>
      <c r="KR10">
        <v>9621</v>
      </c>
      <c r="KS10">
        <v>9587</v>
      </c>
      <c r="KT10">
        <v>9569</v>
      </c>
      <c r="KU10">
        <v>9569</v>
      </c>
      <c r="KV10">
        <v>9569</v>
      </c>
      <c r="KW10">
        <v>9564</v>
      </c>
      <c r="KX10">
        <v>9564</v>
      </c>
      <c r="KY10">
        <v>9530</v>
      </c>
      <c r="KZ10">
        <v>9520</v>
      </c>
      <c r="LA10">
        <v>9520</v>
      </c>
      <c r="LB10">
        <v>9520</v>
      </c>
      <c r="LC10">
        <v>9427</v>
      </c>
      <c r="LD10">
        <v>9427</v>
      </c>
      <c r="LE10">
        <v>9427</v>
      </c>
      <c r="LF10">
        <v>9427</v>
      </c>
      <c r="LG10">
        <v>9427</v>
      </c>
      <c r="LH10">
        <v>9327</v>
      </c>
      <c r="LI10">
        <v>9327</v>
      </c>
      <c r="LJ10">
        <v>9327</v>
      </c>
      <c r="LK10">
        <v>9298</v>
      </c>
      <c r="LL10">
        <v>9188</v>
      </c>
      <c r="LM10">
        <v>9188</v>
      </c>
      <c r="LN10">
        <v>9174</v>
      </c>
      <c r="LO10">
        <v>9174</v>
      </c>
      <c r="LP10">
        <v>9174</v>
      </c>
      <c r="LQ10">
        <v>9174</v>
      </c>
      <c r="LR10">
        <v>9173</v>
      </c>
      <c r="LS10">
        <v>9173</v>
      </c>
      <c r="LT10">
        <v>9173</v>
      </c>
      <c r="LU10">
        <v>9070</v>
      </c>
      <c r="LV10">
        <v>9066</v>
      </c>
      <c r="LW10">
        <v>9066</v>
      </c>
      <c r="LX10">
        <v>9028</v>
      </c>
      <c r="LY10">
        <v>9022</v>
      </c>
      <c r="LZ10">
        <v>8917</v>
      </c>
      <c r="MA10">
        <v>8911</v>
      </c>
      <c r="MB10">
        <v>8911</v>
      </c>
      <c r="MC10">
        <v>8880</v>
      </c>
      <c r="MD10">
        <v>8880</v>
      </c>
      <c r="ME10">
        <v>8782</v>
      </c>
      <c r="MF10">
        <v>8680</v>
      </c>
      <c r="MG10">
        <v>8680</v>
      </c>
      <c r="MH10">
        <v>8680</v>
      </c>
      <c r="MI10">
        <v>8668</v>
      </c>
      <c r="MJ10">
        <v>8668</v>
      </c>
      <c r="MK10">
        <v>8667</v>
      </c>
      <c r="ML10">
        <v>8519</v>
      </c>
      <c r="MM10">
        <v>8498</v>
      </c>
      <c r="MN10">
        <v>8498</v>
      </c>
      <c r="MO10">
        <v>8498</v>
      </c>
      <c r="MP10">
        <v>8498</v>
      </c>
      <c r="MQ10">
        <v>8430</v>
      </c>
      <c r="MR10">
        <v>8430</v>
      </c>
      <c r="MS10">
        <v>8430</v>
      </c>
      <c r="MT10">
        <v>8347</v>
      </c>
      <c r="MU10">
        <v>8347</v>
      </c>
      <c r="MV10">
        <v>8280</v>
      </c>
      <c r="MW10">
        <v>8218</v>
      </c>
      <c r="MX10">
        <v>8009</v>
      </c>
      <c r="MY10">
        <v>8009</v>
      </c>
      <c r="MZ10">
        <v>8009</v>
      </c>
      <c r="NA10">
        <v>7979</v>
      </c>
      <c r="NB10">
        <v>7968</v>
      </c>
      <c r="NC10">
        <v>7968</v>
      </c>
      <c r="ND10">
        <v>7880</v>
      </c>
      <c r="NE10">
        <v>7880</v>
      </c>
      <c r="NF10">
        <v>7861</v>
      </c>
      <c r="NG10">
        <v>7742</v>
      </c>
      <c r="NH10">
        <v>7729</v>
      </c>
      <c r="NI10">
        <v>7729</v>
      </c>
      <c r="NJ10">
        <v>7725</v>
      </c>
      <c r="NK10">
        <v>7587</v>
      </c>
      <c r="NL10">
        <v>7566</v>
      </c>
      <c r="NM10">
        <v>7566</v>
      </c>
      <c r="NN10">
        <v>7561</v>
      </c>
      <c r="NO10">
        <v>7561</v>
      </c>
      <c r="NP10">
        <v>7541</v>
      </c>
      <c r="NQ10">
        <v>7541</v>
      </c>
      <c r="NR10">
        <v>7518</v>
      </c>
      <c r="NS10">
        <v>7518</v>
      </c>
      <c r="NT10">
        <v>7517</v>
      </c>
      <c r="NU10">
        <v>7517</v>
      </c>
      <c r="NV10">
        <v>7294</v>
      </c>
      <c r="NW10">
        <v>7294</v>
      </c>
      <c r="NX10">
        <v>7285</v>
      </c>
      <c r="NY10">
        <v>7217</v>
      </c>
      <c r="NZ10">
        <v>7217</v>
      </c>
      <c r="OA10">
        <v>7212</v>
      </c>
      <c r="OB10">
        <v>7212</v>
      </c>
      <c r="OC10">
        <v>7154</v>
      </c>
      <c r="OD10">
        <v>7154</v>
      </c>
      <c r="OE10">
        <v>7028</v>
      </c>
      <c r="OF10">
        <v>6998</v>
      </c>
      <c r="OG10">
        <v>6998</v>
      </c>
      <c r="OH10">
        <v>6998</v>
      </c>
      <c r="OI10">
        <v>6970</v>
      </c>
      <c r="OJ10">
        <v>6970</v>
      </c>
      <c r="OK10">
        <v>6970</v>
      </c>
      <c r="OL10">
        <v>6741</v>
      </c>
      <c r="OM10">
        <v>6697</v>
      </c>
      <c r="ON10">
        <v>6697</v>
      </c>
      <c r="OO10">
        <v>6684</v>
      </c>
      <c r="OP10">
        <v>6620</v>
      </c>
      <c r="OQ10">
        <v>6620</v>
      </c>
      <c r="OR10">
        <v>6616</v>
      </c>
      <c r="OS10">
        <v>6616</v>
      </c>
      <c r="OT10">
        <v>6616</v>
      </c>
      <c r="OU10">
        <v>6616</v>
      </c>
      <c r="OV10">
        <v>6587</v>
      </c>
      <c r="OW10">
        <v>6587</v>
      </c>
      <c r="OX10">
        <v>6587</v>
      </c>
      <c r="OY10">
        <v>6558</v>
      </c>
      <c r="OZ10">
        <v>6558</v>
      </c>
      <c r="PA10">
        <v>6544</v>
      </c>
      <c r="PB10">
        <v>6539</v>
      </c>
      <c r="PC10">
        <v>6539</v>
      </c>
      <c r="PD10">
        <v>6419</v>
      </c>
      <c r="PE10">
        <v>6419</v>
      </c>
      <c r="PF10">
        <v>6345</v>
      </c>
      <c r="PG10">
        <v>6345</v>
      </c>
      <c r="PH10">
        <v>6345</v>
      </c>
      <c r="PI10">
        <v>6319</v>
      </c>
      <c r="PJ10">
        <v>6317</v>
      </c>
      <c r="PK10">
        <v>6310</v>
      </c>
      <c r="PL10">
        <v>6310</v>
      </c>
      <c r="PM10">
        <v>6310</v>
      </c>
      <c r="PN10">
        <v>6281</v>
      </c>
      <c r="PO10">
        <v>6281</v>
      </c>
      <c r="PP10">
        <v>6281</v>
      </c>
      <c r="PQ10">
        <v>6274</v>
      </c>
      <c r="PR10">
        <v>6255</v>
      </c>
      <c r="PS10">
        <v>6069</v>
      </c>
      <c r="PT10">
        <v>6067</v>
      </c>
      <c r="PU10">
        <v>6067</v>
      </c>
      <c r="PV10">
        <v>6067</v>
      </c>
      <c r="PW10">
        <v>6046</v>
      </c>
      <c r="PX10">
        <v>6046</v>
      </c>
      <c r="PY10">
        <v>6038</v>
      </c>
      <c r="PZ10">
        <v>5933</v>
      </c>
      <c r="QA10">
        <v>5933</v>
      </c>
      <c r="QB10">
        <v>5933</v>
      </c>
      <c r="QC10">
        <v>5933</v>
      </c>
      <c r="QD10">
        <v>5920</v>
      </c>
      <c r="QE10">
        <v>5920</v>
      </c>
      <c r="QF10">
        <v>5920</v>
      </c>
      <c r="QG10">
        <v>5920</v>
      </c>
      <c r="QH10">
        <v>5914</v>
      </c>
      <c r="QI10">
        <v>5914</v>
      </c>
      <c r="QJ10">
        <v>5870</v>
      </c>
      <c r="QK10">
        <v>5870</v>
      </c>
      <c r="QL10">
        <v>5832</v>
      </c>
      <c r="QM10">
        <v>5708</v>
      </c>
      <c r="QN10">
        <v>5708</v>
      </c>
      <c r="QO10">
        <v>5667</v>
      </c>
      <c r="QP10">
        <v>5645</v>
      </c>
      <c r="QQ10">
        <v>5645</v>
      </c>
      <c r="QR10">
        <v>5639</v>
      </c>
      <c r="QS10">
        <v>5594</v>
      </c>
      <c r="QT10">
        <v>5534</v>
      </c>
      <c r="QU10">
        <v>5508</v>
      </c>
      <c r="QV10">
        <v>5508</v>
      </c>
      <c r="QW10">
        <v>5508</v>
      </c>
      <c r="QX10">
        <v>5508</v>
      </c>
      <c r="QY10">
        <v>5508</v>
      </c>
      <c r="QZ10">
        <v>5508</v>
      </c>
      <c r="RA10">
        <v>5508</v>
      </c>
      <c r="RB10">
        <v>5454</v>
      </c>
      <c r="RC10">
        <v>5416</v>
      </c>
      <c r="RD10">
        <v>5406</v>
      </c>
      <c r="RE10">
        <v>5393</v>
      </c>
      <c r="RF10">
        <v>5372</v>
      </c>
      <c r="RG10">
        <v>5372</v>
      </c>
      <c r="RH10">
        <v>5372</v>
      </c>
      <c r="RI10">
        <v>5360</v>
      </c>
      <c r="RJ10">
        <v>5360</v>
      </c>
      <c r="RK10">
        <v>5330</v>
      </c>
      <c r="RL10">
        <v>5270</v>
      </c>
      <c r="RM10">
        <v>5260</v>
      </c>
      <c r="RN10">
        <v>5259</v>
      </c>
      <c r="RO10">
        <v>5259</v>
      </c>
      <c r="RP10">
        <v>5226</v>
      </c>
      <c r="RQ10">
        <v>5225</v>
      </c>
      <c r="RR10">
        <v>5225</v>
      </c>
      <c r="RS10">
        <v>5214</v>
      </c>
      <c r="RT10">
        <v>5210</v>
      </c>
      <c r="RU10">
        <v>5208</v>
      </c>
      <c r="RV10">
        <v>5208</v>
      </c>
      <c r="RW10">
        <v>5208</v>
      </c>
      <c r="RX10">
        <v>5176</v>
      </c>
      <c r="RY10">
        <v>5169</v>
      </c>
      <c r="RZ10">
        <v>5169</v>
      </c>
      <c r="SA10">
        <v>5169</v>
      </c>
      <c r="SB10">
        <v>5169</v>
      </c>
      <c r="SC10">
        <v>5133</v>
      </c>
      <c r="SD10">
        <v>5133</v>
      </c>
      <c r="SE10">
        <v>5133</v>
      </c>
      <c r="SF10">
        <v>5118</v>
      </c>
      <c r="SG10">
        <v>5104</v>
      </c>
      <c r="SH10">
        <v>5104</v>
      </c>
      <c r="SI10">
        <v>5099</v>
      </c>
      <c r="SJ10">
        <v>5086</v>
      </c>
      <c r="SK10">
        <v>5076</v>
      </c>
      <c r="SL10">
        <v>5076</v>
      </c>
      <c r="SM10">
        <v>5068</v>
      </c>
      <c r="SN10">
        <v>5065</v>
      </c>
      <c r="SO10">
        <v>5065</v>
      </c>
      <c r="SP10">
        <v>5065</v>
      </c>
      <c r="SQ10">
        <v>5065</v>
      </c>
      <c r="SR10">
        <v>5065</v>
      </c>
      <c r="SS10">
        <v>5058</v>
      </c>
      <c r="ST10">
        <v>5025</v>
      </c>
      <c r="SU10">
        <v>5014</v>
      </c>
      <c r="SV10">
        <v>5014</v>
      </c>
      <c r="SW10">
        <v>4989</v>
      </c>
      <c r="SX10">
        <v>4976</v>
      </c>
      <c r="SY10">
        <v>4976</v>
      </c>
      <c r="SZ10">
        <v>4970</v>
      </c>
      <c r="TA10">
        <v>4966</v>
      </c>
      <c r="TB10">
        <v>4965</v>
      </c>
      <c r="TC10">
        <v>4965</v>
      </c>
      <c r="TD10">
        <v>4962</v>
      </c>
      <c r="TE10">
        <v>4959</v>
      </c>
      <c r="TF10">
        <v>4959</v>
      </c>
      <c r="TG10">
        <v>4947</v>
      </c>
      <c r="TH10">
        <v>4936</v>
      </c>
      <c r="TI10">
        <v>4929</v>
      </c>
      <c r="TJ10">
        <v>4929</v>
      </c>
      <c r="TK10">
        <v>4929</v>
      </c>
      <c r="TL10">
        <v>4921</v>
      </c>
      <c r="TM10">
        <v>4921</v>
      </c>
      <c r="TN10">
        <v>4921</v>
      </c>
      <c r="TO10">
        <v>4919</v>
      </c>
      <c r="TP10">
        <v>4919</v>
      </c>
      <c r="TQ10">
        <v>4919</v>
      </c>
      <c r="TR10">
        <v>4917</v>
      </c>
      <c r="TS10">
        <v>4915</v>
      </c>
      <c r="TT10">
        <v>4910</v>
      </c>
      <c r="TU10">
        <v>4904</v>
      </c>
      <c r="TV10">
        <v>4892</v>
      </c>
      <c r="TW10">
        <v>4891</v>
      </c>
      <c r="TX10">
        <v>4881</v>
      </c>
      <c r="TY10">
        <v>4880</v>
      </c>
      <c r="TZ10">
        <v>4876</v>
      </c>
      <c r="UA10">
        <v>4857</v>
      </c>
      <c r="UB10">
        <v>4840</v>
      </c>
      <c r="UC10">
        <v>4840</v>
      </c>
      <c r="UD10">
        <v>4840</v>
      </c>
      <c r="UE10">
        <v>4840</v>
      </c>
      <c r="UF10">
        <v>4840</v>
      </c>
      <c r="UG10">
        <v>4822</v>
      </c>
      <c r="UH10">
        <v>4815</v>
      </c>
      <c r="UI10">
        <v>4815</v>
      </c>
      <c r="UJ10">
        <v>4807</v>
      </c>
      <c r="UK10">
        <v>4807</v>
      </c>
      <c r="UL10">
        <v>4788</v>
      </c>
      <c r="UM10">
        <v>4788</v>
      </c>
      <c r="UN10">
        <v>4786</v>
      </c>
      <c r="UO10">
        <v>4785</v>
      </c>
      <c r="UP10">
        <v>4767</v>
      </c>
      <c r="UQ10">
        <v>4767</v>
      </c>
      <c r="UR10">
        <v>4765</v>
      </c>
      <c r="US10">
        <v>4752</v>
      </c>
      <c r="UT10">
        <v>4752</v>
      </c>
      <c r="UU10">
        <v>4752</v>
      </c>
      <c r="UV10">
        <v>4743</v>
      </c>
      <c r="UW10">
        <v>4743</v>
      </c>
      <c r="UX10">
        <v>4743</v>
      </c>
      <c r="UY10">
        <v>4732</v>
      </c>
      <c r="UZ10">
        <v>4722</v>
      </c>
      <c r="VA10">
        <v>4713</v>
      </c>
      <c r="VB10">
        <v>4713</v>
      </c>
      <c r="VC10">
        <v>4713</v>
      </c>
      <c r="VD10">
        <v>4710</v>
      </c>
      <c r="VE10">
        <v>4705</v>
      </c>
      <c r="VF10">
        <v>4705</v>
      </c>
      <c r="VG10">
        <v>4705</v>
      </c>
      <c r="VH10">
        <v>4705</v>
      </c>
      <c r="VI10">
        <v>4705</v>
      </c>
      <c r="VJ10">
        <v>4705</v>
      </c>
      <c r="VK10">
        <v>4705</v>
      </c>
      <c r="VL10">
        <v>4705</v>
      </c>
      <c r="VM10">
        <v>4693</v>
      </c>
      <c r="VN10">
        <v>4693</v>
      </c>
      <c r="VO10">
        <v>4693</v>
      </c>
      <c r="VP10">
        <v>4681</v>
      </c>
      <c r="VQ10">
        <v>4681</v>
      </c>
      <c r="VR10">
        <v>4676</v>
      </c>
      <c r="VS10">
        <v>4675</v>
      </c>
      <c r="VT10">
        <v>4675</v>
      </c>
      <c r="VU10">
        <v>4674</v>
      </c>
      <c r="VV10">
        <v>4662</v>
      </c>
      <c r="VW10">
        <v>4661</v>
      </c>
      <c r="VX10">
        <v>4661</v>
      </c>
      <c r="VY10">
        <v>4656</v>
      </c>
      <c r="VZ10">
        <v>4630</v>
      </c>
      <c r="WA10">
        <v>4630</v>
      </c>
      <c r="WB10">
        <v>4630</v>
      </c>
      <c r="WC10">
        <v>4563</v>
      </c>
      <c r="WD10">
        <v>4525</v>
      </c>
      <c r="WE10">
        <v>4525</v>
      </c>
      <c r="WF10">
        <v>4520</v>
      </c>
      <c r="WG10">
        <v>4520</v>
      </c>
      <c r="WH10">
        <v>4500</v>
      </c>
      <c r="WI10">
        <v>4500</v>
      </c>
      <c r="WJ10">
        <v>4500</v>
      </c>
      <c r="WK10">
        <v>4500</v>
      </c>
      <c r="WL10">
        <v>4489</v>
      </c>
      <c r="WM10">
        <v>4489</v>
      </c>
      <c r="WN10">
        <v>4479</v>
      </c>
      <c r="WO10">
        <v>4468</v>
      </c>
      <c r="WP10">
        <v>4468</v>
      </c>
      <c r="WQ10">
        <v>4468</v>
      </c>
      <c r="WR10">
        <v>4449</v>
      </c>
      <c r="WS10">
        <v>4449</v>
      </c>
      <c r="WT10">
        <v>4421</v>
      </c>
      <c r="WU10">
        <v>4415</v>
      </c>
      <c r="WV10">
        <v>4415</v>
      </c>
      <c r="WW10">
        <v>4394</v>
      </c>
      <c r="WX10">
        <v>4394</v>
      </c>
      <c r="WY10">
        <v>4380</v>
      </c>
      <c r="WZ10">
        <v>4368</v>
      </c>
      <c r="XA10">
        <v>4352</v>
      </c>
      <c r="XB10">
        <v>4338</v>
      </c>
      <c r="XC10">
        <v>4338</v>
      </c>
      <c r="XD10">
        <v>4338</v>
      </c>
      <c r="XE10">
        <v>4337</v>
      </c>
      <c r="XF10">
        <v>4335</v>
      </c>
      <c r="XG10">
        <v>4335</v>
      </c>
      <c r="XH10">
        <v>4335</v>
      </c>
      <c r="XI10">
        <v>4325</v>
      </c>
      <c r="XJ10">
        <v>4325</v>
      </c>
      <c r="XK10">
        <v>4324</v>
      </c>
      <c r="XL10">
        <v>4320</v>
      </c>
      <c r="XM10">
        <v>4320</v>
      </c>
      <c r="XN10">
        <v>4320</v>
      </c>
      <c r="XO10">
        <v>4320</v>
      </c>
      <c r="XP10">
        <v>4259</v>
      </c>
      <c r="XQ10">
        <v>4245</v>
      </c>
      <c r="XR10">
        <v>4245</v>
      </c>
      <c r="XS10">
        <v>4245</v>
      </c>
      <c r="XT10">
        <v>4225</v>
      </c>
      <c r="XU10">
        <v>4214</v>
      </c>
      <c r="XV10">
        <v>4214</v>
      </c>
      <c r="XW10">
        <v>4214</v>
      </c>
      <c r="XX10">
        <v>4214</v>
      </c>
      <c r="XY10">
        <v>4214</v>
      </c>
      <c r="XZ10">
        <v>4200</v>
      </c>
      <c r="YA10">
        <v>4200</v>
      </c>
      <c r="YB10">
        <v>4192</v>
      </c>
      <c r="YC10">
        <v>4192</v>
      </c>
      <c r="YD10">
        <v>4190</v>
      </c>
      <c r="YE10">
        <v>4190</v>
      </c>
      <c r="YF10">
        <v>4186</v>
      </c>
      <c r="YG10">
        <v>4186</v>
      </c>
      <c r="YH10">
        <v>4186</v>
      </c>
      <c r="YI10">
        <v>4175</v>
      </c>
      <c r="YJ10">
        <v>4175</v>
      </c>
      <c r="YK10">
        <v>4175</v>
      </c>
      <c r="YL10">
        <v>4175</v>
      </c>
      <c r="YM10">
        <v>4175</v>
      </c>
      <c r="YN10">
        <v>4164</v>
      </c>
      <c r="YO10">
        <v>4164</v>
      </c>
      <c r="YP10">
        <v>4164</v>
      </c>
      <c r="YQ10">
        <v>4164</v>
      </c>
      <c r="YR10">
        <v>4164</v>
      </c>
      <c r="YS10">
        <v>4154</v>
      </c>
      <c r="YT10">
        <v>4152</v>
      </c>
      <c r="YU10">
        <v>4152</v>
      </c>
      <c r="YV10">
        <v>4142</v>
      </c>
      <c r="YW10">
        <v>4137</v>
      </c>
      <c r="YX10">
        <v>4107</v>
      </c>
      <c r="YY10">
        <v>4107</v>
      </c>
      <c r="YZ10">
        <v>4107</v>
      </c>
      <c r="ZA10">
        <v>4095</v>
      </c>
      <c r="ZB10">
        <v>4090</v>
      </c>
      <c r="ZC10">
        <v>4090</v>
      </c>
      <c r="ZD10">
        <v>4090</v>
      </c>
      <c r="ZE10">
        <v>4081</v>
      </c>
      <c r="ZF10">
        <v>4077</v>
      </c>
      <c r="ZG10">
        <v>4077</v>
      </c>
      <c r="ZH10">
        <v>4070</v>
      </c>
      <c r="ZI10">
        <v>4070</v>
      </c>
      <c r="ZJ10">
        <v>4053</v>
      </c>
      <c r="ZK10">
        <v>4053</v>
      </c>
      <c r="ZL10">
        <v>4048</v>
      </c>
      <c r="ZM10">
        <v>4039</v>
      </c>
      <c r="ZN10">
        <v>4039</v>
      </c>
      <c r="ZO10">
        <v>4022</v>
      </c>
      <c r="ZP10">
        <v>4018</v>
      </c>
      <c r="ZQ10">
        <v>4011</v>
      </c>
      <c r="ZR10">
        <v>4011</v>
      </c>
      <c r="ZS10">
        <v>3983</v>
      </c>
      <c r="ZT10">
        <v>3983</v>
      </c>
      <c r="ZU10">
        <v>3982</v>
      </c>
      <c r="ZV10">
        <v>3956</v>
      </c>
      <c r="ZW10">
        <v>3956</v>
      </c>
      <c r="ZX10">
        <v>3955</v>
      </c>
      <c r="ZY10">
        <v>3930</v>
      </c>
      <c r="ZZ10">
        <v>3930</v>
      </c>
      <c r="AAA10">
        <v>3930</v>
      </c>
      <c r="AAB10">
        <v>3925</v>
      </c>
      <c r="AAC10">
        <v>3925</v>
      </c>
      <c r="AAD10">
        <v>3925</v>
      </c>
      <c r="AAE10">
        <v>3923</v>
      </c>
      <c r="AAF10">
        <v>3905</v>
      </c>
      <c r="AAG10">
        <v>3902</v>
      </c>
      <c r="AAH10">
        <v>3902</v>
      </c>
      <c r="AAI10">
        <v>3885</v>
      </c>
      <c r="AAJ10">
        <v>3885</v>
      </c>
      <c r="AAK10">
        <v>3884</v>
      </c>
      <c r="AAL10">
        <v>3884</v>
      </c>
      <c r="AAM10">
        <v>3884</v>
      </c>
      <c r="AAN10">
        <v>3884</v>
      </c>
      <c r="AAO10">
        <v>3868</v>
      </c>
      <c r="AAP10">
        <v>3868</v>
      </c>
      <c r="AAQ10">
        <v>3868</v>
      </c>
      <c r="AAR10">
        <v>3860</v>
      </c>
      <c r="AAS10">
        <v>3853</v>
      </c>
      <c r="AAT10">
        <v>3840</v>
      </c>
      <c r="AAU10">
        <v>3840</v>
      </c>
      <c r="AAV10">
        <v>3840</v>
      </c>
      <c r="AAW10">
        <v>3837</v>
      </c>
      <c r="AAX10">
        <v>3835</v>
      </c>
      <c r="AAY10">
        <v>3833</v>
      </c>
      <c r="AAZ10">
        <v>3826</v>
      </c>
      <c r="ABA10">
        <v>3826</v>
      </c>
      <c r="ABB10">
        <v>3826</v>
      </c>
      <c r="ABC10">
        <v>3820</v>
      </c>
      <c r="ABD10">
        <v>3820</v>
      </c>
      <c r="ABE10">
        <v>3820</v>
      </c>
      <c r="ABF10">
        <v>3820</v>
      </c>
      <c r="ABG10">
        <v>3815</v>
      </c>
      <c r="ABH10">
        <v>3814</v>
      </c>
      <c r="ABI10">
        <v>3814</v>
      </c>
      <c r="ABJ10">
        <v>3806</v>
      </c>
      <c r="ABK10">
        <v>3806</v>
      </c>
      <c r="ABL10">
        <v>3806</v>
      </c>
      <c r="ABM10">
        <v>3795</v>
      </c>
      <c r="ABN10">
        <v>3795</v>
      </c>
      <c r="ABO10">
        <v>3792</v>
      </c>
      <c r="ABP10">
        <v>3783</v>
      </c>
      <c r="ABQ10">
        <v>3779</v>
      </c>
      <c r="ABR10">
        <v>3779</v>
      </c>
      <c r="ABS10">
        <v>3776</v>
      </c>
      <c r="ABT10">
        <v>3776</v>
      </c>
      <c r="ABU10">
        <v>3774</v>
      </c>
      <c r="ABV10">
        <v>3774</v>
      </c>
      <c r="ABW10">
        <v>3768</v>
      </c>
      <c r="ABX10">
        <v>3768</v>
      </c>
      <c r="ABY10">
        <v>3766</v>
      </c>
      <c r="ABZ10">
        <v>3766</v>
      </c>
      <c r="ACA10">
        <v>3750</v>
      </c>
      <c r="ACB10">
        <v>3750</v>
      </c>
      <c r="ACC10">
        <v>3743</v>
      </c>
      <c r="ACD10">
        <v>3743</v>
      </c>
      <c r="ACE10">
        <v>3734</v>
      </c>
      <c r="ACF10">
        <v>3734</v>
      </c>
      <c r="ACG10">
        <v>3720</v>
      </c>
      <c r="ACH10">
        <v>3718</v>
      </c>
      <c r="ACI10">
        <v>3711</v>
      </c>
      <c r="ACJ10">
        <v>3711</v>
      </c>
      <c r="ACK10">
        <v>3703</v>
      </c>
      <c r="ACL10">
        <v>3700</v>
      </c>
      <c r="ACM10">
        <v>3700</v>
      </c>
      <c r="ACN10">
        <v>3676</v>
      </c>
      <c r="ACO10">
        <v>3664</v>
      </c>
      <c r="ACP10">
        <v>3654</v>
      </c>
      <c r="ACQ10">
        <v>3619</v>
      </c>
      <c r="ACR10">
        <v>3619</v>
      </c>
      <c r="ACS10">
        <v>3619</v>
      </c>
      <c r="ACT10">
        <v>3595</v>
      </c>
      <c r="ACU10">
        <v>3595</v>
      </c>
      <c r="ACV10">
        <v>3595</v>
      </c>
      <c r="ACW10">
        <v>3593</v>
      </c>
      <c r="ACX10">
        <v>3590</v>
      </c>
      <c r="ACY10">
        <v>3584</v>
      </c>
      <c r="ACZ10">
        <v>3582</v>
      </c>
      <c r="ADA10">
        <v>3582</v>
      </c>
      <c r="ADB10">
        <v>3582</v>
      </c>
      <c r="ADC10">
        <v>3582</v>
      </c>
      <c r="ADD10">
        <v>3556</v>
      </c>
      <c r="ADE10">
        <v>3556</v>
      </c>
      <c r="ADF10">
        <v>3544</v>
      </c>
      <c r="ADG10">
        <v>3544</v>
      </c>
      <c r="ADH10">
        <v>3539</v>
      </c>
      <c r="ADI10">
        <v>3539</v>
      </c>
      <c r="ADJ10">
        <v>3539</v>
      </c>
      <c r="ADK10">
        <v>3536</v>
      </c>
      <c r="ADL10">
        <v>3536</v>
      </c>
      <c r="ADM10">
        <v>3536</v>
      </c>
      <c r="ADN10">
        <v>3536</v>
      </c>
      <c r="ADO10">
        <v>3534</v>
      </c>
      <c r="ADP10">
        <v>3525</v>
      </c>
      <c r="ADQ10">
        <v>3525</v>
      </c>
      <c r="ADR10">
        <v>3525</v>
      </c>
      <c r="ADS10">
        <v>3525</v>
      </c>
      <c r="ADT10">
        <v>3525</v>
      </c>
      <c r="ADU10">
        <v>3520</v>
      </c>
      <c r="ADV10">
        <v>3520</v>
      </c>
      <c r="ADW10">
        <v>3519</v>
      </c>
      <c r="ADX10">
        <v>3519</v>
      </c>
      <c r="ADY10">
        <v>3519</v>
      </c>
      <c r="ADZ10">
        <v>3505</v>
      </c>
      <c r="AEA10">
        <v>3505</v>
      </c>
      <c r="AEB10">
        <v>3501</v>
      </c>
      <c r="AEC10">
        <v>3470</v>
      </c>
      <c r="AED10">
        <v>3470</v>
      </c>
      <c r="AEE10">
        <v>3470</v>
      </c>
      <c r="AEF10">
        <v>3442</v>
      </c>
      <c r="AEG10">
        <v>3437</v>
      </c>
      <c r="AEH10">
        <v>3436</v>
      </c>
      <c r="AEI10">
        <v>3429</v>
      </c>
      <c r="AEJ10">
        <v>3408</v>
      </c>
      <c r="AEK10">
        <v>3408</v>
      </c>
      <c r="AEL10">
        <v>3386</v>
      </c>
      <c r="AEM10">
        <v>3386</v>
      </c>
      <c r="AEN10">
        <v>3384</v>
      </c>
      <c r="AEO10">
        <v>3382</v>
      </c>
      <c r="AEP10">
        <v>3374</v>
      </c>
      <c r="AEQ10">
        <v>3374</v>
      </c>
      <c r="AER10">
        <v>3374</v>
      </c>
      <c r="AES10">
        <v>3374</v>
      </c>
      <c r="AET10">
        <v>3361</v>
      </c>
      <c r="AEU10">
        <v>3361</v>
      </c>
      <c r="AEV10">
        <v>3358</v>
      </c>
      <c r="AEW10">
        <v>3358</v>
      </c>
      <c r="AEX10">
        <v>3358</v>
      </c>
      <c r="AEY10">
        <v>3358</v>
      </c>
      <c r="AEZ10">
        <v>3358</v>
      </c>
      <c r="AFA10">
        <v>3356</v>
      </c>
      <c r="AFB10">
        <v>3356</v>
      </c>
      <c r="AFC10">
        <v>3356</v>
      </c>
      <c r="AFD10">
        <v>3356</v>
      </c>
      <c r="AFE10">
        <v>3356</v>
      </c>
      <c r="AFF10">
        <v>3346</v>
      </c>
      <c r="AFG10">
        <v>3346</v>
      </c>
      <c r="AFH10">
        <v>3346</v>
      </c>
      <c r="AFI10">
        <v>3346</v>
      </c>
      <c r="AFJ10">
        <v>3346</v>
      </c>
      <c r="AFK10">
        <v>3346</v>
      </c>
      <c r="AFL10">
        <v>3337</v>
      </c>
      <c r="AFM10">
        <v>3334</v>
      </c>
      <c r="AFN10">
        <v>3324</v>
      </c>
      <c r="AFO10">
        <v>3318</v>
      </c>
      <c r="AFP10">
        <v>3318</v>
      </c>
      <c r="AFQ10">
        <v>3309</v>
      </c>
      <c r="AFR10">
        <v>3296</v>
      </c>
      <c r="AFS10">
        <v>3296</v>
      </c>
      <c r="AFT10">
        <v>3293</v>
      </c>
      <c r="AFU10">
        <v>3293</v>
      </c>
      <c r="AFV10">
        <v>3293</v>
      </c>
      <c r="AFW10">
        <v>3293</v>
      </c>
      <c r="AFX10">
        <v>3293</v>
      </c>
      <c r="AFY10">
        <v>3293</v>
      </c>
      <c r="AFZ10">
        <v>3293</v>
      </c>
      <c r="AGA10">
        <v>3287</v>
      </c>
      <c r="AGB10">
        <v>3287</v>
      </c>
      <c r="AGC10">
        <v>3287</v>
      </c>
      <c r="AGD10">
        <v>3280</v>
      </c>
      <c r="AGE10">
        <v>3278</v>
      </c>
      <c r="AGF10">
        <v>3276</v>
      </c>
      <c r="AGG10">
        <v>3276</v>
      </c>
      <c r="AGH10">
        <v>3276</v>
      </c>
      <c r="AGI10">
        <v>3276</v>
      </c>
      <c r="AGJ10">
        <v>3259</v>
      </c>
      <c r="AGK10">
        <v>3259</v>
      </c>
      <c r="AGL10">
        <v>3258</v>
      </c>
      <c r="AGM10">
        <v>3256</v>
      </c>
      <c r="AGN10">
        <v>3247</v>
      </c>
      <c r="AGO10">
        <v>3247</v>
      </c>
      <c r="AGP10">
        <v>3247</v>
      </c>
      <c r="AGQ10">
        <v>3247</v>
      </c>
      <c r="AGR10">
        <v>3247</v>
      </c>
      <c r="AGS10">
        <v>3247</v>
      </c>
      <c r="AGT10">
        <v>3221</v>
      </c>
      <c r="AGU10">
        <v>3218</v>
      </c>
      <c r="AGV10">
        <v>3218</v>
      </c>
      <c r="AGW10">
        <v>3198</v>
      </c>
      <c r="AGX10">
        <v>3198</v>
      </c>
      <c r="AGY10">
        <v>3198</v>
      </c>
      <c r="AGZ10">
        <v>3197</v>
      </c>
      <c r="AHA10">
        <v>3189</v>
      </c>
      <c r="AHB10">
        <v>3189</v>
      </c>
      <c r="AHC10">
        <v>3189</v>
      </c>
      <c r="AHD10">
        <v>3184</v>
      </c>
      <c r="AHE10">
        <v>3184</v>
      </c>
      <c r="AHF10">
        <v>3167</v>
      </c>
      <c r="AHG10">
        <v>3162</v>
      </c>
      <c r="AHH10">
        <v>3162</v>
      </c>
      <c r="AHI10">
        <v>3152</v>
      </c>
      <c r="AHJ10">
        <v>3152</v>
      </c>
      <c r="AHK10">
        <v>3127</v>
      </c>
      <c r="AHL10">
        <v>3124</v>
      </c>
      <c r="AHM10">
        <v>3124</v>
      </c>
      <c r="AHN10">
        <v>3124</v>
      </c>
      <c r="AHO10">
        <v>3124</v>
      </c>
      <c r="AHP10">
        <v>3124</v>
      </c>
      <c r="AHQ10">
        <v>3124</v>
      </c>
      <c r="AHR10">
        <v>3093</v>
      </c>
      <c r="AHS10">
        <v>3093</v>
      </c>
      <c r="AHT10">
        <v>3093</v>
      </c>
      <c r="AHU10">
        <v>3093</v>
      </c>
      <c r="AHV10">
        <v>3093</v>
      </c>
      <c r="AHW10">
        <v>3081</v>
      </c>
      <c r="AHX10">
        <v>3081</v>
      </c>
      <c r="AHY10">
        <v>3081</v>
      </c>
      <c r="AHZ10">
        <v>3081</v>
      </c>
      <c r="AIA10">
        <v>3079</v>
      </c>
      <c r="AIB10">
        <v>3078</v>
      </c>
      <c r="AIC10">
        <v>3078</v>
      </c>
      <c r="AID10">
        <v>3067</v>
      </c>
      <c r="AIE10">
        <v>3067</v>
      </c>
      <c r="AIF10">
        <v>3044</v>
      </c>
      <c r="AIG10">
        <v>3017</v>
      </c>
      <c r="AIH10">
        <v>3010</v>
      </c>
      <c r="AII10">
        <v>3010</v>
      </c>
      <c r="AIJ10">
        <v>3005</v>
      </c>
      <c r="AIK10">
        <v>3000</v>
      </c>
      <c r="AIL10">
        <v>2997</v>
      </c>
      <c r="AIM10">
        <v>2997</v>
      </c>
      <c r="AIN10">
        <v>2995</v>
      </c>
      <c r="AIO10">
        <v>2994</v>
      </c>
      <c r="AIP10">
        <v>2994</v>
      </c>
      <c r="AIQ10">
        <v>2994</v>
      </c>
      <c r="AIR10">
        <v>2981</v>
      </c>
      <c r="AIS10">
        <v>2981</v>
      </c>
      <c r="AIT10">
        <v>2963</v>
      </c>
      <c r="AIU10">
        <v>2960</v>
      </c>
      <c r="AIV10">
        <v>2960</v>
      </c>
      <c r="AIW10">
        <v>2958</v>
      </c>
      <c r="AIX10">
        <v>2952</v>
      </c>
      <c r="AIY10">
        <v>2945</v>
      </c>
      <c r="AIZ10">
        <v>2932</v>
      </c>
      <c r="AJA10">
        <v>2927</v>
      </c>
      <c r="AJB10">
        <v>2927</v>
      </c>
      <c r="AJC10">
        <v>2927</v>
      </c>
      <c r="AJD10">
        <v>2927</v>
      </c>
      <c r="AJE10">
        <v>2924</v>
      </c>
      <c r="AJF10">
        <v>2923</v>
      </c>
      <c r="AJG10">
        <v>2911</v>
      </c>
      <c r="AJH10">
        <v>2911</v>
      </c>
      <c r="AJI10">
        <v>2909</v>
      </c>
      <c r="AJJ10">
        <v>2909</v>
      </c>
      <c r="AJK10">
        <v>2891</v>
      </c>
      <c r="AJL10">
        <v>2866</v>
      </c>
      <c r="AJM10">
        <v>2863</v>
      </c>
      <c r="AJN10">
        <v>2860</v>
      </c>
      <c r="AJO10">
        <v>2860</v>
      </c>
      <c r="AJP10">
        <v>2851</v>
      </c>
      <c r="AJQ10">
        <v>2850</v>
      </c>
      <c r="AJR10">
        <v>2846</v>
      </c>
      <c r="AJS10">
        <v>2846</v>
      </c>
      <c r="AJT10">
        <v>2826</v>
      </c>
      <c r="AJU10">
        <v>2822</v>
      </c>
      <c r="AJV10">
        <v>2822</v>
      </c>
      <c r="AJW10">
        <v>2822</v>
      </c>
      <c r="AJX10">
        <v>2802</v>
      </c>
      <c r="AJY10">
        <v>2802</v>
      </c>
      <c r="AJZ10">
        <v>2795</v>
      </c>
      <c r="AKA10">
        <v>2790</v>
      </c>
      <c r="AKB10">
        <v>2790</v>
      </c>
      <c r="AKC10">
        <v>2790</v>
      </c>
      <c r="AKD10">
        <v>2790</v>
      </c>
      <c r="AKE10">
        <v>2788</v>
      </c>
      <c r="AKF10">
        <v>2788</v>
      </c>
      <c r="AKG10">
        <v>2786</v>
      </c>
      <c r="AKH10">
        <v>2786</v>
      </c>
      <c r="AKI10">
        <v>2786</v>
      </c>
      <c r="AKJ10">
        <v>2786</v>
      </c>
      <c r="AKK10">
        <v>2786</v>
      </c>
      <c r="AKL10">
        <v>2778</v>
      </c>
      <c r="AKM10">
        <v>2778</v>
      </c>
      <c r="AKN10">
        <v>2778</v>
      </c>
      <c r="AKO10">
        <v>2774</v>
      </c>
      <c r="AKP10">
        <v>2763</v>
      </c>
      <c r="AKQ10">
        <v>2722</v>
      </c>
      <c r="AKR10">
        <v>2722</v>
      </c>
      <c r="AKS10">
        <v>2722</v>
      </c>
      <c r="AKT10">
        <v>2722</v>
      </c>
      <c r="AKU10">
        <v>2694</v>
      </c>
      <c r="AKV10">
        <v>2694</v>
      </c>
      <c r="AKW10">
        <v>2683</v>
      </c>
      <c r="AKX10">
        <v>2678</v>
      </c>
      <c r="AKY10">
        <v>2656</v>
      </c>
      <c r="AKZ10">
        <v>2656</v>
      </c>
      <c r="ALA10">
        <v>2654</v>
      </c>
      <c r="ALB10">
        <v>2654</v>
      </c>
      <c r="ALC10">
        <v>2652</v>
      </c>
      <c r="ALD10">
        <v>2640</v>
      </c>
      <c r="ALE10">
        <v>2640</v>
      </c>
      <c r="ALF10">
        <v>2629</v>
      </c>
      <c r="ALG10">
        <v>2629</v>
      </c>
      <c r="ALH10">
        <v>2614</v>
      </c>
      <c r="ALI10">
        <v>2614</v>
      </c>
      <c r="ALJ10">
        <v>2614</v>
      </c>
      <c r="ALK10">
        <v>2576</v>
      </c>
      <c r="ALL10">
        <v>2576</v>
      </c>
      <c r="ALM10">
        <v>2576</v>
      </c>
      <c r="ALN10">
        <v>2576</v>
      </c>
      <c r="ALO10">
        <v>2575</v>
      </c>
      <c r="ALP10">
        <v>2575</v>
      </c>
      <c r="ALQ10">
        <v>2575</v>
      </c>
      <c r="ALR10">
        <v>2575</v>
      </c>
      <c r="ALS10">
        <v>2571</v>
      </c>
      <c r="ALT10">
        <v>2571</v>
      </c>
      <c r="ALU10">
        <v>2570</v>
      </c>
      <c r="ALV10">
        <v>2569</v>
      </c>
      <c r="ALW10">
        <v>2565</v>
      </c>
      <c r="ALX10">
        <v>2565</v>
      </c>
      <c r="ALY10">
        <v>2565</v>
      </c>
      <c r="ALZ10">
        <v>2565</v>
      </c>
      <c r="AMA10">
        <v>2563</v>
      </c>
      <c r="AMB10">
        <v>2563</v>
      </c>
      <c r="AMC10">
        <v>2563</v>
      </c>
      <c r="AMD10">
        <v>2563</v>
      </c>
      <c r="AME10">
        <v>2557</v>
      </c>
      <c r="AMF10">
        <v>2557</v>
      </c>
      <c r="AMG10">
        <v>2553</v>
      </c>
      <c r="AMH10">
        <v>2542</v>
      </c>
      <c r="AMI10">
        <v>2542</v>
      </c>
      <c r="AMJ10">
        <v>2541</v>
      </c>
      <c r="AMK10">
        <v>2532</v>
      </c>
      <c r="AML10">
        <v>2532</v>
      </c>
      <c r="AMM10">
        <v>2528</v>
      </c>
      <c r="AMN10">
        <v>2528</v>
      </c>
      <c r="AMO10">
        <v>2523</v>
      </c>
      <c r="AMP10">
        <v>2500</v>
      </c>
      <c r="AMQ10">
        <v>2500</v>
      </c>
      <c r="AMR10">
        <v>2500</v>
      </c>
      <c r="AMS10">
        <v>2498</v>
      </c>
      <c r="AMT10">
        <v>2490</v>
      </c>
      <c r="AMU10">
        <v>2481</v>
      </c>
      <c r="AMV10">
        <v>2479</v>
      </c>
      <c r="AMW10">
        <v>2478</v>
      </c>
      <c r="AMX10">
        <v>2468</v>
      </c>
      <c r="AMY10">
        <v>2468</v>
      </c>
      <c r="AMZ10">
        <v>2468</v>
      </c>
      <c r="ANA10">
        <v>2467</v>
      </c>
      <c r="ANB10">
        <v>2466</v>
      </c>
      <c r="ANC10">
        <v>2456</v>
      </c>
      <c r="AND10">
        <v>2456</v>
      </c>
      <c r="ANE10">
        <v>2451</v>
      </c>
      <c r="ANF10">
        <v>2451</v>
      </c>
      <c r="ANG10">
        <v>2451</v>
      </c>
      <c r="ANH10">
        <v>2435</v>
      </c>
      <c r="ANI10">
        <v>2433</v>
      </c>
      <c r="ANJ10">
        <v>2427</v>
      </c>
      <c r="ANK10">
        <v>2420</v>
      </c>
      <c r="ANL10">
        <v>2415</v>
      </c>
      <c r="ANM10">
        <v>2415</v>
      </c>
      <c r="ANN10">
        <v>2415</v>
      </c>
      <c r="ANO10">
        <v>2412</v>
      </c>
      <c r="ANP10">
        <v>2412</v>
      </c>
      <c r="ANQ10">
        <v>2405</v>
      </c>
      <c r="ANR10">
        <v>2405</v>
      </c>
      <c r="ANS10">
        <v>2405</v>
      </c>
      <c r="ANT10">
        <v>2393</v>
      </c>
      <c r="ANU10">
        <v>2393</v>
      </c>
      <c r="ANV10">
        <v>2393</v>
      </c>
      <c r="ANW10">
        <v>2393</v>
      </c>
      <c r="ANX10">
        <v>2391</v>
      </c>
      <c r="ANY10">
        <v>2391</v>
      </c>
      <c r="ANZ10">
        <v>2386</v>
      </c>
      <c r="AOA10">
        <v>2385</v>
      </c>
      <c r="AOB10">
        <v>2377</v>
      </c>
      <c r="AOC10">
        <v>2377</v>
      </c>
      <c r="AOD10">
        <v>2365</v>
      </c>
      <c r="AOE10">
        <v>2361</v>
      </c>
      <c r="AOF10">
        <v>2361</v>
      </c>
      <c r="AOG10">
        <v>2360</v>
      </c>
      <c r="AOH10">
        <v>2355</v>
      </c>
      <c r="AOI10">
        <v>2355</v>
      </c>
      <c r="AOJ10">
        <v>2347</v>
      </c>
      <c r="AOK10">
        <v>2344</v>
      </c>
      <c r="AOL10">
        <v>2344</v>
      </c>
      <c r="AOM10">
        <v>2344</v>
      </c>
      <c r="AON10">
        <v>2343</v>
      </c>
      <c r="AOO10">
        <v>2342</v>
      </c>
      <c r="AOP10">
        <v>2342</v>
      </c>
      <c r="AOQ10">
        <v>2342</v>
      </c>
      <c r="AOR10">
        <v>2342</v>
      </c>
      <c r="AOS10">
        <v>2341</v>
      </c>
      <c r="AOT10">
        <v>2341</v>
      </c>
      <c r="AOU10">
        <v>2338</v>
      </c>
      <c r="AOV10">
        <v>2335</v>
      </c>
      <c r="AOW10">
        <v>2335</v>
      </c>
      <c r="AOX10">
        <v>2324</v>
      </c>
      <c r="AOY10">
        <v>2316</v>
      </c>
      <c r="AOZ10">
        <v>2297</v>
      </c>
      <c r="APA10">
        <v>2297</v>
      </c>
      <c r="APB10">
        <v>2297</v>
      </c>
      <c r="APC10">
        <v>2287</v>
      </c>
      <c r="APD10">
        <v>2284</v>
      </c>
      <c r="APE10">
        <v>2283</v>
      </c>
      <c r="APF10">
        <v>2283</v>
      </c>
      <c r="APG10">
        <v>2283</v>
      </c>
      <c r="APH10">
        <v>2259</v>
      </c>
      <c r="API10">
        <v>2259</v>
      </c>
      <c r="APJ10">
        <v>2254</v>
      </c>
      <c r="APK10">
        <v>2254</v>
      </c>
      <c r="APL10">
        <v>2248</v>
      </c>
      <c r="APM10">
        <v>2248</v>
      </c>
      <c r="APN10">
        <v>2248</v>
      </c>
      <c r="APO10">
        <v>2241</v>
      </c>
      <c r="APP10">
        <v>2224</v>
      </c>
      <c r="APQ10">
        <v>2224</v>
      </c>
      <c r="APR10">
        <v>2224</v>
      </c>
      <c r="APS10">
        <v>2224</v>
      </c>
      <c r="APT10">
        <v>2214</v>
      </c>
      <c r="APU10">
        <v>2214</v>
      </c>
      <c r="APV10">
        <v>2214</v>
      </c>
      <c r="APW10">
        <v>2214</v>
      </c>
      <c r="APX10">
        <v>2214</v>
      </c>
      <c r="APY10">
        <v>2211</v>
      </c>
      <c r="APZ10">
        <v>2203</v>
      </c>
      <c r="AQA10">
        <v>2203</v>
      </c>
      <c r="AQB10">
        <v>2188</v>
      </c>
      <c r="AQC10">
        <v>2179</v>
      </c>
      <c r="AQD10">
        <v>2179</v>
      </c>
      <c r="AQE10">
        <v>2179</v>
      </c>
      <c r="AQF10">
        <v>2178</v>
      </c>
      <c r="AQG10">
        <v>2165</v>
      </c>
      <c r="AQH10">
        <v>2165</v>
      </c>
      <c r="AQI10">
        <v>2165</v>
      </c>
      <c r="AQJ10">
        <v>2160</v>
      </c>
      <c r="AQK10">
        <v>2158</v>
      </c>
      <c r="AQL10">
        <v>2158</v>
      </c>
      <c r="AQM10">
        <v>2155</v>
      </c>
      <c r="AQN10">
        <v>2155</v>
      </c>
      <c r="AQO10">
        <v>2153</v>
      </c>
      <c r="AQP10">
        <v>2153</v>
      </c>
      <c r="AQQ10">
        <v>2153</v>
      </c>
      <c r="AQR10">
        <v>2153</v>
      </c>
      <c r="AQS10">
        <v>2153</v>
      </c>
      <c r="AQT10">
        <v>2153</v>
      </c>
      <c r="AQU10">
        <v>2149</v>
      </c>
      <c r="AQV10">
        <v>2149</v>
      </c>
      <c r="AQW10">
        <v>2149</v>
      </c>
      <c r="AQX10">
        <v>2147</v>
      </c>
      <c r="AQY10">
        <v>2147</v>
      </c>
      <c r="AQZ10">
        <v>2147</v>
      </c>
      <c r="ARA10">
        <v>2146</v>
      </c>
      <c r="ARB10">
        <v>2145</v>
      </c>
      <c r="ARC10">
        <v>2145</v>
      </c>
      <c r="ARD10">
        <v>2143</v>
      </c>
      <c r="ARE10">
        <v>2143</v>
      </c>
      <c r="ARF10">
        <v>2143</v>
      </c>
      <c r="ARG10">
        <v>2143</v>
      </c>
      <c r="ARH10">
        <v>2143</v>
      </c>
      <c r="ARI10">
        <v>2143</v>
      </c>
      <c r="ARJ10">
        <v>2143</v>
      </c>
      <c r="ARK10">
        <v>2140</v>
      </c>
      <c r="ARL10">
        <v>2132</v>
      </c>
      <c r="ARM10">
        <v>2132</v>
      </c>
      <c r="ARN10">
        <v>2132</v>
      </c>
      <c r="ARO10">
        <v>2132</v>
      </c>
      <c r="ARP10">
        <v>2128</v>
      </c>
      <c r="ARQ10">
        <v>2128</v>
      </c>
      <c r="ARR10">
        <v>2128</v>
      </c>
      <c r="ARS10">
        <v>2116</v>
      </c>
      <c r="ART10">
        <v>2106</v>
      </c>
      <c r="ARU10">
        <v>2106</v>
      </c>
      <c r="ARV10">
        <v>2087</v>
      </c>
      <c r="ARW10">
        <v>2087</v>
      </c>
      <c r="ARX10">
        <v>2076</v>
      </c>
      <c r="ARY10">
        <v>2076</v>
      </c>
      <c r="ARZ10">
        <v>2074</v>
      </c>
      <c r="ASA10">
        <v>2074</v>
      </c>
      <c r="ASB10">
        <v>2074</v>
      </c>
      <c r="ASC10">
        <v>2056</v>
      </c>
      <c r="ASD10">
        <v>2056</v>
      </c>
      <c r="ASE10">
        <v>2050</v>
      </c>
      <c r="ASF10">
        <v>2050</v>
      </c>
      <c r="ASG10">
        <v>2040</v>
      </c>
      <c r="ASH10">
        <v>2040</v>
      </c>
      <c r="ASI10">
        <v>2040</v>
      </c>
      <c r="ASJ10">
        <v>2036</v>
      </c>
      <c r="ASK10">
        <v>2031</v>
      </c>
      <c r="ASL10">
        <v>2031</v>
      </c>
      <c r="ASM10">
        <v>2031</v>
      </c>
      <c r="ASN10">
        <v>2019</v>
      </c>
      <c r="ASO10">
        <v>2017</v>
      </c>
      <c r="ASP10">
        <v>2017</v>
      </c>
      <c r="ASQ10">
        <v>2017</v>
      </c>
      <c r="ASR10">
        <v>2017</v>
      </c>
      <c r="ASS10">
        <v>2000</v>
      </c>
      <c r="AST10">
        <v>1992</v>
      </c>
      <c r="ASU10">
        <v>1992</v>
      </c>
      <c r="ASV10">
        <v>1987</v>
      </c>
      <c r="ASW10">
        <v>1987</v>
      </c>
      <c r="ASX10">
        <v>1986</v>
      </c>
      <c r="ASY10">
        <v>1986</v>
      </c>
      <c r="ASZ10">
        <v>1986</v>
      </c>
      <c r="ATA10">
        <v>1985</v>
      </c>
      <c r="ATB10">
        <v>1985</v>
      </c>
      <c r="ATC10">
        <v>1978</v>
      </c>
      <c r="ATD10">
        <v>1975</v>
      </c>
      <c r="ATE10">
        <v>1975</v>
      </c>
      <c r="ATF10">
        <v>1975</v>
      </c>
      <c r="ATG10">
        <v>1975</v>
      </c>
      <c r="ATH10">
        <v>1975</v>
      </c>
      <c r="ATI10">
        <v>1971</v>
      </c>
      <c r="ATJ10">
        <v>1971</v>
      </c>
      <c r="ATK10">
        <v>1971</v>
      </c>
      <c r="ATL10">
        <v>1970</v>
      </c>
      <c r="ATM10">
        <v>1970</v>
      </c>
      <c r="ATN10">
        <v>1970</v>
      </c>
      <c r="ATO10">
        <v>1968</v>
      </c>
      <c r="ATP10">
        <v>1965</v>
      </c>
      <c r="ATQ10">
        <v>1965</v>
      </c>
      <c r="ATR10">
        <v>1960</v>
      </c>
      <c r="ATS10">
        <v>1958</v>
      </c>
      <c r="ATT10">
        <v>1958</v>
      </c>
      <c r="ATU10">
        <v>1958</v>
      </c>
      <c r="ATV10">
        <v>1958</v>
      </c>
      <c r="ATW10">
        <v>1957</v>
      </c>
      <c r="ATX10">
        <v>1957</v>
      </c>
      <c r="ATY10">
        <v>1957</v>
      </c>
      <c r="ATZ10">
        <v>1957</v>
      </c>
      <c r="AUA10">
        <v>1950</v>
      </c>
      <c r="AUB10">
        <v>1950</v>
      </c>
      <c r="AUC10">
        <v>1941</v>
      </c>
      <c r="AUD10">
        <v>1941</v>
      </c>
      <c r="AUE10">
        <v>1941</v>
      </c>
      <c r="AUF10">
        <v>1935</v>
      </c>
      <c r="AUG10">
        <v>1931</v>
      </c>
      <c r="AUH10">
        <v>1926</v>
      </c>
      <c r="AUI10">
        <v>1926</v>
      </c>
      <c r="AUJ10">
        <v>1926</v>
      </c>
      <c r="AUK10">
        <v>1926</v>
      </c>
      <c r="AUL10">
        <v>1926</v>
      </c>
      <c r="AUM10">
        <v>1926</v>
      </c>
      <c r="AUN10">
        <v>1926</v>
      </c>
      <c r="AUO10">
        <v>1923</v>
      </c>
      <c r="AUP10">
        <v>1923</v>
      </c>
      <c r="AUQ10">
        <v>1923</v>
      </c>
      <c r="AUR10">
        <v>1923</v>
      </c>
      <c r="AUS10">
        <v>1923</v>
      </c>
      <c r="AUT10">
        <v>1923</v>
      </c>
      <c r="AUU10">
        <v>1923</v>
      </c>
      <c r="AUV10">
        <v>1923</v>
      </c>
      <c r="AUW10">
        <v>1923</v>
      </c>
      <c r="AUX10">
        <v>1915</v>
      </c>
      <c r="AUY10">
        <v>1913</v>
      </c>
      <c r="AUZ10">
        <v>1913</v>
      </c>
      <c r="AVA10">
        <v>1912</v>
      </c>
      <c r="AVB10">
        <v>1902</v>
      </c>
      <c r="AVC10">
        <v>1902</v>
      </c>
      <c r="AVD10">
        <v>1902</v>
      </c>
      <c r="AVE10">
        <v>1902</v>
      </c>
      <c r="AVF10">
        <v>1902</v>
      </c>
      <c r="AVG10">
        <v>1888</v>
      </c>
      <c r="AVH10">
        <v>1888</v>
      </c>
      <c r="AVI10">
        <v>1883</v>
      </c>
      <c r="AVJ10">
        <v>1883</v>
      </c>
      <c r="AVK10">
        <v>1883</v>
      </c>
      <c r="AVL10">
        <v>1883</v>
      </c>
      <c r="AVM10">
        <v>1883</v>
      </c>
      <c r="AVN10">
        <v>1883</v>
      </c>
      <c r="AVO10">
        <v>1876</v>
      </c>
      <c r="AVP10">
        <v>1876</v>
      </c>
      <c r="AVQ10">
        <v>1860</v>
      </c>
      <c r="AVR10">
        <v>1860</v>
      </c>
      <c r="AVS10">
        <v>1856</v>
      </c>
      <c r="AVT10">
        <v>1856</v>
      </c>
      <c r="AVU10">
        <v>1848</v>
      </c>
      <c r="AVV10">
        <v>1848</v>
      </c>
      <c r="AVW10">
        <v>1844</v>
      </c>
      <c r="AVX10">
        <v>1844</v>
      </c>
      <c r="AVY10">
        <v>1844</v>
      </c>
      <c r="AVZ10">
        <v>1844</v>
      </c>
      <c r="AWA10">
        <v>1842</v>
      </c>
      <c r="AWB10">
        <v>1842</v>
      </c>
      <c r="AWC10">
        <v>1833</v>
      </c>
      <c r="AWD10">
        <v>1833</v>
      </c>
      <c r="AWE10">
        <v>1832</v>
      </c>
      <c r="AWF10">
        <v>1826</v>
      </c>
      <c r="AWG10">
        <v>1820</v>
      </c>
      <c r="AWH10">
        <v>1814</v>
      </c>
      <c r="AWI10">
        <v>1814</v>
      </c>
      <c r="AWJ10">
        <v>1814</v>
      </c>
      <c r="AWK10">
        <v>1805</v>
      </c>
      <c r="AWL10">
        <v>1805</v>
      </c>
      <c r="AWM10">
        <v>1801</v>
      </c>
      <c r="AWN10">
        <v>1800</v>
      </c>
      <c r="AWO10">
        <v>1800</v>
      </c>
      <c r="AWP10">
        <v>1793</v>
      </c>
      <c r="AWQ10">
        <v>1785</v>
      </c>
      <c r="AWR10">
        <v>1785</v>
      </c>
      <c r="AWS10">
        <v>1784</v>
      </c>
      <c r="AWT10">
        <v>1783</v>
      </c>
      <c r="AWU10">
        <v>1783</v>
      </c>
      <c r="AWV10">
        <v>1783</v>
      </c>
      <c r="AWW10">
        <v>1783</v>
      </c>
      <c r="AWX10">
        <v>1779</v>
      </c>
      <c r="AWY10">
        <v>1766</v>
      </c>
      <c r="AWZ10">
        <v>1750</v>
      </c>
      <c r="AXA10">
        <v>1750</v>
      </c>
      <c r="AXB10">
        <v>1743</v>
      </c>
      <c r="AXC10">
        <v>1739</v>
      </c>
      <c r="AXD10">
        <v>1730</v>
      </c>
      <c r="AXE10">
        <v>1730</v>
      </c>
      <c r="AXF10">
        <v>1730</v>
      </c>
      <c r="AXG10">
        <v>1729</v>
      </c>
      <c r="AXH10">
        <v>1729</v>
      </c>
      <c r="AXI10">
        <v>1729</v>
      </c>
      <c r="AXJ10">
        <v>1729</v>
      </c>
      <c r="AXK10">
        <v>1722</v>
      </c>
      <c r="AXL10">
        <v>1721</v>
      </c>
      <c r="AXM10">
        <v>1719</v>
      </c>
      <c r="AXN10">
        <v>1719</v>
      </c>
      <c r="AXO10">
        <v>1709</v>
      </c>
      <c r="AXP10">
        <v>1703</v>
      </c>
      <c r="AXQ10">
        <v>1700</v>
      </c>
      <c r="AXR10">
        <v>1700</v>
      </c>
      <c r="AXS10">
        <v>1689</v>
      </c>
      <c r="AXT10">
        <v>1689</v>
      </c>
      <c r="AXU10">
        <v>1680</v>
      </c>
      <c r="AXV10">
        <v>1678</v>
      </c>
      <c r="AXW10">
        <v>1678</v>
      </c>
      <c r="AXX10">
        <v>1668</v>
      </c>
      <c r="AXY10">
        <v>1668</v>
      </c>
      <c r="AXZ10">
        <v>1655</v>
      </c>
      <c r="AYA10">
        <v>1651</v>
      </c>
      <c r="AYB10">
        <v>1644</v>
      </c>
      <c r="AYC10">
        <v>1644</v>
      </c>
      <c r="AYD10">
        <v>1644</v>
      </c>
      <c r="AYE10">
        <v>1641</v>
      </c>
      <c r="AYF10">
        <v>1637</v>
      </c>
      <c r="AYG10">
        <v>1636</v>
      </c>
      <c r="AYH10">
        <v>1636</v>
      </c>
      <c r="AYI10">
        <v>1636</v>
      </c>
      <c r="AYJ10">
        <v>1636</v>
      </c>
      <c r="AYK10">
        <v>1636</v>
      </c>
      <c r="AYL10">
        <v>1634</v>
      </c>
      <c r="AYM10">
        <v>1634</v>
      </c>
      <c r="AYN10">
        <v>1634</v>
      </c>
      <c r="AYO10">
        <v>1634</v>
      </c>
      <c r="AYP10">
        <v>1632</v>
      </c>
      <c r="AYQ10">
        <v>1632</v>
      </c>
      <c r="AYR10">
        <v>1632</v>
      </c>
      <c r="AYS10">
        <v>1632</v>
      </c>
      <c r="AYT10">
        <v>1632</v>
      </c>
      <c r="AYU10">
        <v>1632</v>
      </c>
      <c r="AYV10">
        <v>1624</v>
      </c>
      <c r="AYW10">
        <v>1611</v>
      </c>
      <c r="AYX10">
        <v>1611</v>
      </c>
      <c r="AYY10">
        <v>1603</v>
      </c>
      <c r="AYZ10">
        <v>1599</v>
      </c>
      <c r="AZA10">
        <v>1599</v>
      </c>
      <c r="AZB10">
        <v>1599</v>
      </c>
      <c r="AZC10">
        <v>1599</v>
      </c>
      <c r="AZD10">
        <v>1599</v>
      </c>
      <c r="AZE10">
        <v>1598</v>
      </c>
      <c r="AZF10">
        <v>1590</v>
      </c>
      <c r="AZG10">
        <v>1582</v>
      </c>
      <c r="AZH10">
        <v>1582</v>
      </c>
      <c r="AZI10">
        <v>1575</v>
      </c>
      <c r="AZJ10">
        <v>1575</v>
      </c>
      <c r="AZK10">
        <v>1575</v>
      </c>
      <c r="AZL10">
        <v>1568</v>
      </c>
      <c r="AZM10">
        <v>1568</v>
      </c>
      <c r="AZN10">
        <v>1561</v>
      </c>
      <c r="AZO10">
        <v>1561</v>
      </c>
      <c r="AZP10">
        <v>1546</v>
      </c>
      <c r="AZQ10">
        <v>1546</v>
      </c>
      <c r="AZR10">
        <v>1545</v>
      </c>
      <c r="AZS10">
        <v>1545</v>
      </c>
      <c r="AZT10">
        <v>1538</v>
      </c>
      <c r="AZU10">
        <v>1538</v>
      </c>
      <c r="AZV10">
        <v>1519</v>
      </c>
      <c r="AZW10">
        <v>1519</v>
      </c>
      <c r="AZX10">
        <v>1519</v>
      </c>
      <c r="AZY10">
        <v>1517</v>
      </c>
      <c r="AZZ10">
        <v>1512</v>
      </c>
      <c r="BAA10">
        <v>1512</v>
      </c>
      <c r="BAB10">
        <v>1512</v>
      </c>
      <c r="BAC10">
        <v>1512</v>
      </c>
      <c r="BAD10">
        <v>1507</v>
      </c>
      <c r="BAE10">
        <v>1507</v>
      </c>
      <c r="BAF10">
        <v>1495</v>
      </c>
      <c r="BAG10">
        <v>1495</v>
      </c>
      <c r="BAH10">
        <v>1495</v>
      </c>
      <c r="BAI10">
        <v>1495</v>
      </c>
      <c r="BAJ10">
        <v>1487</v>
      </c>
      <c r="BAK10">
        <v>1487</v>
      </c>
      <c r="BAL10">
        <v>1481</v>
      </c>
      <c r="BAM10">
        <v>1452</v>
      </c>
      <c r="BAN10">
        <v>1452</v>
      </c>
      <c r="BAO10">
        <v>1452</v>
      </c>
      <c r="BAP10">
        <v>1446</v>
      </c>
      <c r="BAQ10">
        <v>1432</v>
      </c>
      <c r="BAR10">
        <v>1419</v>
      </c>
      <c r="BAS10">
        <v>1417</v>
      </c>
      <c r="BAT10">
        <v>1417</v>
      </c>
      <c r="BAU10">
        <v>1417</v>
      </c>
      <c r="BAV10">
        <v>1414</v>
      </c>
      <c r="BAW10">
        <v>1413</v>
      </c>
      <c r="BAX10">
        <v>1412</v>
      </c>
      <c r="BAY10">
        <v>1412</v>
      </c>
      <c r="BAZ10">
        <v>1412</v>
      </c>
      <c r="BBA10">
        <v>1406</v>
      </c>
      <c r="BBB10">
        <v>1406</v>
      </c>
      <c r="BBC10">
        <v>1406</v>
      </c>
      <c r="BBD10">
        <v>1406</v>
      </c>
      <c r="BBE10">
        <v>1406</v>
      </c>
      <c r="BBF10">
        <v>1406</v>
      </c>
      <c r="BBG10">
        <v>1406</v>
      </c>
      <c r="BBH10">
        <v>1395</v>
      </c>
      <c r="BBI10">
        <v>1389</v>
      </c>
      <c r="BBJ10">
        <v>1387</v>
      </c>
      <c r="BBK10">
        <v>1385</v>
      </c>
      <c r="BBL10">
        <v>1384</v>
      </c>
      <c r="BBM10">
        <v>1384</v>
      </c>
      <c r="BBN10">
        <v>1367</v>
      </c>
      <c r="BBO10">
        <v>1357</v>
      </c>
      <c r="BBP10">
        <v>1357</v>
      </c>
      <c r="BBQ10">
        <v>1357</v>
      </c>
      <c r="BBR10">
        <v>1357</v>
      </c>
      <c r="BBS10">
        <v>1351</v>
      </c>
      <c r="BBT10">
        <v>1351</v>
      </c>
      <c r="BBU10">
        <v>1351</v>
      </c>
      <c r="BBV10">
        <v>1342</v>
      </c>
      <c r="BBW10">
        <v>1342</v>
      </c>
      <c r="BBX10">
        <v>1331</v>
      </c>
      <c r="BBY10">
        <v>1331</v>
      </c>
      <c r="BBZ10">
        <v>1331</v>
      </c>
      <c r="BCA10">
        <v>1331</v>
      </c>
      <c r="BCB10">
        <v>1330</v>
      </c>
      <c r="BCC10">
        <v>1330</v>
      </c>
      <c r="BCD10">
        <v>1330</v>
      </c>
      <c r="BCE10">
        <v>1325</v>
      </c>
      <c r="BCF10">
        <v>1321</v>
      </c>
      <c r="BCG10">
        <v>1321</v>
      </c>
      <c r="BCH10">
        <v>1321</v>
      </c>
      <c r="BCI10">
        <v>1321</v>
      </c>
      <c r="BCJ10">
        <v>1321</v>
      </c>
      <c r="BCK10">
        <v>1321</v>
      </c>
      <c r="BCL10">
        <v>1317</v>
      </c>
      <c r="BCM10">
        <v>1315</v>
      </c>
      <c r="BCN10">
        <v>1315</v>
      </c>
      <c r="BCO10">
        <v>1315</v>
      </c>
      <c r="BCP10">
        <v>1315</v>
      </c>
      <c r="BCQ10">
        <v>1315</v>
      </c>
      <c r="BCR10">
        <v>1311</v>
      </c>
      <c r="BCS10">
        <v>1311</v>
      </c>
      <c r="BCT10">
        <v>1311</v>
      </c>
      <c r="BCU10">
        <v>1311</v>
      </c>
      <c r="BCV10">
        <v>1311</v>
      </c>
      <c r="BCW10">
        <v>1311</v>
      </c>
      <c r="BCX10">
        <v>1311</v>
      </c>
      <c r="BCY10">
        <v>1311</v>
      </c>
      <c r="BCZ10">
        <v>1309</v>
      </c>
      <c r="BDA10">
        <v>1309</v>
      </c>
      <c r="BDB10">
        <v>1309</v>
      </c>
      <c r="BDC10">
        <v>1307</v>
      </c>
      <c r="BDD10">
        <v>1302</v>
      </c>
      <c r="BDE10">
        <v>1297</v>
      </c>
      <c r="BDF10">
        <v>1294</v>
      </c>
      <c r="BDG10">
        <v>1292</v>
      </c>
      <c r="BDH10">
        <v>1290</v>
      </c>
      <c r="BDI10">
        <v>1290</v>
      </c>
      <c r="BDJ10">
        <v>1281</v>
      </c>
      <c r="BDK10">
        <v>1276</v>
      </c>
      <c r="BDL10">
        <v>1276</v>
      </c>
      <c r="BDM10">
        <v>1274</v>
      </c>
      <c r="BDN10">
        <v>1274</v>
      </c>
      <c r="BDO10">
        <v>1274</v>
      </c>
      <c r="BDP10">
        <v>1274</v>
      </c>
      <c r="BDQ10">
        <v>1272</v>
      </c>
      <c r="BDR10">
        <v>1266</v>
      </c>
      <c r="BDS10">
        <v>1260</v>
      </c>
      <c r="BDT10">
        <v>1250</v>
      </c>
      <c r="BDU10">
        <v>1233</v>
      </c>
      <c r="BDV10">
        <v>1221</v>
      </c>
      <c r="BDW10">
        <v>1221</v>
      </c>
      <c r="BDX10">
        <v>1221</v>
      </c>
      <c r="BDY10">
        <v>1221</v>
      </c>
      <c r="BDZ10">
        <v>1221</v>
      </c>
      <c r="BEA10">
        <v>1221</v>
      </c>
      <c r="BEB10">
        <v>1220</v>
      </c>
      <c r="BEC10">
        <v>1220</v>
      </c>
      <c r="BED10">
        <v>1206</v>
      </c>
      <c r="BEE10">
        <v>1206</v>
      </c>
      <c r="BEF10">
        <v>1206</v>
      </c>
      <c r="BEG10">
        <v>1205</v>
      </c>
      <c r="BEH10">
        <v>1205</v>
      </c>
      <c r="BEI10">
        <v>1205</v>
      </c>
      <c r="BEJ10">
        <v>1195</v>
      </c>
      <c r="BEK10">
        <v>1195</v>
      </c>
      <c r="BEL10">
        <v>1190</v>
      </c>
      <c r="BEM10">
        <v>1190</v>
      </c>
      <c r="BEN10">
        <v>1190</v>
      </c>
      <c r="BEO10">
        <v>1189</v>
      </c>
      <c r="BEP10">
        <v>1188</v>
      </c>
      <c r="BEQ10">
        <v>1188</v>
      </c>
      <c r="BER10">
        <v>1180</v>
      </c>
      <c r="BES10">
        <v>1180</v>
      </c>
      <c r="BET10">
        <v>1180</v>
      </c>
      <c r="BEU10">
        <v>1179</v>
      </c>
      <c r="BEV10">
        <v>1179</v>
      </c>
      <c r="BEW10">
        <v>1179</v>
      </c>
      <c r="BEX10">
        <v>1172</v>
      </c>
      <c r="BEY10">
        <v>1155</v>
      </c>
      <c r="BEZ10">
        <v>1153</v>
      </c>
      <c r="BFA10">
        <v>1153</v>
      </c>
      <c r="BFB10">
        <v>1137</v>
      </c>
      <c r="BFC10">
        <v>1131</v>
      </c>
      <c r="BFD10">
        <v>1123</v>
      </c>
      <c r="BFE10">
        <v>1123</v>
      </c>
      <c r="BFF10">
        <v>1121</v>
      </c>
      <c r="BFG10">
        <v>1121</v>
      </c>
      <c r="BFH10">
        <v>1118</v>
      </c>
      <c r="BFI10">
        <v>1118</v>
      </c>
      <c r="BFJ10">
        <v>1118</v>
      </c>
      <c r="BFK10">
        <v>1118</v>
      </c>
      <c r="BFL10">
        <v>1114</v>
      </c>
      <c r="BFM10">
        <v>1107</v>
      </c>
      <c r="BFN10">
        <v>1107</v>
      </c>
      <c r="BFO10">
        <v>1103</v>
      </c>
      <c r="BFP10">
        <v>1100</v>
      </c>
      <c r="BFQ10">
        <v>1100</v>
      </c>
      <c r="BFR10">
        <v>1100</v>
      </c>
      <c r="BFS10">
        <v>1092</v>
      </c>
      <c r="BFT10">
        <v>1080</v>
      </c>
      <c r="BFU10">
        <v>1074</v>
      </c>
      <c r="BFV10">
        <v>1074</v>
      </c>
      <c r="BFW10">
        <v>1074</v>
      </c>
      <c r="BFX10">
        <v>1074</v>
      </c>
      <c r="BFY10">
        <v>1073</v>
      </c>
      <c r="BFZ10">
        <v>1071</v>
      </c>
      <c r="BGA10">
        <v>1070</v>
      </c>
      <c r="BGB10">
        <v>1070</v>
      </c>
      <c r="BGC10">
        <v>1067</v>
      </c>
      <c r="BGD10">
        <v>1067</v>
      </c>
      <c r="BGE10">
        <v>1067</v>
      </c>
      <c r="BGF10">
        <v>1064</v>
      </c>
      <c r="BGG10">
        <v>1055</v>
      </c>
      <c r="BGH10">
        <v>1054</v>
      </c>
      <c r="BGI10">
        <v>1054</v>
      </c>
      <c r="BGJ10">
        <v>1046</v>
      </c>
      <c r="BGK10">
        <v>1046</v>
      </c>
      <c r="BGL10">
        <v>1035</v>
      </c>
      <c r="BGM10">
        <v>1035</v>
      </c>
      <c r="BGN10">
        <v>1031</v>
      </c>
      <c r="BGO10">
        <v>1030</v>
      </c>
      <c r="BGP10">
        <v>1030</v>
      </c>
      <c r="BGQ10">
        <v>1030</v>
      </c>
      <c r="BGR10">
        <v>1026</v>
      </c>
      <c r="BGS10">
        <v>1021</v>
      </c>
      <c r="BGT10">
        <v>1021</v>
      </c>
      <c r="BGU10">
        <v>1021</v>
      </c>
      <c r="BGV10">
        <v>1006</v>
      </c>
      <c r="BGW10">
        <v>1006</v>
      </c>
      <c r="BGX10">
        <v>1006</v>
      </c>
      <c r="BGY10">
        <v>1000</v>
      </c>
      <c r="BGZ10">
        <v>1000</v>
      </c>
      <c r="BHA10">
        <v>1000</v>
      </c>
      <c r="BHB10">
        <v>1000</v>
      </c>
      <c r="BHC10">
        <v>1000</v>
      </c>
    </row>
    <row r="11" spans="5:1563" x14ac:dyDescent="0.25">
      <c r="E11" t="s">
        <v>2193</v>
      </c>
      <c r="F11" t="s">
        <v>12</v>
      </c>
      <c r="G11" t="s">
        <v>10</v>
      </c>
      <c r="H11" t="s">
        <v>15</v>
      </c>
      <c r="I11">
        <v>193847</v>
      </c>
    </row>
    <row r="12" spans="5:1563" x14ac:dyDescent="0.25">
      <c r="E12" t="s">
        <v>2193</v>
      </c>
      <c r="F12" t="s">
        <v>16</v>
      </c>
      <c r="G12" t="s">
        <v>13</v>
      </c>
      <c r="H12" t="s">
        <v>17</v>
      </c>
      <c r="I12">
        <v>168926</v>
      </c>
      <c r="M12" t="str">
        <f>_xlfn.CONCAT("""",$L$6,"""",":","""",M6,"""",",")</f>
        <v>"cate":"Resistor ",</v>
      </c>
      <c r="N12" t="str">
        <f t="shared" ref="N12:BY12" si="0">_xlfn.CONCAT("""",$L$6,"""",":","""",N6,"""",",")</f>
        <v>"cate":"Resistor ",</v>
      </c>
      <c r="O12" t="str">
        <f t="shared" si="0"/>
        <v>"cate":"Capacitor",</v>
      </c>
      <c r="P12" t="str">
        <f t="shared" si="0"/>
        <v>"cate":"Capacitor",</v>
      </c>
      <c r="Q12" t="str">
        <f t="shared" si="0"/>
        <v>"cate":"Resistor ",</v>
      </c>
      <c r="R12" t="str">
        <f t="shared" si="0"/>
        <v>"cate":"Resistor ",</v>
      </c>
      <c r="S12" t="str">
        <f t="shared" si="0"/>
        <v>"cate":"Resistor ",</v>
      </c>
      <c r="T12" t="str">
        <f t="shared" si="0"/>
        <v>"cate":"Resistor ",</v>
      </c>
      <c r="U12" t="str">
        <f t="shared" si="0"/>
        <v>"cate":"Resistor ",</v>
      </c>
      <c r="V12" t="str">
        <f t="shared" si="0"/>
        <v>"cate":"Diode",</v>
      </c>
      <c r="W12" t="str">
        <f t="shared" si="0"/>
        <v>"cate":"Opto",</v>
      </c>
      <c r="X12" t="str">
        <f t="shared" si="0"/>
        <v>"cate":"Opto",</v>
      </c>
      <c r="Y12" t="str">
        <f t="shared" si="0"/>
        <v>"cate":"IC",</v>
      </c>
      <c r="Z12" t="str">
        <f t="shared" si="0"/>
        <v>"cate":"IC",</v>
      </c>
      <c r="AA12" t="str">
        <f t="shared" si="0"/>
        <v>"cate":"IC",</v>
      </c>
      <c r="AB12" t="str">
        <f t="shared" si="0"/>
        <v>"cate":"Resistor ",</v>
      </c>
      <c r="AC12" t="str">
        <f t="shared" si="0"/>
        <v>"cate":"Resistor ",</v>
      </c>
      <c r="AD12" t="str">
        <f t="shared" si="0"/>
        <v>"cate":"Capacitor",</v>
      </c>
      <c r="AE12" t="str">
        <f t="shared" si="0"/>
        <v>"cate":"Capacitor",</v>
      </c>
      <c r="AF12" t="str">
        <f t="shared" si="0"/>
        <v>"cate":"NTC ",</v>
      </c>
      <c r="AG12" t="str">
        <f t="shared" si="0"/>
        <v>"cate":"NTC ",</v>
      </c>
      <c r="AH12" t="str">
        <f t="shared" si="0"/>
        <v>"cate":"NTC ",</v>
      </c>
      <c r="AI12" t="str">
        <f t="shared" si="0"/>
        <v>"cate":"NTC ",</v>
      </c>
      <c r="AJ12" t="str">
        <f t="shared" si="0"/>
        <v>"cate":"NTC ",</v>
      </c>
      <c r="AK12" t="str">
        <f t="shared" si="0"/>
        <v>"cate":"Resistor ",</v>
      </c>
      <c r="AL12" t="str">
        <f t="shared" si="0"/>
        <v>"cate":"Choke Coil",</v>
      </c>
      <c r="AM12" t="str">
        <f t="shared" si="0"/>
        <v>"cate":"Capacitor",</v>
      </c>
      <c r="AN12" t="str">
        <f t="shared" si="0"/>
        <v>"cate":"Capacitor",</v>
      </c>
      <c r="AO12" t="str">
        <f t="shared" si="0"/>
        <v>"cate":"Capacitor",</v>
      </c>
      <c r="AP12" t="str">
        <f t="shared" si="0"/>
        <v>"cate":"Capacitor",</v>
      </c>
      <c r="AQ12" t="str">
        <f t="shared" si="0"/>
        <v>"cate":"Capacitor",</v>
      </c>
      <c r="AR12" t="str">
        <f t="shared" si="0"/>
        <v>"cate":"Capacitor",</v>
      </c>
      <c r="AS12" t="str">
        <f t="shared" si="0"/>
        <v>"cate":"Capacitor",</v>
      </c>
      <c r="AT12" t="str">
        <f t="shared" si="0"/>
        <v>"cate":"Capacitor",</v>
      </c>
      <c r="AU12" t="str">
        <f t="shared" si="0"/>
        <v>"cate":"Diode",</v>
      </c>
      <c r="AV12" t="str">
        <f t="shared" si="0"/>
        <v>"cate":"Diode",</v>
      </c>
      <c r="AW12" t="str">
        <f t="shared" si="0"/>
        <v>"cate":"Diode",</v>
      </c>
      <c r="AX12" t="str">
        <f t="shared" si="0"/>
        <v>"cate":"Diode",</v>
      </c>
      <c r="AY12" t="str">
        <f t="shared" si="0"/>
        <v>"cate":"Choke Coil",</v>
      </c>
      <c r="AZ12" t="str">
        <f t="shared" si="0"/>
        <v>"cate":"Capacitor",</v>
      </c>
      <c r="BA12" t="str">
        <f t="shared" si="0"/>
        <v>"cate":"Capacitor",</v>
      </c>
      <c r="BB12" t="str">
        <f t="shared" si="0"/>
        <v>"cate":"Capacitor",</v>
      </c>
      <c r="BC12" t="str">
        <f t="shared" si="0"/>
        <v>"cate":"Capacitor",</v>
      </c>
      <c r="BD12" t="str">
        <f t="shared" si="0"/>
        <v>"cate":"Capacitor",</v>
      </c>
      <c r="BE12" t="str">
        <f t="shared" si="0"/>
        <v>"cate":"Capacitor",</v>
      </c>
      <c r="BF12" t="str">
        <f t="shared" si="0"/>
        <v>"cate":"Capacitor",</v>
      </c>
      <c r="BG12" t="str">
        <f t="shared" si="0"/>
        <v>"cate":"Capacitor",</v>
      </c>
      <c r="BH12" t="str">
        <f t="shared" si="0"/>
        <v>"cate":"Capacitor",</v>
      </c>
      <c r="BI12" t="str">
        <f t="shared" si="0"/>
        <v>"cate":"Capacitor",</v>
      </c>
      <c r="BJ12" t="str">
        <f t="shared" si="0"/>
        <v>"cate":"Capacitor",</v>
      </c>
      <c r="BK12" t="str">
        <f t="shared" si="0"/>
        <v>"cate":"Capacitor",</v>
      </c>
      <c r="BL12" t="str">
        <f t="shared" si="0"/>
        <v>"cate":"Capacitor",</v>
      </c>
      <c r="BM12" t="str">
        <f t="shared" si="0"/>
        <v>"cate":"Capacitor",</v>
      </c>
      <c r="BN12" t="str">
        <f t="shared" si="0"/>
        <v>"cate":"Resistor ",</v>
      </c>
      <c r="BO12" t="str">
        <f t="shared" si="0"/>
        <v>"cate":"IC",</v>
      </c>
      <c r="BP12" t="str">
        <f t="shared" si="0"/>
        <v>"cate":"Resistor ",</v>
      </c>
      <c r="BQ12" t="str">
        <f t="shared" si="0"/>
        <v>"cate":"Resistor ",</v>
      </c>
      <c r="BR12" t="str">
        <f t="shared" si="0"/>
        <v>"cate":"Resistor ",</v>
      </c>
      <c r="BS12" t="str">
        <f t="shared" si="0"/>
        <v>"cate":"Resistor ",</v>
      </c>
      <c r="BT12" t="str">
        <f t="shared" si="0"/>
        <v>"cate":"Resistor ",</v>
      </c>
      <c r="BU12" t="str">
        <f t="shared" si="0"/>
        <v>"cate":"Resistor ",</v>
      </c>
      <c r="BV12" t="str">
        <f t="shared" si="0"/>
        <v>"cate":"Capacitor",</v>
      </c>
      <c r="BW12" t="str">
        <f t="shared" si="0"/>
        <v>"cate":"MOSFET",</v>
      </c>
      <c r="BX12" t="str">
        <f t="shared" si="0"/>
        <v>"cate":"MOSFET",</v>
      </c>
      <c r="BY12" t="str">
        <f t="shared" si="0"/>
        <v>"cate":"MOSFET",</v>
      </c>
      <c r="BZ12" t="str">
        <f t="shared" ref="BZ12:EK12" si="1">_xlfn.CONCAT("""",$L$6,"""",":","""",BZ6,"""",",")</f>
        <v>"cate":"Capacitor",</v>
      </c>
      <c r="CA12" t="str">
        <f t="shared" si="1"/>
        <v>"cate":"Capacitor",</v>
      </c>
      <c r="CB12" t="str">
        <f t="shared" si="1"/>
        <v>"cate":"Capacitor",</v>
      </c>
      <c r="CC12" t="str">
        <f t="shared" si="1"/>
        <v>"cate":"Capacitor",</v>
      </c>
      <c r="CD12" t="str">
        <f t="shared" si="1"/>
        <v>"cate":"Capacitor",</v>
      </c>
      <c r="CE12" t="str">
        <f t="shared" si="1"/>
        <v>"cate":"Capacitor",</v>
      </c>
      <c r="CF12" t="str">
        <f t="shared" si="1"/>
        <v>"cate":"Capacitor",</v>
      </c>
      <c r="CG12" t="str">
        <f t="shared" si="1"/>
        <v>"cate":"Resistor ",</v>
      </c>
      <c r="CH12" t="str">
        <f t="shared" si="1"/>
        <v>"cate":"Resistor ",</v>
      </c>
      <c r="CI12" t="str">
        <f t="shared" si="1"/>
        <v>"cate":"Resistor ",</v>
      </c>
      <c r="CJ12" t="str">
        <f t="shared" si="1"/>
        <v>"cate":"Resistor ",</v>
      </c>
      <c r="CK12" t="str">
        <f t="shared" si="1"/>
        <v>"cate":"Resistor ",</v>
      </c>
      <c r="CL12" t="str">
        <f t="shared" si="1"/>
        <v>"cate":"LED ",</v>
      </c>
      <c r="CM12" t="str">
        <f t="shared" si="1"/>
        <v>"cate":"LED ",</v>
      </c>
      <c r="CN12" t="str">
        <f t="shared" si="1"/>
        <v>"cate":"LED ",</v>
      </c>
      <c r="CO12" t="str">
        <f t="shared" si="1"/>
        <v>"cate":"LED ",</v>
      </c>
      <c r="CP12" t="str">
        <f t="shared" si="1"/>
        <v>"cate":"LED ",</v>
      </c>
      <c r="CQ12" t="str">
        <f t="shared" si="1"/>
        <v>"cate":"LED ",</v>
      </c>
      <c r="CR12" t="str">
        <f t="shared" si="1"/>
        <v>"cate":"LED ",</v>
      </c>
      <c r="CS12" t="str">
        <f t="shared" si="1"/>
        <v>"cate":"Resistor ",</v>
      </c>
      <c r="CT12" t="str">
        <f t="shared" si="1"/>
        <v>"cate":"Resistor ",</v>
      </c>
      <c r="CU12" t="str">
        <f t="shared" si="1"/>
        <v>"cate":"Resistor ",</v>
      </c>
      <c r="CV12" t="str">
        <f t="shared" si="1"/>
        <v>"cate":"Capacitor",</v>
      </c>
      <c r="CW12" t="str">
        <f t="shared" si="1"/>
        <v>"cate":"Capacitor",</v>
      </c>
      <c r="CX12" t="str">
        <f t="shared" si="1"/>
        <v>"cate":"Capacitor",</v>
      </c>
      <c r="CY12" t="str">
        <f t="shared" si="1"/>
        <v>"cate":"Capacitor",</v>
      </c>
      <c r="CZ12" t="str">
        <f t="shared" si="1"/>
        <v>"cate":"Capacitor",</v>
      </c>
      <c r="DA12" t="str">
        <f t="shared" si="1"/>
        <v>"cate":"LED ",</v>
      </c>
      <c r="DB12" t="str">
        <f t="shared" si="1"/>
        <v>"cate":"LED ",</v>
      </c>
      <c r="DC12" t="str">
        <f t="shared" si="1"/>
        <v>"cate":"LED ",</v>
      </c>
      <c r="DD12" t="str">
        <f t="shared" si="1"/>
        <v>"cate":"LED ",</v>
      </c>
      <c r="DE12" t="str">
        <f t="shared" si="1"/>
        <v>"cate":"LED ",</v>
      </c>
      <c r="DF12" t="str">
        <f t="shared" si="1"/>
        <v>"cate":"LED ",</v>
      </c>
      <c r="DG12" t="str">
        <f t="shared" si="1"/>
        <v>"cate":"LED ",</v>
      </c>
      <c r="DH12" t="str">
        <f t="shared" si="1"/>
        <v>"cate":"Capacitor",</v>
      </c>
      <c r="DI12" t="str">
        <f t="shared" si="1"/>
        <v>"cate":"IC",</v>
      </c>
      <c r="DJ12" t="str">
        <f t="shared" si="1"/>
        <v>"cate":"Resistor ",</v>
      </c>
      <c r="DK12" t="str">
        <f t="shared" si="1"/>
        <v>"cate":"Capacitor",</v>
      </c>
      <c r="DL12" t="str">
        <f t="shared" si="1"/>
        <v>"cate":"Capacitor",</v>
      </c>
      <c r="DM12" t="str">
        <f t="shared" si="1"/>
        <v>"cate":"Capacitor",</v>
      </c>
      <c r="DN12" t="str">
        <f t="shared" si="1"/>
        <v>"cate":"IC",</v>
      </c>
      <c r="DO12" t="str">
        <f t="shared" si="1"/>
        <v>"cate":"IC",</v>
      </c>
      <c r="DP12" t="str">
        <f t="shared" si="1"/>
        <v>"cate":"IC",</v>
      </c>
      <c r="DQ12" t="str">
        <f t="shared" si="1"/>
        <v>"cate":"Capacitor",</v>
      </c>
      <c r="DR12" t="str">
        <f t="shared" si="1"/>
        <v>"cate":"Capacitor",</v>
      </c>
      <c r="DS12" t="str">
        <f t="shared" si="1"/>
        <v>"cate":"Capacitor",</v>
      </c>
      <c r="DT12" t="str">
        <f t="shared" si="1"/>
        <v>"cate":"Capacitor",</v>
      </c>
      <c r="DU12" t="str">
        <f t="shared" si="1"/>
        <v>"cate":"Capacitor",</v>
      </c>
      <c r="DV12" t="str">
        <f t="shared" si="1"/>
        <v>"cate":"22-2",</v>
      </c>
      <c r="DW12" t="str">
        <f t="shared" si="1"/>
        <v>"cate":"Capacitor",</v>
      </c>
      <c r="DX12" t="str">
        <f t="shared" si="1"/>
        <v>"cate":"Capacitor",</v>
      </c>
      <c r="DY12" t="str">
        <f t="shared" si="1"/>
        <v>"cate":"Resistor ",</v>
      </c>
      <c r="DZ12" t="str">
        <f t="shared" si="1"/>
        <v>"cate":"Resistor ",</v>
      </c>
      <c r="EA12" t="str">
        <f t="shared" si="1"/>
        <v>"cate":"Capacitor",</v>
      </c>
      <c r="EB12" t="str">
        <f t="shared" si="1"/>
        <v>"cate":"Capacitor",</v>
      </c>
      <c r="EC12" t="str">
        <f t="shared" si="1"/>
        <v>"cate":"Capacitor",</v>
      </c>
      <c r="ED12" t="str">
        <f t="shared" si="1"/>
        <v>"cate":"Capacitor",</v>
      </c>
      <c r="EE12" t="str">
        <f t="shared" si="1"/>
        <v>"cate":"Capacitor",</v>
      </c>
      <c r="EF12" t="str">
        <f t="shared" si="1"/>
        <v>"cate":"LED ",</v>
      </c>
      <c r="EG12" t="str">
        <f t="shared" si="1"/>
        <v>"cate":"Resistor ",</v>
      </c>
      <c r="EH12" t="str">
        <f t="shared" si="1"/>
        <v>"cate":"Resistor ",</v>
      </c>
      <c r="EI12" t="str">
        <f t="shared" si="1"/>
        <v>"cate":"Resistor ",</v>
      </c>
      <c r="EJ12" t="str">
        <f t="shared" si="1"/>
        <v>"cate":"Resistor ",</v>
      </c>
      <c r="EK12" t="str">
        <f t="shared" si="1"/>
        <v>"cate":"FUSE",</v>
      </c>
      <c r="EL12" t="str">
        <f t="shared" ref="EL12:GW12" si="2">_xlfn.CONCAT("""",$L$6,"""",":","""",EL6,"""",",")</f>
        <v>"cate":"IND ",</v>
      </c>
      <c r="EM12" t="str">
        <f t="shared" si="2"/>
        <v>"cate":"IND ",</v>
      </c>
      <c r="EN12" t="str">
        <f t="shared" si="2"/>
        <v>"cate":"Capacitor",</v>
      </c>
      <c r="EO12" t="str">
        <f t="shared" si="2"/>
        <v>"cate":"Capacitor",</v>
      </c>
      <c r="EP12" t="str">
        <f t="shared" si="2"/>
        <v>"cate":"Resistor ",</v>
      </c>
      <c r="EQ12" t="str">
        <f t="shared" si="2"/>
        <v>"cate":"Capacitor",</v>
      </c>
      <c r="ER12" t="str">
        <f t="shared" si="2"/>
        <v>"cate":"Capacitor",</v>
      </c>
      <c r="ES12" t="str">
        <f t="shared" si="2"/>
        <v>"cate":"Capacitor",</v>
      </c>
      <c r="ET12" t="str">
        <f t="shared" si="2"/>
        <v>"cate":"Capacitor",</v>
      </c>
      <c r="EU12" t="str">
        <f t="shared" si="2"/>
        <v>"cate":"Capacitor",</v>
      </c>
      <c r="EV12" t="str">
        <f t="shared" si="2"/>
        <v>"cate":"Diode",</v>
      </c>
      <c r="EW12" t="str">
        <f t="shared" si="2"/>
        <v>"cate":"Diode",</v>
      </c>
      <c r="EX12" t="str">
        <f t="shared" si="2"/>
        <v>"cate":"Diode",</v>
      </c>
      <c r="EY12" t="str">
        <f t="shared" si="2"/>
        <v>"cate":"Diode",</v>
      </c>
      <c r="EZ12" t="str">
        <f t="shared" si="2"/>
        <v>"cate":"Connector",</v>
      </c>
      <c r="FA12" t="str">
        <f t="shared" si="2"/>
        <v>"cate":"Capacitor",</v>
      </c>
      <c r="FB12" t="str">
        <f t="shared" si="2"/>
        <v>"cate":"Resistor ",</v>
      </c>
      <c r="FC12" t="str">
        <f t="shared" si="2"/>
        <v>"cate":"Resistor ",</v>
      </c>
      <c r="FD12" t="str">
        <f t="shared" si="2"/>
        <v>"cate":"Capacitor",</v>
      </c>
      <c r="FE12" t="str">
        <f t="shared" si="2"/>
        <v>"cate":"Capacitor",</v>
      </c>
      <c r="FF12" t="str">
        <f t="shared" si="2"/>
        <v>"cate":"Resistor ",</v>
      </c>
      <c r="FG12" t="str">
        <f t="shared" si="2"/>
        <v>"cate":"Diode",</v>
      </c>
      <c r="FH12" t="str">
        <f t="shared" si="2"/>
        <v>"cate":"Diode",</v>
      </c>
      <c r="FI12" t="str">
        <f t="shared" si="2"/>
        <v>"cate":"Capacitor",</v>
      </c>
      <c r="FJ12" t="str">
        <f t="shared" si="2"/>
        <v>"cate":"Capacitor",</v>
      </c>
      <c r="FK12" t="str">
        <f t="shared" si="2"/>
        <v>"cate":"Capacitor",</v>
      </c>
      <c r="FL12" t="str">
        <f t="shared" si="2"/>
        <v>"cate":"Diode",</v>
      </c>
      <c r="FM12" t="str">
        <f t="shared" si="2"/>
        <v>"cate":"Diode",</v>
      </c>
      <c r="FN12" t="str">
        <f t="shared" si="2"/>
        <v>"cate":"LED ",</v>
      </c>
      <c r="FO12" t="str">
        <f t="shared" si="2"/>
        <v>"cate":"LED ",</v>
      </c>
      <c r="FP12" t="str">
        <f t="shared" si="2"/>
        <v>"cate":"LED ",</v>
      </c>
      <c r="FQ12" t="str">
        <f t="shared" si="2"/>
        <v>"cate":"IC",</v>
      </c>
      <c r="FR12" t="str">
        <f t="shared" si="2"/>
        <v>"cate":"IC",</v>
      </c>
      <c r="FS12" t="str">
        <f t="shared" si="2"/>
        <v>"cate":"Resistor ",</v>
      </c>
      <c r="FT12" t="str">
        <f t="shared" si="2"/>
        <v>"cate":"IC",</v>
      </c>
      <c r="FU12" t="str">
        <f t="shared" si="2"/>
        <v>"cate":"IC",</v>
      </c>
      <c r="FV12" t="str">
        <f t="shared" si="2"/>
        <v>"cate":"PIN ",</v>
      </c>
      <c r="FW12" t="str">
        <f t="shared" si="2"/>
        <v>"cate":"PIN ",</v>
      </c>
      <c r="FX12" t="str">
        <f t="shared" si="2"/>
        <v>"cate":"Capacitor",</v>
      </c>
      <c r="FY12" t="str">
        <f t="shared" si="2"/>
        <v>"cate":"Capacitor",</v>
      </c>
      <c r="FZ12" t="str">
        <f t="shared" si="2"/>
        <v>"cate":"Capacitor",</v>
      </c>
      <c r="GA12" t="str">
        <f t="shared" si="2"/>
        <v>"cate":"Capacitor",</v>
      </c>
      <c r="GB12" t="str">
        <f t="shared" si="2"/>
        <v>"cate":"Capacitor",</v>
      </c>
      <c r="GC12" t="str">
        <f t="shared" si="2"/>
        <v>"cate":"Capacitor",</v>
      </c>
      <c r="GD12" t="str">
        <f t="shared" si="2"/>
        <v>"cate":"Resistor ",</v>
      </c>
      <c r="GE12" t="str">
        <f t="shared" si="2"/>
        <v>"cate":"22-0",</v>
      </c>
      <c r="GF12" t="str">
        <f t="shared" si="2"/>
        <v>"cate":"22-0",</v>
      </c>
      <c r="GG12" t="str">
        <f t="shared" si="2"/>
        <v>"cate":"22-0",</v>
      </c>
      <c r="GH12" t="str">
        <f t="shared" si="2"/>
        <v>"cate":"Capacitor",</v>
      </c>
      <c r="GI12" t="str">
        <f t="shared" si="2"/>
        <v>"cate":"Capacitor",</v>
      </c>
      <c r="GJ12" t="str">
        <f t="shared" si="2"/>
        <v>"cate":"Resistor ",</v>
      </c>
      <c r="GK12" t="str">
        <f t="shared" si="2"/>
        <v>"cate":"Resistor ",</v>
      </c>
      <c r="GL12" t="str">
        <f t="shared" si="2"/>
        <v>"cate":"IC",</v>
      </c>
      <c r="GM12" t="str">
        <f t="shared" si="2"/>
        <v>"cate":"IC",</v>
      </c>
      <c r="GN12" t="str">
        <f t="shared" si="2"/>
        <v>"cate":"Resistor ",</v>
      </c>
      <c r="GO12" t="str">
        <f t="shared" si="2"/>
        <v>"cate":"Capacitor",</v>
      </c>
      <c r="GP12" t="str">
        <f t="shared" si="2"/>
        <v>"cate":"Capacitor",</v>
      </c>
      <c r="GQ12" t="str">
        <f t="shared" si="2"/>
        <v>"cate":"Capacitor",</v>
      </c>
      <c r="GR12" t="str">
        <f t="shared" si="2"/>
        <v>"cate":"Capacitor",</v>
      </c>
      <c r="GS12" t="str">
        <f t="shared" si="2"/>
        <v>"cate":"CTM ",</v>
      </c>
      <c r="GT12" t="str">
        <f t="shared" si="2"/>
        <v>"cate":"Resistor ",</v>
      </c>
      <c r="GU12" t="str">
        <f t="shared" si="2"/>
        <v>"cate":"Capacitor",</v>
      </c>
      <c r="GV12" t="str">
        <f t="shared" si="2"/>
        <v>"cate":"Choke Coil",</v>
      </c>
      <c r="GW12" t="str">
        <f t="shared" si="2"/>
        <v>"cate":"Resistor ",</v>
      </c>
      <c r="GX12" t="str">
        <f t="shared" ref="GX12:JI12" si="3">_xlfn.CONCAT("""",$L$6,"""",":","""",GX6,"""",",")</f>
        <v>"cate":"Resistor ",</v>
      </c>
      <c r="GY12" t="str">
        <f t="shared" si="3"/>
        <v>"cate":"Capacitor",</v>
      </c>
      <c r="GZ12" t="str">
        <f t="shared" si="3"/>
        <v>"cate":"Capacitor",</v>
      </c>
      <c r="HA12" t="str">
        <f t="shared" si="3"/>
        <v>"cate":"Resistor ",</v>
      </c>
      <c r="HB12" t="str">
        <f t="shared" si="3"/>
        <v>"cate":"Resistor ",</v>
      </c>
      <c r="HC12" t="str">
        <f t="shared" si="3"/>
        <v>"cate":"PIN ",</v>
      </c>
      <c r="HD12" t="str">
        <f t="shared" si="3"/>
        <v>"cate":"Resistor ",</v>
      </c>
      <c r="HE12" t="str">
        <f t="shared" si="3"/>
        <v>"cate":"Resistor ",</v>
      </c>
      <c r="HF12" t="str">
        <f t="shared" si="3"/>
        <v>"cate":"Resistor ",</v>
      </c>
      <c r="HG12" t="str">
        <f t="shared" si="3"/>
        <v>"cate":"Resistor ",</v>
      </c>
      <c r="HH12" t="str">
        <f t="shared" si="3"/>
        <v>"cate":"Var Resistor",</v>
      </c>
      <c r="HI12" t="str">
        <f t="shared" si="3"/>
        <v>"cate":"Var Resistor",</v>
      </c>
      <c r="HJ12" t="str">
        <f t="shared" si="3"/>
        <v>"cate":"Capacitor",</v>
      </c>
      <c r="HK12" t="str">
        <f t="shared" si="3"/>
        <v>"cate":"Resistor ",</v>
      </c>
      <c r="HL12" t="str">
        <f t="shared" si="3"/>
        <v>"cate":"Diode",</v>
      </c>
      <c r="HM12" t="str">
        <f t="shared" si="3"/>
        <v>"cate":"Diode",</v>
      </c>
      <c r="HN12" t="str">
        <f t="shared" si="3"/>
        <v>"cate":"Diode",</v>
      </c>
      <c r="HO12" t="str">
        <f t="shared" si="3"/>
        <v>"cate":"Diode",</v>
      </c>
      <c r="HP12" t="str">
        <f t="shared" si="3"/>
        <v>"cate":"Diode",</v>
      </c>
      <c r="HQ12" t="str">
        <f t="shared" si="3"/>
        <v>"cate":"Resistor ",</v>
      </c>
      <c r="HR12" t="str">
        <f t="shared" si="3"/>
        <v>"cate":"Resistor ",</v>
      </c>
      <c r="HS12" t="str">
        <f t="shared" si="3"/>
        <v>"cate":"Resistor ",</v>
      </c>
      <c r="HT12" t="str">
        <f t="shared" si="3"/>
        <v>"cate":"Resistor ",</v>
      </c>
      <c r="HU12" t="str">
        <f t="shared" si="3"/>
        <v>"cate":"Resistor ",</v>
      </c>
      <c r="HV12" t="str">
        <f t="shared" si="3"/>
        <v>"cate":"Choke Coil",</v>
      </c>
      <c r="HW12" t="str">
        <f t="shared" si="3"/>
        <v>"cate":"Resistor ",</v>
      </c>
      <c r="HX12" t="str">
        <f t="shared" si="3"/>
        <v>"cate":"Resistor ",</v>
      </c>
      <c r="HY12" t="str">
        <f t="shared" si="3"/>
        <v>"cate":"Resistor ",</v>
      </c>
      <c r="HZ12" t="str">
        <f t="shared" si="3"/>
        <v>"cate":"Resistor ",</v>
      </c>
      <c r="IA12" t="str">
        <f t="shared" si="3"/>
        <v>"cate":"Capacitor",</v>
      </c>
      <c r="IB12" t="str">
        <f t="shared" si="3"/>
        <v>"cate":"Capacitor",</v>
      </c>
      <c r="IC12" t="str">
        <f t="shared" si="3"/>
        <v>"cate":"Capacitor",</v>
      </c>
      <c r="ID12" t="str">
        <f t="shared" si="3"/>
        <v>"cate":"Resistor ",</v>
      </c>
      <c r="IE12" t="str">
        <f t="shared" si="3"/>
        <v>"cate":"Resistor ",</v>
      </c>
      <c r="IF12" t="str">
        <f t="shared" si="3"/>
        <v>"cate":"Resistor ",</v>
      </c>
      <c r="IG12" t="str">
        <f t="shared" si="3"/>
        <v>"cate":"Resistor ",</v>
      </c>
      <c r="IH12" t="str">
        <f t="shared" si="3"/>
        <v>"cate":"Resistor ",</v>
      </c>
      <c r="II12" t="str">
        <f t="shared" si="3"/>
        <v>"cate":"Resistor ",</v>
      </c>
      <c r="IJ12" t="str">
        <f t="shared" si="3"/>
        <v>"cate":"Diode",</v>
      </c>
      <c r="IK12" t="str">
        <f t="shared" si="3"/>
        <v>"cate":"Diode",</v>
      </c>
      <c r="IL12" t="str">
        <f t="shared" si="3"/>
        <v>"cate":"Capacitor",</v>
      </c>
      <c r="IM12" t="str">
        <f t="shared" si="3"/>
        <v>"cate":"Capacitor",</v>
      </c>
      <c r="IN12" t="str">
        <f t="shared" si="3"/>
        <v>"cate":"Capacitor",</v>
      </c>
      <c r="IO12" t="str">
        <f t="shared" si="3"/>
        <v>"cate":"Capacitor",</v>
      </c>
      <c r="IP12" t="str">
        <f t="shared" si="3"/>
        <v>"cate":"Resistor ",</v>
      </c>
      <c r="IQ12" t="str">
        <f t="shared" si="3"/>
        <v>"cate":"Resistor ",</v>
      </c>
      <c r="IR12" t="str">
        <f t="shared" si="3"/>
        <v>"cate":"Resistor ",</v>
      </c>
      <c r="IS12" t="str">
        <f t="shared" si="3"/>
        <v>"cate":"Capacitor",</v>
      </c>
      <c r="IT12" t="str">
        <f t="shared" si="3"/>
        <v>"cate":"Capacitor",</v>
      </c>
      <c r="IU12" t="str">
        <f t="shared" si="3"/>
        <v>"cate":"Capacitor",</v>
      </c>
      <c r="IV12" t="str">
        <f t="shared" si="3"/>
        <v>"cate":"ANTENNA",</v>
      </c>
      <c r="IW12" t="str">
        <f t="shared" si="3"/>
        <v>"cate":"FUSE",</v>
      </c>
      <c r="IX12" t="str">
        <f t="shared" si="3"/>
        <v>"cate":"Capacitor",</v>
      </c>
      <c r="IY12" t="str">
        <f t="shared" si="3"/>
        <v>"cate":"Capacitor",</v>
      </c>
      <c r="IZ12" t="str">
        <f t="shared" si="3"/>
        <v>"cate":"Resistor ",</v>
      </c>
      <c r="JA12" t="str">
        <f t="shared" si="3"/>
        <v>"cate":"Resistor ",</v>
      </c>
      <c r="JB12" t="str">
        <f t="shared" si="3"/>
        <v>"cate":"LED ",</v>
      </c>
      <c r="JC12" t="str">
        <f t="shared" si="3"/>
        <v>"cate":"Resistor ",</v>
      </c>
      <c r="JD12" t="str">
        <f t="shared" si="3"/>
        <v>"cate":"Choke Coil",</v>
      </c>
      <c r="JE12" t="str">
        <f t="shared" si="3"/>
        <v>"cate":"Resistor ",</v>
      </c>
      <c r="JF12" t="str">
        <f t="shared" si="3"/>
        <v>"cate":"Resistor ",</v>
      </c>
      <c r="JG12" t="str">
        <f t="shared" si="3"/>
        <v>"cate":"Resistor ",</v>
      </c>
      <c r="JH12" t="str">
        <f t="shared" si="3"/>
        <v>"cate":"LED ",</v>
      </c>
      <c r="JI12" t="str">
        <f t="shared" si="3"/>
        <v>"cate":"LED ",</v>
      </c>
      <c r="JJ12" t="str">
        <f t="shared" ref="JJ12:LU12" si="4">_xlfn.CONCAT("""",$L$6,"""",":","""",JJ6,"""",",")</f>
        <v>"cate":"Resistor ",</v>
      </c>
      <c r="JK12" t="str">
        <f t="shared" si="4"/>
        <v>"cate":"Resistor ",</v>
      </c>
      <c r="JL12" t="str">
        <f t="shared" si="4"/>
        <v>"cate":"Resistor ",</v>
      </c>
      <c r="JM12" t="str">
        <f t="shared" si="4"/>
        <v>"cate":"Resistor ",</v>
      </c>
      <c r="JN12" t="str">
        <f t="shared" si="4"/>
        <v>"cate":"Resistor ",</v>
      </c>
      <c r="JO12" t="str">
        <f t="shared" si="4"/>
        <v>"cate":"Resistor ",</v>
      </c>
      <c r="JP12" t="str">
        <f t="shared" si="4"/>
        <v>"cate":"Resistor ",</v>
      </c>
      <c r="JQ12" t="str">
        <f t="shared" si="4"/>
        <v>"cate":"Resistor ",</v>
      </c>
      <c r="JR12" t="str">
        <f t="shared" si="4"/>
        <v>"cate":"Resistor ",</v>
      </c>
      <c r="JS12" t="str">
        <f t="shared" si="4"/>
        <v>"cate":"Resistor ",</v>
      </c>
      <c r="JT12" t="str">
        <f t="shared" si="4"/>
        <v>"cate":"BATTERY",</v>
      </c>
      <c r="JU12" t="str">
        <f t="shared" si="4"/>
        <v>"cate":"Resistor ",</v>
      </c>
      <c r="JV12" t="str">
        <f t="shared" si="4"/>
        <v>"cate":"SCR ",</v>
      </c>
      <c r="JW12" t="str">
        <f t="shared" si="4"/>
        <v>"cate":"SCR ",</v>
      </c>
      <c r="JX12" t="str">
        <f t="shared" si="4"/>
        <v>"cate":"Capacitor",</v>
      </c>
      <c r="JY12" t="str">
        <f t="shared" si="4"/>
        <v>"cate":"Diode",</v>
      </c>
      <c r="JZ12" t="str">
        <f t="shared" si="4"/>
        <v>"cate":"Capacitor",</v>
      </c>
      <c r="KA12" t="str">
        <f t="shared" si="4"/>
        <v>"cate":"IC",</v>
      </c>
      <c r="KB12" t="str">
        <f t="shared" si="4"/>
        <v>"cate":"IC",</v>
      </c>
      <c r="KC12" t="str">
        <f t="shared" si="4"/>
        <v>"cate":"IC",</v>
      </c>
      <c r="KD12" t="str">
        <f t="shared" si="4"/>
        <v>"cate":"Var Resistor",</v>
      </c>
      <c r="KE12" t="str">
        <f t="shared" si="4"/>
        <v>"cate":"Var Resistor",</v>
      </c>
      <c r="KF12" t="str">
        <f t="shared" si="4"/>
        <v>"cate":"Var Resistor",</v>
      </c>
      <c r="KG12" t="str">
        <f t="shared" si="4"/>
        <v>"cate":"Capacitor",</v>
      </c>
      <c r="KH12" t="str">
        <f t="shared" si="4"/>
        <v>"cate":"Capacitor",</v>
      </c>
      <c r="KI12" t="str">
        <f t="shared" si="4"/>
        <v>"cate":"Resistor ",</v>
      </c>
      <c r="KJ12" t="str">
        <f t="shared" si="4"/>
        <v>"cate":"Transistor",</v>
      </c>
      <c r="KK12" t="str">
        <f t="shared" si="4"/>
        <v>"cate":"Resistor ",</v>
      </c>
      <c r="KL12" t="str">
        <f t="shared" si="4"/>
        <v>"cate":"Resistor ",</v>
      </c>
      <c r="KM12" t="str">
        <f t="shared" si="4"/>
        <v>"cate":"Resistor ",</v>
      </c>
      <c r="KN12" t="str">
        <f t="shared" si="4"/>
        <v>"cate":"Resistor ",</v>
      </c>
      <c r="KO12" t="str">
        <f t="shared" si="4"/>
        <v>"cate":"Capacitor",</v>
      </c>
      <c r="KP12" t="str">
        <f t="shared" si="4"/>
        <v>"cate":"Capacitor",</v>
      </c>
      <c r="KQ12" t="str">
        <f t="shared" si="4"/>
        <v>"cate":"Capacitor",</v>
      </c>
      <c r="KR12" t="str">
        <f t="shared" si="4"/>
        <v>"cate":"Capacitor",</v>
      </c>
      <c r="KS12" t="str">
        <f t="shared" si="4"/>
        <v>"cate":"Resistor ",</v>
      </c>
      <c r="KT12" t="str">
        <f t="shared" si="4"/>
        <v>"cate":"Opto",</v>
      </c>
      <c r="KU12" t="str">
        <f t="shared" si="4"/>
        <v>"cate":"Opto",</v>
      </c>
      <c r="KV12" t="str">
        <f t="shared" si="4"/>
        <v>"cate":"Opto",</v>
      </c>
      <c r="KW12" t="str">
        <f t="shared" si="4"/>
        <v>"cate":"Resistor ",</v>
      </c>
      <c r="KX12" t="str">
        <f t="shared" si="4"/>
        <v>"cate":"Resistor ",</v>
      </c>
      <c r="KY12" t="str">
        <f t="shared" si="4"/>
        <v>"cate":"Diode",</v>
      </c>
      <c r="KZ12" t="str">
        <f t="shared" si="4"/>
        <v>"cate":"Diode",</v>
      </c>
      <c r="LA12" t="str">
        <f t="shared" si="4"/>
        <v>"cate":"Diode",</v>
      </c>
      <c r="LB12" t="str">
        <f t="shared" si="4"/>
        <v>"cate":"Diode",</v>
      </c>
      <c r="LC12" t="str">
        <f t="shared" si="4"/>
        <v>"cate":"Capacitor",</v>
      </c>
      <c r="LD12" t="str">
        <f t="shared" si="4"/>
        <v>"cate":"Capacitor",</v>
      </c>
      <c r="LE12" t="str">
        <f t="shared" si="4"/>
        <v>"cate":"Capacitor",</v>
      </c>
      <c r="LF12" t="str">
        <f t="shared" si="4"/>
        <v>"cate":"Capacitor",</v>
      </c>
      <c r="LG12" t="str">
        <f t="shared" si="4"/>
        <v>"cate":"Capacitor",</v>
      </c>
      <c r="LH12" t="str">
        <f t="shared" si="4"/>
        <v>"cate":"Resistor ",</v>
      </c>
      <c r="LI12" t="str">
        <f t="shared" si="4"/>
        <v>"cate":"Resistor ",</v>
      </c>
      <c r="LJ12" t="str">
        <f t="shared" si="4"/>
        <v>"cate":"Resistor ",</v>
      </c>
      <c r="LK12" t="str">
        <f t="shared" si="4"/>
        <v>"cate":"Capacitor",</v>
      </c>
      <c r="LL12" t="str">
        <f t="shared" si="4"/>
        <v>"cate":"MA-1",</v>
      </c>
      <c r="LM12" t="str">
        <f t="shared" si="4"/>
        <v>"cate":"MA-1",</v>
      </c>
      <c r="LN12" t="str">
        <f t="shared" si="4"/>
        <v>"cate":"MA-1",</v>
      </c>
      <c r="LO12" t="str">
        <f t="shared" si="4"/>
        <v>"cate":"MA-1",</v>
      </c>
      <c r="LP12" t="str">
        <f t="shared" si="4"/>
        <v>"cate":"MA-1",</v>
      </c>
      <c r="LQ12" t="str">
        <f t="shared" si="4"/>
        <v>"cate":"MA-1",</v>
      </c>
      <c r="LR12" t="str">
        <f t="shared" si="4"/>
        <v>"cate":"MA-1",</v>
      </c>
      <c r="LS12" t="str">
        <f t="shared" si="4"/>
        <v>"cate":"MA-1",</v>
      </c>
      <c r="LT12" t="str">
        <f t="shared" si="4"/>
        <v>"cate":"MA-1",</v>
      </c>
      <c r="LU12" t="str">
        <f t="shared" si="4"/>
        <v>"cate":"Resistor ",</v>
      </c>
      <c r="LV12" t="str">
        <f t="shared" ref="LV12:OG12" si="5">_xlfn.CONCAT("""",$L$6,"""",":","""",LV6,"""",",")</f>
        <v>"cate":"Resistor ",</v>
      </c>
      <c r="LW12" t="str">
        <f t="shared" si="5"/>
        <v>"cate":"Resistor ",</v>
      </c>
      <c r="LX12" t="str">
        <f t="shared" si="5"/>
        <v>"cate":"Capacitor",</v>
      </c>
      <c r="LY12" t="str">
        <f t="shared" si="5"/>
        <v>"cate":"Resistor ",</v>
      </c>
      <c r="LZ12" t="str">
        <f t="shared" si="5"/>
        <v>"cate":"Resistor ",</v>
      </c>
      <c r="MA12" t="str">
        <f t="shared" si="5"/>
        <v>"cate":"Resistor ",</v>
      </c>
      <c r="MB12" t="str">
        <f t="shared" si="5"/>
        <v>"cate":"Resistor ",</v>
      </c>
      <c r="MC12" t="str">
        <f t="shared" si="5"/>
        <v>"cate":"Resistor ",</v>
      </c>
      <c r="MD12" t="str">
        <f t="shared" si="5"/>
        <v>"cate":"Resistor ",</v>
      </c>
      <c r="ME12" t="str">
        <f t="shared" si="5"/>
        <v>"cate":"Resistor ",</v>
      </c>
      <c r="MF12" t="str">
        <f t="shared" si="5"/>
        <v>"cate":"Resistor ",</v>
      </c>
      <c r="MG12" t="str">
        <f t="shared" si="5"/>
        <v>"cate":"Resistor ",</v>
      </c>
      <c r="MH12" t="str">
        <f t="shared" si="5"/>
        <v>"cate":"Resistor ",</v>
      </c>
      <c r="MI12" t="str">
        <f t="shared" si="5"/>
        <v>"cate":"POLY",</v>
      </c>
      <c r="MJ12" t="str">
        <f t="shared" si="5"/>
        <v>"cate":"POLY",</v>
      </c>
      <c r="MK12" t="str">
        <f t="shared" si="5"/>
        <v>"cate":"Resistor ",</v>
      </c>
      <c r="ML12" t="str">
        <f t="shared" si="5"/>
        <v>"cate":"Capacitor",</v>
      </c>
      <c r="MM12" t="str">
        <f t="shared" si="5"/>
        <v>"cate":"Resistor ",</v>
      </c>
      <c r="MN12" t="str">
        <f t="shared" si="5"/>
        <v>"cate":"Resistor ",</v>
      </c>
      <c r="MO12" t="str">
        <f t="shared" si="5"/>
        <v>"cate":"Resistor ",</v>
      </c>
      <c r="MP12" t="str">
        <f t="shared" si="5"/>
        <v>"cate":"Resistor ",</v>
      </c>
      <c r="MQ12" t="str">
        <f t="shared" si="5"/>
        <v>"cate":"MA-1",</v>
      </c>
      <c r="MR12" t="str">
        <f t="shared" si="5"/>
        <v>"cate":"MA-1",</v>
      </c>
      <c r="MS12" t="str">
        <f t="shared" si="5"/>
        <v>"cate":"MA-1",</v>
      </c>
      <c r="MT12" t="str">
        <f t="shared" si="5"/>
        <v>"cate":"Resistor ",</v>
      </c>
      <c r="MU12" t="str">
        <f t="shared" si="5"/>
        <v>"cate":"Resistor ",</v>
      </c>
      <c r="MV12" t="str">
        <f t="shared" si="5"/>
        <v>"cate":"Resistor ",</v>
      </c>
      <c r="MW12" t="str">
        <f t="shared" si="5"/>
        <v>"cate":"Resistor ",</v>
      </c>
      <c r="MX12" t="str">
        <f t="shared" si="5"/>
        <v>"cate":"Capacitor",</v>
      </c>
      <c r="MY12" t="str">
        <f t="shared" si="5"/>
        <v>"cate":"Capacitor",</v>
      </c>
      <c r="MZ12" t="str">
        <f t="shared" si="5"/>
        <v>"cate":"Capacitor",</v>
      </c>
      <c r="NA12" t="str">
        <f t="shared" si="5"/>
        <v>"cate":"Resistor ",</v>
      </c>
      <c r="NB12" t="str">
        <f t="shared" si="5"/>
        <v>"cate":"LED ",</v>
      </c>
      <c r="NC12" t="str">
        <f t="shared" si="5"/>
        <v>"cate":"LED ",</v>
      </c>
      <c r="ND12" t="str">
        <f t="shared" si="5"/>
        <v>"cate":"Resistor ",</v>
      </c>
      <c r="NE12" t="str">
        <f t="shared" si="5"/>
        <v>"cate":"Resistor ",</v>
      </c>
      <c r="NF12" t="str">
        <f t="shared" si="5"/>
        <v>"cate":"Resistor ",</v>
      </c>
      <c r="NG12" t="str">
        <f t="shared" si="5"/>
        <v>"cate":"FUSE",</v>
      </c>
      <c r="NH12" t="str">
        <f t="shared" si="5"/>
        <v>"cate":"Diode",</v>
      </c>
      <c r="NI12" t="str">
        <f t="shared" si="5"/>
        <v>"cate":"Diode",</v>
      </c>
      <c r="NJ12" t="str">
        <f t="shared" si="5"/>
        <v>"cate":"Capacitor",</v>
      </c>
      <c r="NK12" t="str">
        <f t="shared" si="5"/>
        <v>"cate":"CNTF",</v>
      </c>
      <c r="NL12" t="str">
        <f t="shared" si="5"/>
        <v>"cate":"Resistor ",</v>
      </c>
      <c r="NM12" t="str">
        <f t="shared" si="5"/>
        <v>"cate":"Resistor ",</v>
      </c>
      <c r="NN12" t="str">
        <f t="shared" si="5"/>
        <v>"cate":"IC",</v>
      </c>
      <c r="NO12" t="str">
        <f t="shared" si="5"/>
        <v>"cate":"IC",</v>
      </c>
      <c r="NP12" t="str">
        <f t="shared" si="5"/>
        <v>"cate":"MOSFET",</v>
      </c>
      <c r="NQ12" t="str">
        <f t="shared" si="5"/>
        <v>"cate":"MOSFET",</v>
      </c>
      <c r="NR12" t="str">
        <f t="shared" si="5"/>
        <v>"cate":"Resistor ",</v>
      </c>
      <c r="NS12" t="str">
        <f t="shared" si="5"/>
        <v>"cate":"Resistor ",</v>
      </c>
      <c r="NT12" t="str">
        <f t="shared" si="5"/>
        <v>"cate":"MA-1",</v>
      </c>
      <c r="NU12" t="str">
        <f t="shared" si="5"/>
        <v>"cate":"MA-1",</v>
      </c>
      <c r="NV12" t="str">
        <f t="shared" si="5"/>
        <v>"cate":"Resistor ",</v>
      </c>
      <c r="NW12" t="str">
        <f t="shared" si="5"/>
        <v>"cate":"Resistor ",</v>
      </c>
      <c r="NX12" t="str">
        <f t="shared" si="5"/>
        <v>"cate":"Resistor ",</v>
      </c>
      <c r="NY12" t="str">
        <f t="shared" si="5"/>
        <v>"cate":"Resistor ",</v>
      </c>
      <c r="NZ12" t="str">
        <f t="shared" si="5"/>
        <v>"cate":"Resistor ",</v>
      </c>
      <c r="OA12" t="str">
        <f t="shared" si="5"/>
        <v>"cate":"Resistor ",</v>
      </c>
      <c r="OB12" t="str">
        <f t="shared" si="5"/>
        <v>"cate":"Resistor ",</v>
      </c>
      <c r="OC12" t="str">
        <f t="shared" si="5"/>
        <v>"cate":"IC",</v>
      </c>
      <c r="OD12" t="str">
        <f t="shared" si="5"/>
        <v>"cate":"IC",</v>
      </c>
      <c r="OE12" t="str">
        <f t="shared" si="5"/>
        <v>"cate":"Resistor ",</v>
      </c>
      <c r="OF12" t="str">
        <f t="shared" si="5"/>
        <v>"cate":"Capacitor",</v>
      </c>
      <c r="OG12" t="str">
        <f t="shared" si="5"/>
        <v>"cate":"Capacitor",</v>
      </c>
      <c r="OH12" t="str">
        <f t="shared" ref="OH12:QS12" si="6">_xlfn.CONCAT("""",$L$6,"""",":","""",OH6,"""",",")</f>
        <v>"cate":"Capacitor",</v>
      </c>
      <c r="OI12" t="str">
        <f t="shared" si="6"/>
        <v>"cate":"Resistor ",</v>
      </c>
      <c r="OJ12" t="str">
        <f t="shared" si="6"/>
        <v>"cate":"Resistor ",</v>
      </c>
      <c r="OK12" t="str">
        <f t="shared" si="6"/>
        <v>"cate":"Resistor ",</v>
      </c>
      <c r="OL12" t="str">
        <f t="shared" si="6"/>
        <v>"cate":"Resistor ",</v>
      </c>
      <c r="OM12" t="str">
        <f t="shared" si="6"/>
        <v>"cate":"MOSFET",</v>
      </c>
      <c r="ON12" t="str">
        <f t="shared" si="6"/>
        <v>"cate":"MOSFET",</v>
      </c>
      <c r="OO12" t="str">
        <f t="shared" si="6"/>
        <v>"cate":"Capacitor",</v>
      </c>
      <c r="OP12" t="str">
        <f t="shared" si="6"/>
        <v>"cate":"Diode",</v>
      </c>
      <c r="OQ12" t="str">
        <f t="shared" si="6"/>
        <v>"cate":"Diode",</v>
      </c>
      <c r="OR12" t="str">
        <f t="shared" si="6"/>
        <v>"cate":"Resistor ",</v>
      </c>
      <c r="OS12" t="str">
        <f t="shared" si="6"/>
        <v>"cate":"Resistor ",</v>
      </c>
      <c r="OT12" t="str">
        <f t="shared" si="6"/>
        <v>"cate":"Resistor ",</v>
      </c>
      <c r="OU12" t="str">
        <f t="shared" si="6"/>
        <v>"cate":"Resistor ",</v>
      </c>
      <c r="OV12" t="str">
        <f t="shared" si="6"/>
        <v>"cate":"Capacitor",</v>
      </c>
      <c r="OW12" t="str">
        <f t="shared" si="6"/>
        <v>"cate":"Capacitor",</v>
      </c>
      <c r="OX12" t="str">
        <f t="shared" si="6"/>
        <v>"cate":"Capacitor",</v>
      </c>
      <c r="OY12" t="str">
        <f t="shared" si="6"/>
        <v>"cate":"Resistor ",</v>
      </c>
      <c r="OZ12" t="str">
        <f t="shared" si="6"/>
        <v>"cate":"Resistor ",</v>
      </c>
      <c r="PA12" t="str">
        <f t="shared" si="6"/>
        <v>"cate":"Capacitor",</v>
      </c>
      <c r="PB12" t="str">
        <f t="shared" si="6"/>
        <v>"cate":"Resistor ",</v>
      </c>
      <c r="PC12" t="str">
        <f t="shared" si="6"/>
        <v>"cate":"Resistor ",</v>
      </c>
      <c r="PD12" t="str">
        <f t="shared" si="6"/>
        <v>"cate":"CG21",</v>
      </c>
      <c r="PE12" t="str">
        <f t="shared" si="6"/>
        <v>"cate":"CG21",</v>
      </c>
      <c r="PF12" t="str">
        <f t="shared" si="6"/>
        <v>"cate":"Capacitor",</v>
      </c>
      <c r="PG12" t="str">
        <f t="shared" si="6"/>
        <v>"cate":"Capacitor",</v>
      </c>
      <c r="PH12" t="str">
        <f t="shared" si="6"/>
        <v>"cate":"Capacitor",</v>
      </c>
      <c r="PI12" t="str">
        <f t="shared" si="6"/>
        <v>"cate":"Resistor ",</v>
      </c>
      <c r="PJ12" t="str">
        <f t="shared" si="6"/>
        <v>"cate":"Resistor ",</v>
      </c>
      <c r="PK12" t="str">
        <f t="shared" si="6"/>
        <v>"cate":"Capacitor",</v>
      </c>
      <c r="PL12" t="str">
        <f t="shared" si="6"/>
        <v>"cate":"Capacitor",</v>
      </c>
      <c r="PM12" t="str">
        <f t="shared" si="6"/>
        <v>"cate":"Capacitor",</v>
      </c>
      <c r="PN12" t="str">
        <f t="shared" si="6"/>
        <v>"cate":"Diode",</v>
      </c>
      <c r="PO12" t="str">
        <f t="shared" si="6"/>
        <v>"cate":"Diode",</v>
      </c>
      <c r="PP12" t="str">
        <f t="shared" si="6"/>
        <v>"cate":"Diode",</v>
      </c>
      <c r="PQ12" t="str">
        <f t="shared" si="6"/>
        <v>"cate":"Capacitor",</v>
      </c>
      <c r="PR12" t="str">
        <f t="shared" si="6"/>
        <v>"cate":"Capacitor",</v>
      </c>
      <c r="PS12" t="str">
        <f t="shared" si="6"/>
        <v>"cate":"Resistor ",</v>
      </c>
      <c r="PT12" t="str">
        <f t="shared" si="6"/>
        <v>"cate":"Resistor ",</v>
      </c>
      <c r="PU12" t="str">
        <f t="shared" si="6"/>
        <v>"cate":"Resistor ",</v>
      </c>
      <c r="PV12" t="str">
        <f t="shared" si="6"/>
        <v>"cate":"Resistor ",</v>
      </c>
      <c r="PW12" t="str">
        <f t="shared" si="6"/>
        <v>"cate":"Capacitor",</v>
      </c>
      <c r="PX12" t="str">
        <f t="shared" si="6"/>
        <v>"cate":"Capacitor",</v>
      </c>
      <c r="PY12" t="str">
        <f t="shared" si="6"/>
        <v>"cate":"Diode",</v>
      </c>
      <c r="PZ12" t="str">
        <f t="shared" si="6"/>
        <v>"cate":"MA-1",</v>
      </c>
      <c r="QA12" t="str">
        <f t="shared" si="6"/>
        <v>"cate":"MA-1",</v>
      </c>
      <c r="QB12" t="str">
        <f t="shared" si="6"/>
        <v>"cate":"MA-1",</v>
      </c>
      <c r="QC12" t="str">
        <f t="shared" si="6"/>
        <v>"cate":"MA-1",</v>
      </c>
      <c r="QD12" t="str">
        <f t="shared" si="6"/>
        <v>"cate":"Resistor ",</v>
      </c>
      <c r="QE12" t="str">
        <f t="shared" si="6"/>
        <v>"cate":"Resistor ",</v>
      </c>
      <c r="QF12" t="str">
        <f t="shared" si="6"/>
        <v>"cate":"Resistor ",</v>
      </c>
      <c r="QG12" t="str">
        <f t="shared" si="6"/>
        <v>"cate":"Resistor ",</v>
      </c>
      <c r="QH12" t="str">
        <f t="shared" si="6"/>
        <v>"cate":"FUSE",</v>
      </c>
      <c r="QI12" t="str">
        <f t="shared" si="6"/>
        <v>"cate":"FUSE",</v>
      </c>
      <c r="QJ12" t="str">
        <f t="shared" si="6"/>
        <v>"cate":"MA-1",</v>
      </c>
      <c r="QK12" t="str">
        <f t="shared" si="6"/>
        <v>"cate":"MA-1",</v>
      </c>
      <c r="QL12" t="str">
        <f t="shared" si="6"/>
        <v>"cate":"Resistor ",</v>
      </c>
      <c r="QM12" t="str">
        <f t="shared" si="6"/>
        <v>"cate":"Capacitor",</v>
      </c>
      <c r="QN12" t="str">
        <f t="shared" si="6"/>
        <v>"cate":"Capacitor",</v>
      </c>
      <c r="QO12" t="str">
        <f t="shared" si="6"/>
        <v>"cate":"Resistor ",</v>
      </c>
      <c r="QP12" t="str">
        <f t="shared" si="6"/>
        <v>"cate":"Capacitor",</v>
      </c>
      <c r="QQ12" t="str">
        <f t="shared" si="6"/>
        <v>"cate":"Capacitor",</v>
      </c>
      <c r="QR12" t="str">
        <f t="shared" si="6"/>
        <v>"cate":"IND ",</v>
      </c>
      <c r="QS12" t="str">
        <f t="shared" si="6"/>
        <v>"cate":"FUSE",</v>
      </c>
      <c r="QT12" t="str">
        <f t="shared" ref="QT12:TE12" si="7">_xlfn.CONCAT("""",$L$6,"""",":","""",QT6,"""",",")</f>
        <v>"cate":"Choke Coil",</v>
      </c>
      <c r="QU12" t="str">
        <f t="shared" si="7"/>
        <v>"cate":"Diode",</v>
      </c>
      <c r="QV12" t="str">
        <f t="shared" si="7"/>
        <v>"cate":"Diode",</v>
      </c>
      <c r="QW12" t="str">
        <f t="shared" si="7"/>
        <v>"cate":"Diode",</v>
      </c>
      <c r="QX12" t="str">
        <f t="shared" si="7"/>
        <v>"cate":"Diode",</v>
      </c>
      <c r="QY12" t="str">
        <f t="shared" si="7"/>
        <v>"cate":"Diode",</v>
      </c>
      <c r="QZ12" t="str">
        <f t="shared" si="7"/>
        <v>"cate":"Diode",</v>
      </c>
      <c r="RA12" t="str">
        <f t="shared" si="7"/>
        <v>"cate":"Diode",</v>
      </c>
      <c r="RB12" t="str">
        <f t="shared" si="7"/>
        <v>"cate":"Resistor ",</v>
      </c>
      <c r="RC12" t="str">
        <f t="shared" si="7"/>
        <v>"cate":"Resistor ",</v>
      </c>
      <c r="RD12" t="str">
        <f t="shared" si="7"/>
        <v>"cate":"Resistor ",</v>
      </c>
      <c r="RE12" t="str">
        <f t="shared" si="7"/>
        <v>"cate":"IC",</v>
      </c>
      <c r="RF12" t="str">
        <f t="shared" si="7"/>
        <v>"cate":"Resistor ",</v>
      </c>
      <c r="RG12" t="str">
        <f t="shared" si="7"/>
        <v>"cate":"Resistor ",</v>
      </c>
      <c r="RH12" t="str">
        <f t="shared" si="7"/>
        <v>"cate":"Resistor ",</v>
      </c>
      <c r="RI12" t="str">
        <f t="shared" si="7"/>
        <v>"cate":"0043",</v>
      </c>
      <c r="RJ12" t="str">
        <f t="shared" si="7"/>
        <v>"cate":"0043",</v>
      </c>
      <c r="RK12" t="str">
        <f t="shared" si="7"/>
        <v>"cate":"CTM ",</v>
      </c>
      <c r="RL12" t="str">
        <f t="shared" si="7"/>
        <v>"cate":"Diode",</v>
      </c>
      <c r="RM12" t="str">
        <f t="shared" si="7"/>
        <v>"cate":"Resistor ",</v>
      </c>
      <c r="RN12" t="str">
        <f t="shared" si="7"/>
        <v>"cate":"Resistor ",</v>
      </c>
      <c r="RO12" t="str">
        <f t="shared" si="7"/>
        <v>"cate":"Resistor ",</v>
      </c>
      <c r="RP12" t="str">
        <f t="shared" si="7"/>
        <v>"cate":"PIN ",</v>
      </c>
      <c r="RQ12" t="str">
        <f t="shared" si="7"/>
        <v>"cate":"Resistor ",</v>
      </c>
      <c r="RR12" t="str">
        <f t="shared" si="7"/>
        <v>"cate":"Resistor ",</v>
      </c>
      <c r="RS12" t="str">
        <f t="shared" si="7"/>
        <v>"cate":"Resistor ",</v>
      </c>
      <c r="RT12" t="str">
        <f t="shared" si="7"/>
        <v>"cate":"EMI ",</v>
      </c>
      <c r="RU12" t="str">
        <f t="shared" si="7"/>
        <v>"cate":"Resistor ",</v>
      </c>
      <c r="RV12" t="str">
        <f t="shared" si="7"/>
        <v>"cate":"Resistor ",</v>
      </c>
      <c r="RW12" t="str">
        <f t="shared" si="7"/>
        <v>"cate":"Resistor ",</v>
      </c>
      <c r="RX12" t="str">
        <f t="shared" si="7"/>
        <v>"cate":"Resistor ",</v>
      </c>
      <c r="RY12" t="str">
        <f t="shared" si="7"/>
        <v>"cate":"Terminal",</v>
      </c>
      <c r="RZ12" t="str">
        <f t="shared" si="7"/>
        <v>"cate":"Terminal",</v>
      </c>
      <c r="SA12" t="str">
        <f t="shared" si="7"/>
        <v>"cate":"Terminal",</v>
      </c>
      <c r="SB12" t="str">
        <f t="shared" si="7"/>
        <v>"cate":"CONT",</v>
      </c>
      <c r="SC12" t="str">
        <f t="shared" si="7"/>
        <v>"cate":"Diode",</v>
      </c>
      <c r="SD12" t="str">
        <f t="shared" si="7"/>
        <v>"cate":"Diode",</v>
      </c>
      <c r="SE12" t="str">
        <f t="shared" si="7"/>
        <v>"cate":"Diode",</v>
      </c>
      <c r="SF12" t="str">
        <f t="shared" si="7"/>
        <v>"cate":"Resistor ",</v>
      </c>
      <c r="SG12" t="str">
        <f t="shared" si="7"/>
        <v>"cate":"Resistor ",</v>
      </c>
      <c r="SH12" t="str">
        <f t="shared" si="7"/>
        <v>"cate":"Resistor ",</v>
      </c>
      <c r="SI12" t="str">
        <f t="shared" si="7"/>
        <v>"cate":"XTAL",</v>
      </c>
      <c r="SJ12" t="str">
        <f t="shared" si="7"/>
        <v>"cate":"Resistor ",</v>
      </c>
      <c r="SK12" t="str">
        <f t="shared" si="7"/>
        <v>"cate":"Resistor ",</v>
      </c>
      <c r="SL12" t="str">
        <f t="shared" si="7"/>
        <v>"cate":"Resistor ",</v>
      </c>
      <c r="SM12" t="str">
        <f t="shared" si="7"/>
        <v>"cate":"Capacitor",</v>
      </c>
      <c r="SN12" t="str">
        <f t="shared" si="7"/>
        <v>"cate":"MA-1",</v>
      </c>
      <c r="SO12" t="str">
        <f t="shared" si="7"/>
        <v>"cate":"MA-1",</v>
      </c>
      <c r="SP12" t="str">
        <f t="shared" si="7"/>
        <v>"cate":"MA-1",</v>
      </c>
      <c r="SQ12" t="str">
        <f t="shared" si="7"/>
        <v>"cate":"MA-1",</v>
      </c>
      <c r="SR12" t="str">
        <f t="shared" si="7"/>
        <v>"cate":"MA-1",</v>
      </c>
      <c r="SS12" t="str">
        <f t="shared" si="7"/>
        <v>"cate":"Capacitor",</v>
      </c>
      <c r="ST12" t="str">
        <f t="shared" si="7"/>
        <v>"cate":"FUSE",</v>
      </c>
      <c r="SU12" t="str">
        <f t="shared" si="7"/>
        <v>"cate":"Resistor ",</v>
      </c>
      <c r="SV12" t="str">
        <f t="shared" si="7"/>
        <v>"cate":"Resistor ",</v>
      </c>
      <c r="SW12" t="str">
        <f t="shared" si="7"/>
        <v>"cate":"Resistor ",</v>
      </c>
      <c r="SX12" t="str">
        <f t="shared" si="7"/>
        <v>"cate":"Capacitor",</v>
      </c>
      <c r="SY12" t="str">
        <f t="shared" si="7"/>
        <v>"cate":"Capacitor",</v>
      </c>
      <c r="SZ12" t="str">
        <f t="shared" si="7"/>
        <v>"cate":"Resistor ",</v>
      </c>
      <c r="TA12" t="str">
        <f t="shared" si="7"/>
        <v>"cate":"Resistor ",</v>
      </c>
      <c r="TB12" t="str">
        <f t="shared" si="7"/>
        <v>"cate":"Resistor ",</v>
      </c>
      <c r="TC12" t="str">
        <f t="shared" si="7"/>
        <v>"cate":"Resistor ",</v>
      </c>
      <c r="TD12" t="str">
        <f t="shared" si="7"/>
        <v>"cate":"Resistor ",</v>
      </c>
      <c r="TE12" t="str">
        <f t="shared" si="7"/>
        <v>"cate":"Resistor ",</v>
      </c>
      <c r="TF12" t="str">
        <f t="shared" ref="TF12:VQ12" si="8">_xlfn.CONCAT("""",$L$6,"""",":","""",TF6,"""",",")</f>
        <v>"cate":"Resistor ",</v>
      </c>
      <c r="TG12" t="str">
        <f t="shared" si="8"/>
        <v>"cate":"Resistor ",</v>
      </c>
      <c r="TH12" t="str">
        <f t="shared" si="8"/>
        <v>"cate":"Resistor ",</v>
      </c>
      <c r="TI12" t="str">
        <f t="shared" si="8"/>
        <v>"cate":"IND ",</v>
      </c>
      <c r="TJ12" t="str">
        <f t="shared" si="8"/>
        <v>"cate":"Resistor ",</v>
      </c>
      <c r="TK12" t="str">
        <f t="shared" si="8"/>
        <v>"cate":"Resistor ",</v>
      </c>
      <c r="TL12" t="str">
        <f t="shared" si="8"/>
        <v>"cate":"Resistor ",</v>
      </c>
      <c r="TM12" t="str">
        <f t="shared" si="8"/>
        <v>"cate":"Resistor ",</v>
      </c>
      <c r="TN12" t="str">
        <f t="shared" si="8"/>
        <v>"cate":"Resistor ",</v>
      </c>
      <c r="TO12" t="str">
        <f t="shared" si="8"/>
        <v>"cate":"Resistor ",</v>
      </c>
      <c r="TP12" t="str">
        <f t="shared" si="8"/>
        <v>"cate":"Resistor ",</v>
      </c>
      <c r="TQ12" t="str">
        <f t="shared" si="8"/>
        <v>"cate":"Resistor ",</v>
      </c>
      <c r="TR12" t="str">
        <f t="shared" si="8"/>
        <v>"cate":"Resistor ",</v>
      </c>
      <c r="TS12" t="str">
        <f t="shared" si="8"/>
        <v>"cate":"Resistor ",</v>
      </c>
      <c r="TT12" t="str">
        <f t="shared" si="8"/>
        <v>"cate":"Capacitor",</v>
      </c>
      <c r="TU12" t="str">
        <f t="shared" si="8"/>
        <v>"cate":"Resistor ",</v>
      </c>
      <c r="TV12" t="str">
        <f t="shared" si="8"/>
        <v>"cate":"Resistor ",</v>
      </c>
      <c r="TW12" t="str">
        <f t="shared" si="8"/>
        <v>"cate":"Resistor ",</v>
      </c>
      <c r="TX12" t="str">
        <f t="shared" si="8"/>
        <v>"cate":"Resistor ",</v>
      </c>
      <c r="TY12" t="str">
        <f t="shared" si="8"/>
        <v>"cate":"LED ",</v>
      </c>
      <c r="TZ12" t="str">
        <f t="shared" si="8"/>
        <v>"cate":"LED ",</v>
      </c>
      <c r="UA12" t="str">
        <f t="shared" si="8"/>
        <v>"cate":"IND ",</v>
      </c>
      <c r="UB12" t="str">
        <f t="shared" si="8"/>
        <v>"cate":"Resistor ",</v>
      </c>
      <c r="UC12" t="str">
        <f t="shared" si="8"/>
        <v>"cate":"Resistor ",</v>
      </c>
      <c r="UD12" t="str">
        <f t="shared" si="8"/>
        <v>"cate":"Resistor ",</v>
      </c>
      <c r="UE12" t="str">
        <f t="shared" si="8"/>
        <v>"cate":"Resistor ",</v>
      </c>
      <c r="UF12" t="str">
        <f t="shared" si="8"/>
        <v>"cate":"Resistor ",</v>
      </c>
      <c r="UG12" t="str">
        <f t="shared" si="8"/>
        <v>"cate":"Resistor ",</v>
      </c>
      <c r="UH12" t="str">
        <f t="shared" si="8"/>
        <v>"cate":"Resistor ",</v>
      </c>
      <c r="UI12" t="str">
        <f t="shared" si="8"/>
        <v>"cate":"Resistor ",</v>
      </c>
      <c r="UJ12" t="str">
        <f t="shared" si="8"/>
        <v>"cate":"Capacitor",</v>
      </c>
      <c r="UK12" t="str">
        <f t="shared" si="8"/>
        <v>"cate":"Resistor ",</v>
      </c>
      <c r="UL12" t="str">
        <f t="shared" si="8"/>
        <v>"cate":"Resistor ",</v>
      </c>
      <c r="UM12" t="str">
        <f t="shared" si="8"/>
        <v>"cate":"Resistor ",</v>
      </c>
      <c r="UN12" t="str">
        <f t="shared" si="8"/>
        <v>"cate":"Diode",</v>
      </c>
      <c r="UO12" t="str">
        <f t="shared" si="8"/>
        <v>"cate":"Resistor ",</v>
      </c>
      <c r="UP12" t="str">
        <f t="shared" si="8"/>
        <v>"cate":"IC",</v>
      </c>
      <c r="UQ12" t="str">
        <f t="shared" si="8"/>
        <v>"cate":"IC",</v>
      </c>
      <c r="UR12" t="str">
        <f t="shared" si="8"/>
        <v>"cate":"Capacitor",</v>
      </c>
      <c r="US12" t="str">
        <f t="shared" si="8"/>
        <v>"cate":"MOSFET",</v>
      </c>
      <c r="UT12" t="str">
        <f t="shared" si="8"/>
        <v>"cate":"MOSFET",</v>
      </c>
      <c r="UU12" t="str">
        <f t="shared" si="8"/>
        <v>"cate":"MOSFET",</v>
      </c>
      <c r="UV12" t="str">
        <f t="shared" si="8"/>
        <v>"cate":"CNTF",</v>
      </c>
      <c r="UW12" t="str">
        <f t="shared" si="8"/>
        <v>"cate":"LED ",</v>
      </c>
      <c r="UX12" t="str">
        <f t="shared" si="8"/>
        <v>"cate":"LED ",</v>
      </c>
      <c r="UY12" t="str">
        <f t="shared" si="8"/>
        <v>"cate":"Resistor ",</v>
      </c>
      <c r="UZ12" t="str">
        <f t="shared" si="8"/>
        <v>"cate":"Capacitor",</v>
      </c>
      <c r="VA12" t="str">
        <f t="shared" si="8"/>
        <v>"cate":"MOSFET",</v>
      </c>
      <c r="VB12" t="str">
        <f t="shared" si="8"/>
        <v>"cate":"MOSFET",</v>
      </c>
      <c r="VC12" t="str">
        <f t="shared" si="8"/>
        <v>"cate":"MOSFET",</v>
      </c>
      <c r="VD12" t="str">
        <f t="shared" si="8"/>
        <v>"cate":"Capacitor",</v>
      </c>
      <c r="VE12" t="str">
        <f t="shared" si="8"/>
        <v>"cate":"LED ",</v>
      </c>
      <c r="VF12" t="str">
        <f t="shared" si="8"/>
        <v>"cate":"LED ",</v>
      </c>
      <c r="VG12" t="str">
        <f t="shared" si="8"/>
        <v>"cate":"LED ",</v>
      </c>
      <c r="VH12" t="str">
        <f t="shared" si="8"/>
        <v>"cate":"LED ",</v>
      </c>
      <c r="VI12" t="str">
        <f t="shared" si="8"/>
        <v>"cate":"LED ",</v>
      </c>
      <c r="VJ12" t="str">
        <f t="shared" si="8"/>
        <v>"cate":"LED ",</v>
      </c>
      <c r="VK12" t="str">
        <f t="shared" si="8"/>
        <v>"cate":"LED ",</v>
      </c>
      <c r="VL12" t="str">
        <f t="shared" si="8"/>
        <v>"cate":"LED ",</v>
      </c>
      <c r="VM12" t="str">
        <f t="shared" si="8"/>
        <v>"cate":"Resistor ",</v>
      </c>
      <c r="VN12" t="str">
        <f t="shared" si="8"/>
        <v>"cate":"Resistor ",</v>
      </c>
      <c r="VO12" t="str">
        <f t="shared" si="8"/>
        <v>"cate":"Resistor ",</v>
      </c>
      <c r="VP12" t="str">
        <f t="shared" si="8"/>
        <v>"cate":"Resistor ",</v>
      </c>
      <c r="VQ12" t="str">
        <f t="shared" si="8"/>
        <v>"cate":"Resistor ",</v>
      </c>
      <c r="VR12" t="str">
        <f t="shared" ref="VR12:YC12" si="9">_xlfn.CONCAT("""",$L$6,"""",":","""",VR6,"""",",")</f>
        <v>"cate":"IC",</v>
      </c>
      <c r="VS12" t="str">
        <f t="shared" si="9"/>
        <v>"cate":"IC",</v>
      </c>
      <c r="VT12" t="str">
        <f t="shared" si="9"/>
        <v>"cate":"IC",</v>
      </c>
      <c r="VU12" t="str">
        <f t="shared" si="9"/>
        <v>"cate":"Diode",</v>
      </c>
      <c r="VV12" t="str">
        <f t="shared" si="9"/>
        <v>"cate":"Resistor ",</v>
      </c>
      <c r="VW12" t="str">
        <f t="shared" si="9"/>
        <v>"cate":"Capacitor",</v>
      </c>
      <c r="VX12" t="str">
        <f t="shared" si="9"/>
        <v>"cate":"Capacitor",</v>
      </c>
      <c r="VY12" t="str">
        <f t="shared" si="9"/>
        <v>"cate":"Resistor ",</v>
      </c>
      <c r="VZ12" t="str">
        <f t="shared" si="9"/>
        <v>"cate":"Resistor ",</v>
      </c>
      <c r="WA12" t="str">
        <f t="shared" si="9"/>
        <v>"cate":"Resistor ",</v>
      </c>
      <c r="WB12" t="str">
        <f t="shared" si="9"/>
        <v>"cate":"Resistor ",</v>
      </c>
      <c r="WC12" t="str">
        <f t="shared" si="9"/>
        <v>"cate":"Diode",</v>
      </c>
      <c r="WD12" t="str">
        <f t="shared" si="9"/>
        <v>"cate":"Resistor ",</v>
      </c>
      <c r="WE12" t="str">
        <f t="shared" si="9"/>
        <v>"cate":"Resistor ",</v>
      </c>
      <c r="WF12" t="str">
        <f t="shared" si="9"/>
        <v>"cate":"Resistor ",</v>
      </c>
      <c r="WG12" t="str">
        <f t="shared" si="9"/>
        <v>"cate":"Resistor ",</v>
      </c>
      <c r="WH12" t="str">
        <f t="shared" si="9"/>
        <v>"cate":"08-5",</v>
      </c>
      <c r="WI12" t="str">
        <f t="shared" si="9"/>
        <v>"cate":"08-5",</v>
      </c>
      <c r="WJ12" t="str">
        <f t="shared" si="9"/>
        <v>"cate":"08-5",</v>
      </c>
      <c r="WK12" t="str">
        <f t="shared" si="9"/>
        <v>"cate":"08-5",</v>
      </c>
      <c r="WL12" t="str">
        <f t="shared" si="9"/>
        <v>"cate":"Diode",</v>
      </c>
      <c r="WM12" t="str">
        <f t="shared" si="9"/>
        <v>"cate":"Diode",</v>
      </c>
      <c r="WN12" t="str">
        <f t="shared" si="9"/>
        <v>"cate":"Resistor ",</v>
      </c>
      <c r="WO12" t="str">
        <f t="shared" si="9"/>
        <v>"cate":"Capacitor",</v>
      </c>
      <c r="WP12" t="str">
        <f t="shared" si="9"/>
        <v>"cate":"Capacitor",</v>
      </c>
      <c r="WQ12" t="str">
        <f t="shared" si="9"/>
        <v>"cate":"Capacitor",</v>
      </c>
      <c r="WR12" t="str">
        <f t="shared" si="9"/>
        <v>"cate":"Resistor ",</v>
      </c>
      <c r="WS12" t="str">
        <f t="shared" si="9"/>
        <v>"cate":"Resistor ",</v>
      </c>
      <c r="WT12" t="str">
        <f t="shared" si="9"/>
        <v>"cate":"Resistor ",</v>
      </c>
      <c r="WU12" t="str">
        <f t="shared" si="9"/>
        <v>"cate":"Resistor ",</v>
      </c>
      <c r="WV12" t="str">
        <f t="shared" si="9"/>
        <v>"cate":"Resistor ",</v>
      </c>
      <c r="WW12" t="str">
        <f t="shared" si="9"/>
        <v>"cate":"Resistor ",</v>
      </c>
      <c r="WX12" t="str">
        <f t="shared" si="9"/>
        <v>"cate":"Resistor ",</v>
      </c>
      <c r="WY12" t="str">
        <f t="shared" si="9"/>
        <v>"cate":"Resistor ",</v>
      </c>
      <c r="WZ12" t="str">
        <f t="shared" si="9"/>
        <v>"cate":"Resistor ",</v>
      </c>
      <c r="XA12" t="str">
        <f t="shared" si="9"/>
        <v>"cate":"Resistor ",</v>
      </c>
      <c r="XB12" t="str">
        <f t="shared" si="9"/>
        <v>"cate":"IC",</v>
      </c>
      <c r="XC12" t="str">
        <f t="shared" si="9"/>
        <v>"cate":"IC",</v>
      </c>
      <c r="XD12" t="str">
        <f t="shared" si="9"/>
        <v>"cate":"IC",</v>
      </c>
      <c r="XE12" t="str">
        <f t="shared" si="9"/>
        <v>"cate":"Resistor ",</v>
      </c>
      <c r="XF12" t="str">
        <f t="shared" si="9"/>
        <v>"cate":"MA-1",</v>
      </c>
      <c r="XG12" t="str">
        <f t="shared" si="9"/>
        <v>"cate":"MA-1",</v>
      </c>
      <c r="XH12" t="str">
        <f t="shared" si="9"/>
        <v>"cate":"MA-1",</v>
      </c>
      <c r="XI12" t="str">
        <f t="shared" si="9"/>
        <v>"cate":"Capacitor",</v>
      </c>
      <c r="XJ12" t="str">
        <f t="shared" si="9"/>
        <v>"cate":"Capacitor",</v>
      </c>
      <c r="XK12" t="str">
        <f t="shared" si="9"/>
        <v>"cate":"Resistor ",</v>
      </c>
      <c r="XL12" t="str">
        <f t="shared" si="9"/>
        <v>"cate":"Diode",</v>
      </c>
      <c r="XM12" t="str">
        <f t="shared" si="9"/>
        <v>"cate":"Diode",</v>
      </c>
      <c r="XN12" t="str">
        <f t="shared" si="9"/>
        <v>"cate":"Diode",</v>
      </c>
      <c r="XO12" t="str">
        <f t="shared" si="9"/>
        <v>"cate":"Diode",</v>
      </c>
      <c r="XP12" t="str">
        <f t="shared" si="9"/>
        <v>"cate":"Capacitor",</v>
      </c>
      <c r="XQ12" t="str">
        <f t="shared" si="9"/>
        <v>"cate":"IND ",</v>
      </c>
      <c r="XR12" t="str">
        <f t="shared" si="9"/>
        <v>"cate":"IND ",</v>
      </c>
      <c r="XS12" t="str">
        <f t="shared" si="9"/>
        <v>"cate":"IND ",</v>
      </c>
      <c r="XT12" t="str">
        <f t="shared" si="9"/>
        <v>"cate":"Resistor ",</v>
      </c>
      <c r="XU12" t="str">
        <f t="shared" si="9"/>
        <v>"cate":"Capacitor",</v>
      </c>
      <c r="XV12" t="str">
        <f t="shared" si="9"/>
        <v>"cate":"Capacitor",</v>
      </c>
      <c r="XW12" t="str">
        <f t="shared" si="9"/>
        <v>"cate":"Capacitor",</v>
      </c>
      <c r="XX12" t="str">
        <f t="shared" si="9"/>
        <v>"cate":"Resistor ",</v>
      </c>
      <c r="XY12" t="str">
        <f t="shared" si="9"/>
        <v>"cate":"Resistor ",</v>
      </c>
      <c r="XZ12" t="str">
        <f t="shared" si="9"/>
        <v>"cate":"Resistor ",</v>
      </c>
      <c r="YA12" t="str">
        <f t="shared" si="9"/>
        <v>"cate":"Resistor ",</v>
      </c>
      <c r="YB12" t="str">
        <f t="shared" si="9"/>
        <v>"cate":"Resistor ",</v>
      </c>
      <c r="YC12" t="str">
        <f t="shared" si="9"/>
        <v>"cate":"Resistor ",</v>
      </c>
      <c r="YD12" t="str">
        <f t="shared" ref="YD12:AAO12" si="10">_xlfn.CONCAT("""",$L$6,"""",":","""",YD6,"""",",")</f>
        <v>"cate":"Resistor ",</v>
      </c>
      <c r="YE12" t="str">
        <f t="shared" si="10"/>
        <v>"cate":"Resistor ",</v>
      </c>
      <c r="YF12" t="str">
        <f t="shared" si="10"/>
        <v>"cate":"Resistor ",</v>
      </c>
      <c r="YG12" t="str">
        <f t="shared" si="10"/>
        <v>"cate":"Resistor ",</v>
      </c>
      <c r="YH12" t="str">
        <f t="shared" si="10"/>
        <v>"cate":"Resistor ",</v>
      </c>
      <c r="YI12" t="str">
        <f t="shared" si="10"/>
        <v>"cate":"MA-1",</v>
      </c>
      <c r="YJ12" t="str">
        <f t="shared" si="10"/>
        <v>"cate":"MA-1",</v>
      </c>
      <c r="YK12" t="str">
        <f t="shared" si="10"/>
        <v>"cate":"MA-1",</v>
      </c>
      <c r="YL12" t="str">
        <f t="shared" si="10"/>
        <v>"cate":"MA-1",</v>
      </c>
      <c r="YM12" t="str">
        <f t="shared" si="10"/>
        <v>"cate":"MA-1",</v>
      </c>
      <c r="YN12" t="str">
        <f t="shared" si="10"/>
        <v>"cate":"MA-1",</v>
      </c>
      <c r="YO12" t="str">
        <f t="shared" si="10"/>
        <v>"cate":"MA-1",</v>
      </c>
      <c r="YP12" t="str">
        <f t="shared" si="10"/>
        <v>"cate":"MA-1",</v>
      </c>
      <c r="YQ12" t="str">
        <f t="shared" si="10"/>
        <v>"cate":"MA-1",</v>
      </c>
      <c r="YR12" t="str">
        <f t="shared" si="10"/>
        <v>"cate":"MA-1",</v>
      </c>
      <c r="YS12" t="str">
        <f t="shared" si="10"/>
        <v>"cate":"Resistor ",</v>
      </c>
      <c r="YT12" t="str">
        <f t="shared" si="10"/>
        <v>"cate":"MA-1",</v>
      </c>
      <c r="YU12" t="str">
        <f t="shared" si="10"/>
        <v>"cate":"MA-1",</v>
      </c>
      <c r="YV12" t="str">
        <f t="shared" si="10"/>
        <v>"cate":"FUSE",</v>
      </c>
      <c r="YW12" t="str">
        <f t="shared" si="10"/>
        <v>"cate":"Diode",</v>
      </c>
      <c r="YX12" t="str">
        <f t="shared" si="10"/>
        <v>"cate":"Resistor ",</v>
      </c>
      <c r="YY12" t="str">
        <f t="shared" si="10"/>
        <v>"cate":"Resistor ",</v>
      </c>
      <c r="YZ12" t="str">
        <f t="shared" si="10"/>
        <v>"cate":"Resistor ",</v>
      </c>
      <c r="ZA12" t="str">
        <f t="shared" si="10"/>
        <v>"cate":"Diode",</v>
      </c>
      <c r="ZB12" t="str">
        <f t="shared" si="10"/>
        <v>"cate":"Resistor ",</v>
      </c>
      <c r="ZC12" t="str">
        <f t="shared" si="10"/>
        <v>"cate":"Resistor ",</v>
      </c>
      <c r="ZD12" t="str">
        <f t="shared" si="10"/>
        <v>"cate":"Resistor ",</v>
      </c>
      <c r="ZE12" t="str">
        <f t="shared" si="10"/>
        <v>"cate":"HEAD",</v>
      </c>
      <c r="ZF12" t="str">
        <f t="shared" si="10"/>
        <v>"cate":"IC",</v>
      </c>
      <c r="ZG12" t="str">
        <f t="shared" si="10"/>
        <v>"cate":"IC",</v>
      </c>
      <c r="ZH12" t="str">
        <f t="shared" si="10"/>
        <v>"cate":"Resistor ",</v>
      </c>
      <c r="ZI12" t="str">
        <f t="shared" si="10"/>
        <v>"cate":"Resistor ",</v>
      </c>
      <c r="ZJ12" t="str">
        <f t="shared" si="10"/>
        <v>"cate":"Capacitor",</v>
      </c>
      <c r="ZK12" t="str">
        <f t="shared" si="10"/>
        <v>"cate":"Capacitor",</v>
      </c>
      <c r="ZL12" t="str">
        <f t="shared" si="10"/>
        <v>"cate":"LED ",</v>
      </c>
      <c r="ZM12" t="str">
        <f t="shared" si="10"/>
        <v>"cate":"Resistor ",</v>
      </c>
      <c r="ZN12" t="str">
        <f t="shared" si="10"/>
        <v>"cate":"Resistor ",</v>
      </c>
      <c r="ZO12" t="str">
        <f t="shared" si="10"/>
        <v>"cate":"C330",</v>
      </c>
      <c r="ZP12" t="str">
        <f t="shared" si="10"/>
        <v>"cate":"BLUETOOTH",</v>
      </c>
      <c r="ZQ12" t="str">
        <f t="shared" si="10"/>
        <v>"cate":"Resistor ",</v>
      </c>
      <c r="ZR12" t="str">
        <f t="shared" si="10"/>
        <v>"cate":"Resistor ",</v>
      </c>
      <c r="ZS12" t="str">
        <f t="shared" si="10"/>
        <v>"cate":"Capacitor",</v>
      </c>
      <c r="ZT12" t="str">
        <f t="shared" si="10"/>
        <v>"cate":"Capacitor",</v>
      </c>
      <c r="ZU12" t="str">
        <f t="shared" si="10"/>
        <v>"cate":"CLIP",</v>
      </c>
      <c r="ZV12" t="str">
        <f t="shared" si="10"/>
        <v>"cate":"Resistor ",</v>
      </c>
      <c r="ZW12" t="str">
        <f t="shared" si="10"/>
        <v>"cate":"Resistor ",</v>
      </c>
      <c r="ZX12" t="str">
        <f t="shared" si="10"/>
        <v>"cate":"Resistor ",</v>
      </c>
      <c r="ZY12" t="str">
        <f t="shared" si="10"/>
        <v>"cate":"Capacitor",</v>
      </c>
      <c r="ZZ12" t="str">
        <f t="shared" si="10"/>
        <v>"cate":"Capacitor",</v>
      </c>
      <c r="AAA12" t="str">
        <f t="shared" si="10"/>
        <v>"cate":"Capacitor",</v>
      </c>
      <c r="AAB12" t="str">
        <f t="shared" si="10"/>
        <v>"cate":"Resistor ",</v>
      </c>
      <c r="AAC12" t="str">
        <f t="shared" si="10"/>
        <v>"cate":"Resistor ",</v>
      </c>
      <c r="AAD12" t="str">
        <f t="shared" si="10"/>
        <v>"cate":"Resistor ",</v>
      </c>
      <c r="AAE12" t="str">
        <f t="shared" si="10"/>
        <v>"cate":"Capacitor",</v>
      </c>
      <c r="AAF12" t="str">
        <f t="shared" si="10"/>
        <v>"cate":"Resistor ",</v>
      </c>
      <c r="AAG12" t="str">
        <f t="shared" si="10"/>
        <v>"cate":"Resistor ",</v>
      </c>
      <c r="AAH12" t="str">
        <f t="shared" si="10"/>
        <v>"cate":"Resistor ",</v>
      </c>
      <c r="AAI12" t="str">
        <f t="shared" si="10"/>
        <v>"cate":"Resistor ",</v>
      </c>
      <c r="AAJ12" t="str">
        <f t="shared" si="10"/>
        <v>"cate":"Resistor ",</v>
      </c>
      <c r="AAK12" t="str">
        <f t="shared" si="10"/>
        <v>"cate":"Capacitor",</v>
      </c>
      <c r="AAL12" t="str">
        <f t="shared" si="10"/>
        <v>"cate":"Capacitor",</v>
      </c>
      <c r="AAM12" t="str">
        <f t="shared" si="10"/>
        <v>"cate":"Capacitor",</v>
      </c>
      <c r="AAN12" t="str">
        <f t="shared" si="10"/>
        <v>"cate":"Capacitor",</v>
      </c>
      <c r="AAO12" t="str">
        <f t="shared" si="10"/>
        <v>"cate":"Capacitor",</v>
      </c>
      <c r="AAP12" t="str">
        <f t="shared" ref="AAP12:ADA12" si="11">_xlfn.CONCAT("""",$L$6,"""",":","""",AAP6,"""",",")</f>
        <v>"cate":"Capacitor",</v>
      </c>
      <c r="AAQ12" t="str">
        <f t="shared" si="11"/>
        <v>"cate":"Capacitor",</v>
      </c>
      <c r="AAR12" t="str">
        <f t="shared" si="11"/>
        <v>"cate":"Capacitor",</v>
      </c>
      <c r="AAS12" t="str">
        <f t="shared" si="11"/>
        <v>"cate":"Diode",</v>
      </c>
      <c r="AAT12" t="str">
        <f t="shared" si="11"/>
        <v>"cate":"Resistor ",</v>
      </c>
      <c r="AAU12" t="str">
        <f t="shared" si="11"/>
        <v>"cate":"Resistor ",</v>
      </c>
      <c r="AAV12" t="str">
        <f t="shared" si="11"/>
        <v>"cate":"Resistor ",</v>
      </c>
      <c r="AAW12" t="str">
        <f t="shared" si="11"/>
        <v>"cate":"Choke Coil",</v>
      </c>
      <c r="AAX12" t="str">
        <f t="shared" si="11"/>
        <v>"cate":"Resistor ",</v>
      </c>
      <c r="AAY12" t="str">
        <f t="shared" si="11"/>
        <v>"cate":"Capacitor",</v>
      </c>
      <c r="AAZ12" t="str">
        <f t="shared" si="11"/>
        <v>"cate":"Capacitor",</v>
      </c>
      <c r="ABA12" t="str">
        <f t="shared" si="11"/>
        <v>"cate":"Capacitor",</v>
      </c>
      <c r="ABB12" t="str">
        <f t="shared" si="11"/>
        <v>"cate":"Capacitor",</v>
      </c>
      <c r="ABC12" t="str">
        <f t="shared" si="11"/>
        <v>"cate":"Capacitor",</v>
      </c>
      <c r="ABD12" t="str">
        <f t="shared" si="11"/>
        <v>"cate":"Capacitor",</v>
      </c>
      <c r="ABE12" t="str">
        <f t="shared" si="11"/>
        <v>"cate":"Capacitor",</v>
      </c>
      <c r="ABF12" t="str">
        <f t="shared" si="11"/>
        <v>"cate":"Resistor ",</v>
      </c>
      <c r="ABG12" t="str">
        <f t="shared" si="11"/>
        <v>"cate":"Resistor ",</v>
      </c>
      <c r="ABH12" t="str">
        <f t="shared" si="11"/>
        <v>"cate":"Resistor ",</v>
      </c>
      <c r="ABI12" t="str">
        <f t="shared" si="11"/>
        <v>"cate":"Resistor ",</v>
      </c>
      <c r="ABJ12" t="str">
        <f t="shared" si="11"/>
        <v>"cate":"Resistor ",</v>
      </c>
      <c r="ABK12" t="str">
        <f t="shared" si="11"/>
        <v>"cate":"Resistor ",</v>
      </c>
      <c r="ABL12" t="str">
        <f t="shared" si="11"/>
        <v>"cate":"Resistor ",</v>
      </c>
      <c r="ABM12" t="str">
        <f t="shared" si="11"/>
        <v>"cate":"Capacitor",</v>
      </c>
      <c r="ABN12" t="str">
        <f t="shared" si="11"/>
        <v>"cate":"Capacitor",</v>
      </c>
      <c r="ABO12" t="str">
        <f t="shared" si="11"/>
        <v>"cate":"Capacitor",</v>
      </c>
      <c r="ABP12" t="str">
        <f t="shared" si="11"/>
        <v>"cate":"Diode",</v>
      </c>
      <c r="ABQ12" t="str">
        <f t="shared" si="11"/>
        <v>"cate":"Resistor ",</v>
      </c>
      <c r="ABR12" t="str">
        <f t="shared" si="11"/>
        <v>"cate":"Resistor ",</v>
      </c>
      <c r="ABS12" t="str">
        <f t="shared" si="11"/>
        <v>"cate":"Resistor ",</v>
      </c>
      <c r="ABT12" t="str">
        <f t="shared" si="11"/>
        <v>"cate":"Resistor ",</v>
      </c>
      <c r="ABU12" t="str">
        <f t="shared" si="11"/>
        <v>"cate":"Resistor ",</v>
      </c>
      <c r="ABV12" t="str">
        <f t="shared" si="11"/>
        <v>"cate":"Resistor ",</v>
      </c>
      <c r="ABW12" t="str">
        <f t="shared" si="11"/>
        <v>"cate":"Resistor ",</v>
      </c>
      <c r="ABX12" t="str">
        <f t="shared" si="11"/>
        <v>"cate":"Resistor ",</v>
      </c>
      <c r="ABY12" t="str">
        <f t="shared" si="11"/>
        <v>"cate":"Resistor ",</v>
      </c>
      <c r="ABZ12" t="str">
        <f t="shared" si="11"/>
        <v>"cate":"Resistor ",</v>
      </c>
      <c r="ACA12" t="str">
        <f t="shared" si="11"/>
        <v>"cate":"Resistor ",</v>
      </c>
      <c r="ACB12" t="str">
        <f t="shared" si="11"/>
        <v>"cate":"Resistor ",</v>
      </c>
      <c r="ACC12" t="str">
        <f t="shared" si="11"/>
        <v>"cate":"Resistor ",</v>
      </c>
      <c r="ACD12" t="str">
        <f t="shared" si="11"/>
        <v>"cate":"Resistor ",</v>
      </c>
      <c r="ACE12" t="str">
        <f t="shared" si="11"/>
        <v>"cate":"Capacitor",</v>
      </c>
      <c r="ACF12" t="str">
        <f t="shared" si="11"/>
        <v>"cate":"Capacitor",</v>
      </c>
      <c r="ACG12" t="str">
        <f t="shared" si="11"/>
        <v>"cate":"Resistor ",</v>
      </c>
      <c r="ACH12" t="str">
        <f t="shared" si="11"/>
        <v>"cate":"Capacitor",</v>
      </c>
      <c r="ACI12" t="str">
        <f t="shared" si="11"/>
        <v>"cate":"Resistor ",</v>
      </c>
      <c r="ACJ12" t="str">
        <f t="shared" si="11"/>
        <v>"cate":"Resistor ",</v>
      </c>
      <c r="ACK12" t="str">
        <f t="shared" si="11"/>
        <v>"cate":"Resistor ",</v>
      </c>
      <c r="ACL12" t="str">
        <f t="shared" si="11"/>
        <v>"cate":"Capacitor",</v>
      </c>
      <c r="ACM12" t="str">
        <f t="shared" si="11"/>
        <v>"cate":"Capacitor",</v>
      </c>
      <c r="ACN12" t="str">
        <f t="shared" si="11"/>
        <v>"cate":"Choke Coil",</v>
      </c>
      <c r="ACO12" t="str">
        <f t="shared" si="11"/>
        <v>"cate":"FUSE",</v>
      </c>
      <c r="ACP12" t="str">
        <f t="shared" si="11"/>
        <v>"cate":"Resistor ",</v>
      </c>
      <c r="ACQ12" t="str">
        <f t="shared" si="11"/>
        <v>"cate":"Resistor ",</v>
      </c>
      <c r="ACR12" t="str">
        <f t="shared" si="11"/>
        <v>"cate":"Resistor ",</v>
      </c>
      <c r="ACS12" t="str">
        <f t="shared" si="11"/>
        <v>"cate":"Resistor ",</v>
      </c>
      <c r="ACT12" t="str">
        <f t="shared" si="11"/>
        <v>"cate":"Resistor ",</v>
      </c>
      <c r="ACU12" t="str">
        <f t="shared" si="11"/>
        <v>"cate":"Resistor ",</v>
      </c>
      <c r="ACV12" t="str">
        <f t="shared" si="11"/>
        <v>"cate":"Resistor ",</v>
      </c>
      <c r="ACW12" t="str">
        <f t="shared" si="11"/>
        <v>"cate":"Resistor ",</v>
      </c>
      <c r="ACX12" t="str">
        <f t="shared" si="11"/>
        <v>"cate":"Resistor ",</v>
      </c>
      <c r="ACY12" t="str">
        <f t="shared" si="11"/>
        <v>"cate":"Resistor ",</v>
      </c>
      <c r="ACZ12" t="str">
        <f t="shared" si="11"/>
        <v>"cate":"Capacitor",</v>
      </c>
      <c r="ADA12" t="str">
        <f t="shared" si="11"/>
        <v>"cate":"Capacitor",</v>
      </c>
      <c r="ADB12" t="str">
        <f t="shared" ref="ADB12:AFM12" si="12">_xlfn.CONCAT("""",$L$6,"""",":","""",ADB6,"""",",")</f>
        <v>"cate":"Capacitor",</v>
      </c>
      <c r="ADC12" t="str">
        <f t="shared" si="12"/>
        <v>"cate":"Capacitor",</v>
      </c>
      <c r="ADD12" t="str">
        <f t="shared" si="12"/>
        <v>"cate":"MOSFET",</v>
      </c>
      <c r="ADE12" t="str">
        <f t="shared" si="12"/>
        <v>"cate":"MOSFET",</v>
      </c>
      <c r="ADF12" t="str">
        <f t="shared" si="12"/>
        <v>"cate":"Terminal",</v>
      </c>
      <c r="ADG12" t="str">
        <f t="shared" si="12"/>
        <v>"cate":"Terminal",</v>
      </c>
      <c r="ADH12" t="str">
        <f t="shared" si="12"/>
        <v>"cate":"Resistor ",</v>
      </c>
      <c r="ADI12" t="str">
        <f t="shared" si="12"/>
        <v>"cate":"Resistor ",</v>
      </c>
      <c r="ADJ12" t="str">
        <f t="shared" si="12"/>
        <v>"cate":"Resistor ",</v>
      </c>
      <c r="ADK12" t="str">
        <f t="shared" si="12"/>
        <v>"cate":"Resistor ",</v>
      </c>
      <c r="ADL12" t="str">
        <f t="shared" si="12"/>
        <v>"cate":"Resistor ",</v>
      </c>
      <c r="ADM12" t="str">
        <f t="shared" si="12"/>
        <v>"cate":"Resistor ",</v>
      </c>
      <c r="ADN12" t="str">
        <f t="shared" si="12"/>
        <v>"cate":"Resistor ",</v>
      </c>
      <c r="ADO12" t="str">
        <f t="shared" si="12"/>
        <v>"cate":"Resistor ",</v>
      </c>
      <c r="ADP12" t="str">
        <f t="shared" si="12"/>
        <v>"cate":"Resistor ",</v>
      </c>
      <c r="ADQ12" t="str">
        <f t="shared" si="12"/>
        <v>"cate":"Resistor ",</v>
      </c>
      <c r="ADR12" t="str">
        <f t="shared" si="12"/>
        <v>"cate":"Resistor ",</v>
      </c>
      <c r="ADS12" t="str">
        <f t="shared" si="12"/>
        <v>"cate":"Resistor ",</v>
      </c>
      <c r="ADT12" t="str">
        <f t="shared" si="12"/>
        <v>"cate":"Resistor ",</v>
      </c>
      <c r="ADU12" t="str">
        <f t="shared" si="12"/>
        <v>"cate":"Resistor ",</v>
      </c>
      <c r="ADV12" t="str">
        <f t="shared" si="12"/>
        <v>"cate":"Resistor ",</v>
      </c>
      <c r="ADW12" t="str">
        <f t="shared" si="12"/>
        <v>"cate":"Resistor ",</v>
      </c>
      <c r="ADX12" t="str">
        <f t="shared" si="12"/>
        <v>"cate":"Resistor ",</v>
      </c>
      <c r="ADY12" t="str">
        <f t="shared" si="12"/>
        <v>"cate":"Resistor ",</v>
      </c>
      <c r="ADZ12" t="str">
        <f t="shared" si="12"/>
        <v>"cate":"Resistor ",</v>
      </c>
      <c r="AEA12" t="str">
        <f t="shared" si="12"/>
        <v>"cate":"Resistor ",</v>
      </c>
      <c r="AEB12" t="str">
        <f t="shared" si="12"/>
        <v>"cate":"Choke Coil",</v>
      </c>
      <c r="AEC12" t="str">
        <f t="shared" si="12"/>
        <v>"cate":"IC",</v>
      </c>
      <c r="AED12" t="str">
        <f t="shared" si="12"/>
        <v>"cate":"IC",</v>
      </c>
      <c r="AEE12" t="str">
        <f t="shared" si="12"/>
        <v>"cate":"IC",</v>
      </c>
      <c r="AEF12" t="str">
        <f t="shared" si="12"/>
        <v>"cate":"Diode",</v>
      </c>
      <c r="AEG12" t="str">
        <f t="shared" si="12"/>
        <v>"cate":"Resistor ",</v>
      </c>
      <c r="AEH12" t="str">
        <f t="shared" si="12"/>
        <v>"cate":"Transistor",</v>
      </c>
      <c r="AEI12" t="str">
        <f t="shared" si="12"/>
        <v>"cate":"Connector",</v>
      </c>
      <c r="AEJ12" t="str">
        <f t="shared" si="12"/>
        <v>"cate":"Diode",</v>
      </c>
      <c r="AEK12" t="str">
        <f t="shared" si="12"/>
        <v>"cate":"Diode",</v>
      </c>
      <c r="AEL12" t="str">
        <f t="shared" si="12"/>
        <v>"cate":"Resistor ",</v>
      </c>
      <c r="AEM12" t="str">
        <f t="shared" si="12"/>
        <v>"cate":"Resistor ",</v>
      </c>
      <c r="AEN12" t="str">
        <f t="shared" si="12"/>
        <v>"cate":"Resistor ",</v>
      </c>
      <c r="AEO12" t="str">
        <f t="shared" si="12"/>
        <v>"cate":"Capacitor",</v>
      </c>
      <c r="AEP12" t="str">
        <f t="shared" si="12"/>
        <v>"cate":"Resistor ",</v>
      </c>
      <c r="AEQ12" t="str">
        <f t="shared" si="12"/>
        <v>"cate":"Resistor ",</v>
      </c>
      <c r="AER12" t="str">
        <f t="shared" si="12"/>
        <v>"cate":"Resistor ",</v>
      </c>
      <c r="AES12" t="str">
        <f t="shared" si="12"/>
        <v>"cate":"Resistor ",</v>
      </c>
      <c r="AET12" t="str">
        <f t="shared" si="12"/>
        <v>"cate":"Capacitor",</v>
      </c>
      <c r="AEU12" t="str">
        <f t="shared" si="12"/>
        <v>"cate":"Capacitor",</v>
      </c>
      <c r="AEV12" t="str">
        <f t="shared" si="12"/>
        <v>"cate":"MA-1",</v>
      </c>
      <c r="AEW12" t="str">
        <f t="shared" si="12"/>
        <v>"cate":"MA-1",</v>
      </c>
      <c r="AEX12" t="str">
        <f t="shared" si="12"/>
        <v>"cate":"MA-1",</v>
      </c>
      <c r="AEY12" t="str">
        <f t="shared" si="12"/>
        <v>"cate":"MA-1",</v>
      </c>
      <c r="AEZ12" t="str">
        <f t="shared" si="12"/>
        <v>"cate":"MA-1",</v>
      </c>
      <c r="AFA12" t="str">
        <f t="shared" si="12"/>
        <v>"cate":"Resistor ",</v>
      </c>
      <c r="AFB12" t="str">
        <f t="shared" si="12"/>
        <v>"cate":"Resistor ",</v>
      </c>
      <c r="AFC12" t="str">
        <f t="shared" si="12"/>
        <v>"cate":"Resistor ",</v>
      </c>
      <c r="AFD12" t="str">
        <f t="shared" si="12"/>
        <v>"cate":"Resistor ",</v>
      </c>
      <c r="AFE12" t="str">
        <f t="shared" si="12"/>
        <v>"cate":"Resistor ",</v>
      </c>
      <c r="AFF12" t="str">
        <f t="shared" si="12"/>
        <v>"cate":"XTAL",</v>
      </c>
      <c r="AFG12" t="str">
        <f t="shared" si="12"/>
        <v>"cate":"XTAL",</v>
      </c>
      <c r="AFH12" t="str">
        <f t="shared" si="12"/>
        <v>"cate":"XTAL",</v>
      </c>
      <c r="AFI12" t="str">
        <f t="shared" si="12"/>
        <v>"cate":"XTAL",</v>
      </c>
      <c r="AFJ12" t="str">
        <f t="shared" si="12"/>
        <v>"cate":"XTAL",</v>
      </c>
      <c r="AFK12" t="str">
        <f t="shared" si="12"/>
        <v>"cate":"XTAL",</v>
      </c>
      <c r="AFL12" t="str">
        <f t="shared" si="12"/>
        <v>"cate":"Resistor ",</v>
      </c>
      <c r="AFM12" t="str">
        <f t="shared" si="12"/>
        <v>"cate":"Capacitor",</v>
      </c>
      <c r="AFN12" t="str">
        <f t="shared" ref="AFN12:AHY12" si="13">_xlfn.CONCAT("""",$L$6,"""",":","""",AFN6,"""",",")</f>
        <v>"cate":"SENSOR",</v>
      </c>
      <c r="AFO12" t="str">
        <f t="shared" si="13"/>
        <v>"cate":"Resistor ",</v>
      </c>
      <c r="AFP12" t="str">
        <f t="shared" si="13"/>
        <v>"cate":"Resistor ",</v>
      </c>
      <c r="AFQ12" t="str">
        <f t="shared" si="13"/>
        <v>"cate":"Switch",</v>
      </c>
      <c r="AFR12" t="str">
        <f t="shared" si="13"/>
        <v>"cate":"Resistor ",</v>
      </c>
      <c r="AFS12" t="str">
        <f t="shared" si="13"/>
        <v>"cate":"Resistor ",</v>
      </c>
      <c r="AFT12" t="str">
        <f t="shared" si="13"/>
        <v>"cate":"Transistor",</v>
      </c>
      <c r="AFU12" t="str">
        <f t="shared" si="13"/>
        <v>"cate":"Transistor",</v>
      </c>
      <c r="AFV12" t="str">
        <f t="shared" si="13"/>
        <v>"cate":"Transistor",</v>
      </c>
      <c r="AFW12" t="str">
        <f t="shared" si="13"/>
        <v>"cate":"Transistor",</v>
      </c>
      <c r="AFX12" t="str">
        <f t="shared" si="13"/>
        <v>"cate":"Transistor",</v>
      </c>
      <c r="AFY12" t="str">
        <f t="shared" si="13"/>
        <v>"cate":"Transistor",</v>
      </c>
      <c r="AFZ12" t="str">
        <f t="shared" si="13"/>
        <v>"cate":"Transistor",</v>
      </c>
      <c r="AGA12" t="str">
        <f t="shared" si="13"/>
        <v>"cate":"Resistor ",</v>
      </c>
      <c r="AGB12" t="str">
        <f t="shared" si="13"/>
        <v>"cate":"Resistor ",</v>
      </c>
      <c r="AGC12" t="str">
        <f t="shared" si="13"/>
        <v>"cate":"Resistor ",</v>
      </c>
      <c r="AGD12" t="str">
        <f t="shared" si="13"/>
        <v>"cate":"TAPE",</v>
      </c>
      <c r="AGE12" t="str">
        <f t="shared" si="13"/>
        <v>"cate":"CTM ",</v>
      </c>
      <c r="AGF12" t="str">
        <f t="shared" si="13"/>
        <v>"cate":"Resistor ",</v>
      </c>
      <c r="AGG12" t="str">
        <f t="shared" si="13"/>
        <v>"cate":"Resistor ",</v>
      </c>
      <c r="AGH12" t="str">
        <f t="shared" si="13"/>
        <v>"cate":"Resistor ",</v>
      </c>
      <c r="AGI12" t="str">
        <f t="shared" si="13"/>
        <v>"cate":"Resistor ",</v>
      </c>
      <c r="AGJ12" t="str">
        <f t="shared" si="13"/>
        <v>"cate":"Resistor ",</v>
      </c>
      <c r="AGK12" t="str">
        <f t="shared" si="13"/>
        <v>"cate":"Resistor ",</v>
      </c>
      <c r="AGL12" t="str">
        <f t="shared" si="13"/>
        <v>"cate":"MOSFET",</v>
      </c>
      <c r="AGM12" t="str">
        <f t="shared" si="13"/>
        <v>"cate":"IC",</v>
      </c>
      <c r="AGN12" t="str">
        <f t="shared" si="13"/>
        <v>"cate":"Capacitor",</v>
      </c>
      <c r="AGO12" t="str">
        <f t="shared" si="13"/>
        <v>"cate":"Capacitor",</v>
      </c>
      <c r="AGP12" t="str">
        <f t="shared" si="13"/>
        <v>"cate":"Capacitor",</v>
      </c>
      <c r="AGQ12" t="str">
        <f t="shared" si="13"/>
        <v>"cate":"Capacitor",</v>
      </c>
      <c r="AGR12" t="str">
        <f t="shared" si="13"/>
        <v>"cate":"Capacitor",</v>
      </c>
      <c r="AGS12" t="str">
        <f t="shared" si="13"/>
        <v>"cate":"Capacitor",</v>
      </c>
      <c r="AGT12" t="str">
        <f t="shared" si="13"/>
        <v>"cate":"Connector",</v>
      </c>
      <c r="AGU12" t="str">
        <f t="shared" si="13"/>
        <v>"cate":"Capacitor",</v>
      </c>
      <c r="AGV12" t="str">
        <f t="shared" si="13"/>
        <v>"cate":"Capacitor",</v>
      </c>
      <c r="AGW12" t="str">
        <f t="shared" si="13"/>
        <v>"cate":"IND ",</v>
      </c>
      <c r="AGX12" t="str">
        <f t="shared" si="13"/>
        <v>"cate":"IND ",</v>
      </c>
      <c r="AGY12" t="str">
        <f t="shared" si="13"/>
        <v>"cate":"IND ",</v>
      </c>
      <c r="AGZ12" t="str">
        <f t="shared" si="13"/>
        <v>"cate":"Diode",</v>
      </c>
      <c r="AHA12" t="str">
        <f t="shared" si="13"/>
        <v>"cate":"Diode",</v>
      </c>
      <c r="AHB12" t="str">
        <f t="shared" si="13"/>
        <v>"cate":"Diode",</v>
      </c>
      <c r="AHC12" t="str">
        <f t="shared" si="13"/>
        <v>"cate":"Diode",</v>
      </c>
      <c r="AHD12" t="str">
        <f t="shared" si="13"/>
        <v>"cate":"IC",</v>
      </c>
      <c r="AHE12" t="str">
        <f t="shared" si="13"/>
        <v>"cate":"IC",</v>
      </c>
      <c r="AHF12" t="str">
        <f t="shared" si="13"/>
        <v>"cate":"LED ",</v>
      </c>
      <c r="AHG12" t="str">
        <f t="shared" si="13"/>
        <v>"cate":"Transistor",</v>
      </c>
      <c r="AHH12" t="str">
        <f t="shared" si="13"/>
        <v>"cate":"Transistor",</v>
      </c>
      <c r="AHI12" t="str">
        <f t="shared" si="13"/>
        <v>"cate":"Diode",</v>
      </c>
      <c r="AHJ12" t="str">
        <f t="shared" si="13"/>
        <v>"cate":"Diode",</v>
      </c>
      <c r="AHK12" t="str">
        <f t="shared" si="13"/>
        <v>"cate":"Terminal",</v>
      </c>
      <c r="AHL12" t="str">
        <f t="shared" si="13"/>
        <v>"cate":"Capacitor",</v>
      </c>
      <c r="AHM12" t="str">
        <f t="shared" si="13"/>
        <v>"cate":"Capacitor",</v>
      </c>
      <c r="AHN12" t="str">
        <f t="shared" si="13"/>
        <v>"cate":"Capacitor",</v>
      </c>
      <c r="AHO12" t="str">
        <f t="shared" si="13"/>
        <v>"cate":"Capacitor",</v>
      </c>
      <c r="AHP12" t="str">
        <f t="shared" si="13"/>
        <v>"cate":"Capacitor",</v>
      </c>
      <c r="AHQ12" t="str">
        <f t="shared" si="13"/>
        <v>"cate":"Capacitor",</v>
      </c>
      <c r="AHR12" t="str">
        <f t="shared" si="13"/>
        <v>"cate":"Capacitor",</v>
      </c>
      <c r="AHS12" t="str">
        <f t="shared" si="13"/>
        <v>"cate":"Capacitor",</v>
      </c>
      <c r="AHT12" t="str">
        <f t="shared" si="13"/>
        <v>"cate":"Capacitor",</v>
      </c>
      <c r="AHU12" t="str">
        <f t="shared" si="13"/>
        <v>"cate":"Capacitor",</v>
      </c>
      <c r="AHV12" t="str">
        <f t="shared" si="13"/>
        <v>"cate":"Capacitor",</v>
      </c>
      <c r="AHW12" t="str">
        <f t="shared" si="13"/>
        <v>"cate":"Capacitor",</v>
      </c>
      <c r="AHX12" t="str">
        <f t="shared" si="13"/>
        <v>"cate":"Capacitor",</v>
      </c>
      <c r="AHY12" t="str">
        <f t="shared" si="13"/>
        <v>"cate":"Capacitor",</v>
      </c>
      <c r="AHZ12" t="str">
        <f t="shared" ref="AHZ12:AKK12" si="14">_xlfn.CONCAT("""",$L$6,"""",":","""",AHZ6,"""",",")</f>
        <v>"cate":"Capacitor",</v>
      </c>
      <c r="AIA12" t="str">
        <f t="shared" si="14"/>
        <v>"cate":"MOSFET",</v>
      </c>
      <c r="AIB12" t="str">
        <f t="shared" si="14"/>
        <v>"cate":"Capacitor",</v>
      </c>
      <c r="AIC12" t="str">
        <f t="shared" si="14"/>
        <v>"cate":"Capacitor",</v>
      </c>
      <c r="AID12" t="str">
        <f t="shared" si="14"/>
        <v>"cate":"IC",</v>
      </c>
      <c r="AIE12" t="str">
        <f t="shared" si="14"/>
        <v>"cate":"IC",</v>
      </c>
      <c r="AIF12" t="str">
        <f t="shared" si="14"/>
        <v>"cate":"Resistor ",</v>
      </c>
      <c r="AIG12" t="str">
        <f t="shared" si="14"/>
        <v>"cate":"Resistor ",</v>
      </c>
      <c r="AIH12" t="str">
        <f t="shared" si="14"/>
        <v>"cate":"MOSFET",</v>
      </c>
      <c r="AII12" t="str">
        <f t="shared" si="14"/>
        <v>"cate":"MOSFET",</v>
      </c>
      <c r="AIJ12" t="str">
        <f t="shared" si="14"/>
        <v>"cate":"XTAL",</v>
      </c>
      <c r="AIK12" t="str">
        <f t="shared" si="14"/>
        <v>"cate":"LED ",</v>
      </c>
      <c r="AIL12" t="str">
        <f t="shared" si="14"/>
        <v>"cate":"Resistor ",</v>
      </c>
      <c r="AIM12" t="str">
        <f t="shared" si="14"/>
        <v>"cate":"Resistor ",</v>
      </c>
      <c r="AIN12" t="str">
        <f t="shared" si="14"/>
        <v>"cate":"Resistor ",</v>
      </c>
      <c r="AIO12" t="str">
        <f t="shared" si="14"/>
        <v>"cate":"IC",</v>
      </c>
      <c r="AIP12" t="str">
        <f t="shared" si="14"/>
        <v>"cate":"IC",</v>
      </c>
      <c r="AIQ12" t="str">
        <f t="shared" si="14"/>
        <v>"cate":"IC",</v>
      </c>
      <c r="AIR12" t="str">
        <f t="shared" si="14"/>
        <v>"cate":"Capacitor",</v>
      </c>
      <c r="AIS12" t="str">
        <f t="shared" si="14"/>
        <v>"cate":"Capacitor",</v>
      </c>
      <c r="AIT12" t="str">
        <f t="shared" si="14"/>
        <v>"cate":"Resistor ",</v>
      </c>
      <c r="AIU12" t="str">
        <f t="shared" si="14"/>
        <v>"cate":"Diode",</v>
      </c>
      <c r="AIV12" t="str">
        <f t="shared" si="14"/>
        <v>"cate":"Diode",</v>
      </c>
      <c r="AIW12" t="str">
        <f t="shared" si="14"/>
        <v>"cate":"Capacitor",</v>
      </c>
      <c r="AIX12" t="str">
        <f t="shared" si="14"/>
        <v>"cate":"Resistor ",</v>
      </c>
      <c r="AIY12" t="str">
        <f t="shared" si="14"/>
        <v>"cate":"Resistor ",</v>
      </c>
      <c r="AIZ12" t="str">
        <f t="shared" si="14"/>
        <v>"cate":"Resistor ",</v>
      </c>
      <c r="AJA12" t="str">
        <f t="shared" si="14"/>
        <v>"cate":"Diode",</v>
      </c>
      <c r="AJB12" t="str">
        <f t="shared" si="14"/>
        <v>"cate":"Diode",</v>
      </c>
      <c r="AJC12" t="str">
        <f t="shared" si="14"/>
        <v>"cate":"Diode",</v>
      </c>
      <c r="AJD12" t="str">
        <f t="shared" si="14"/>
        <v>"cate":"Diode",</v>
      </c>
      <c r="AJE12" t="str">
        <f t="shared" si="14"/>
        <v>"cate":"Resistor ",</v>
      </c>
      <c r="AJF12" t="str">
        <f t="shared" si="14"/>
        <v>"cate":"Resistor ",</v>
      </c>
      <c r="AJG12" t="str">
        <f t="shared" si="14"/>
        <v>"cate":"Capacitor",</v>
      </c>
      <c r="AJH12" t="str">
        <f t="shared" si="14"/>
        <v>"cate":"Capacitor",</v>
      </c>
      <c r="AJI12" t="str">
        <f t="shared" si="14"/>
        <v>"cate":"IC",</v>
      </c>
      <c r="AJJ12" t="str">
        <f t="shared" si="14"/>
        <v>"cate":"IC",</v>
      </c>
      <c r="AJK12" t="str">
        <f t="shared" si="14"/>
        <v>"cate":"IC",</v>
      </c>
      <c r="AJL12" t="str">
        <f t="shared" si="14"/>
        <v>"cate":"Resistor ",</v>
      </c>
      <c r="AJM12" t="str">
        <f t="shared" si="14"/>
        <v>"cate":"Resistor ",</v>
      </c>
      <c r="AJN12" t="str">
        <f t="shared" si="14"/>
        <v>"cate":"Resistor ",</v>
      </c>
      <c r="AJO12" t="str">
        <f t="shared" si="14"/>
        <v>"cate":"Resistor ",</v>
      </c>
      <c r="AJP12" t="str">
        <f t="shared" si="14"/>
        <v>"cate":"BASE",</v>
      </c>
      <c r="AJQ12" t="str">
        <f t="shared" si="14"/>
        <v>"cate":"Resistor ",</v>
      </c>
      <c r="AJR12" t="str">
        <f t="shared" si="14"/>
        <v>"cate":"Resistor ",</v>
      </c>
      <c r="AJS12" t="str">
        <f t="shared" si="14"/>
        <v>"cate":"Resistor ",</v>
      </c>
      <c r="AJT12" t="str">
        <f t="shared" si="14"/>
        <v>"cate":"Capacitor",</v>
      </c>
      <c r="AJU12" t="str">
        <f t="shared" si="14"/>
        <v>"cate":"Capacitor",</v>
      </c>
      <c r="AJV12" t="str">
        <f t="shared" si="14"/>
        <v>"cate":"Capacitor",</v>
      </c>
      <c r="AJW12" t="str">
        <f t="shared" si="14"/>
        <v>"cate":"Capacitor",</v>
      </c>
      <c r="AJX12" t="str">
        <f t="shared" si="14"/>
        <v>"cate":"Resistor ",</v>
      </c>
      <c r="AJY12" t="str">
        <f t="shared" si="14"/>
        <v>"cate":"Resistor ",</v>
      </c>
      <c r="AJZ12" t="str">
        <f t="shared" si="14"/>
        <v>"cate":"CNTF",</v>
      </c>
      <c r="AKA12" t="str">
        <f t="shared" si="14"/>
        <v>"cate":"MOSFET",</v>
      </c>
      <c r="AKB12" t="str">
        <f t="shared" si="14"/>
        <v>"cate":"MOSFET",</v>
      </c>
      <c r="AKC12" t="str">
        <f t="shared" si="14"/>
        <v>"cate":"MOSFET",</v>
      </c>
      <c r="AKD12" t="str">
        <f t="shared" si="14"/>
        <v>"cate":"MOSFET",</v>
      </c>
      <c r="AKE12" t="str">
        <f t="shared" si="14"/>
        <v>"cate":"Var Resistor",</v>
      </c>
      <c r="AKF12" t="str">
        <f t="shared" si="14"/>
        <v>"cate":"Var Resistor",</v>
      </c>
      <c r="AKG12" t="str">
        <f t="shared" si="14"/>
        <v>"cate":"Capacitor",</v>
      </c>
      <c r="AKH12" t="str">
        <f t="shared" si="14"/>
        <v>"cate":"Capacitor",</v>
      </c>
      <c r="AKI12" t="str">
        <f t="shared" si="14"/>
        <v>"cate":"Capacitor",</v>
      </c>
      <c r="AKJ12" t="str">
        <f t="shared" si="14"/>
        <v>"cate":"Capacitor",</v>
      </c>
      <c r="AKK12" t="str">
        <f t="shared" si="14"/>
        <v>"cate":"Capacitor",</v>
      </c>
      <c r="AKL12" t="str">
        <f t="shared" ref="AKL12:AMW12" si="15">_xlfn.CONCAT("""",$L$6,"""",":","""",AKL6,"""",",")</f>
        <v>"cate":"Capacitor",</v>
      </c>
      <c r="AKM12" t="str">
        <f t="shared" si="15"/>
        <v>"cate":"Capacitor",</v>
      </c>
      <c r="AKN12" t="str">
        <f t="shared" si="15"/>
        <v>"cate":"Capacitor",</v>
      </c>
      <c r="AKO12" t="str">
        <f t="shared" si="15"/>
        <v>"cate":"MOSFET",</v>
      </c>
      <c r="AKP12" t="str">
        <f t="shared" si="15"/>
        <v>"cate":"IC",</v>
      </c>
      <c r="AKQ12" t="str">
        <f t="shared" si="15"/>
        <v>"cate":"Capacitor",</v>
      </c>
      <c r="AKR12" t="str">
        <f t="shared" si="15"/>
        <v>"cate":"Capacitor",</v>
      </c>
      <c r="AKS12" t="str">
        <f t="shared" si="15"/>
        <v>"cate":"Capacitor",</v>
      </c>
      <c r="AKT12" t="str">
        <f t="shared" si="15"/>
        <v>"cate":"Capacitor",</v>
      </c>
      <c r="AKU12" t="str">
        <f t="shared" si="15"/>
        <v>"cate":"Capacitor",</v>
      </c>
      <c r="AKV12" t="str">
        <f t="shared" si="15"/>
        <v>"cate":"Capacitor",</v>
      </c>
      <c r="AKW12" t="str">
        <f t="shared" si="15"/>
        <v>"cate":"IC",</v>
      </c>
      <c r="AKX12" t="str">
        <f t="shared" si="15"/>
        <v>"cate":"Terminal",</v>
      </c>
      <c r="AKY12" t="str">
        <f t="shared" si="15"/>
        <v>"cate":"Capacitor",</v>
      </c>
      <c r="AKZ12" t="str">
        <f t="shared" si="15"/>
        <v>"cate":"Capacitor",</v>
      </c>
      <c r="ALA12" t="str">
        <f t="shared" si="15"/>
        <v>"cate":"Transistor",</v>
      </c>
      <c r="ALB12" t="str">
        <f t="shared" si="15"/>
        <v>"cate":"Transistor",</v>
      </c>
      <c r="ALC12" t="str">
        <f t="shared" si="15"/>
        <v>"cate":"Capacitor",</v>
      </c>
      <c r="ALD12" t="str">
        <f t="shared" si="15"/>
        <v>"cate":"Capacitor",</v>
      </c>
      <c r="ALE12" t="str">
        <f t="shared" si="15"/>
        <v>"cate":"Capacitor",</v>
      </c>
      <c r="ALF12" t="str">
        <f t="shared" si="15"/>
        <v>"cate":"Resistor ",</v>
      </c>
      <c r="ALG12" t="str">
        <f t="shared" si="15"/>
        <v>"cate":"Resistor ",</v>
      </c>
      <c r="ALH12" t="str">
        <f t="shared" si="15"/>
        <v>"cate":"Resistor ",</v>
      </c>
      <c r="ALI12" t="str">
        <f t="shared" si="15"/>
        <v>"cate":"Resistor ",</v>
      </c>
      <c r="ALJ12" t="str">
        <f t="shared" si="15"/>
        <v>"cate":"Resistor ",</v>
      </c>
      <c r="ALK12" t="str">
        <f t="shared" si="15"/>
        <v>"cate":"IC",</v>
      </c>
      <c r="ALL12" t="str">
        <f t="shared" si="15"/>
        <v>"cate":"IC",</v>
      </c>
      <c r="ALM12" t="str">
        <f t="shared" si="15"/>
        <v>"cate":"IC",</v>
      </c>
      <c r="ALN12" t="str">
        <f t="shared" si="15"/>
        <v>"cate":"IC",</v>
      </c>
      <c r="ALO12" t="str">
        <f t="shared" si="15"/>
        <v>"cate":"Capacitor",</v>
      </c>
      <c r="ALP12" t="str">
        <f t="shared" si="15"/>
        <v>"cate":"Capacitor",</v>
      </c>
      <c r="ALQ12" t="str">
        <f t="shared" si="15"/>
        <v>"cate":"Capacitor",</v>
      </c>
      <c r="ALR12" t="str">
        <f t="shared" si="15"/>
        <v>"cate":"Capacitor",</v>
      </c>
      <c r="ALS12" t="str">
        <f t="shared" si="15"/>
        <v>"cate":"Capacitor",</v>
      </c>
      <c r="ALT12" t="str">
        <f t="shared" si="15"/>
        <v>"cate":"Capacitor",</v>
      </c>
      <c r="ALU12" t="str">
        <f t="shared" si="15"/>
        <v>"cate":"SPAC",</v>
      </c>
      <c r="ALV12" t="str">
        <f t="shared" si="15"/>
        <v>"cate":"Diode",</v>
      </c>
      <c r="ALW12" t="str">
        <f t="shared" si="15"/>
        <v>"cate":"Resistor ",</v>
      </c>
      <c r="ALX12" t="str">
        <f t="shared" si="15"/>
        <v>"cate":"Resistor ",</v>
      </c>
      <c r="ALY12" t="str">
        <f t="shared" si="15"/>
        <v>"cate":"Resistor ",</v>
      </c>
      <c r="ALZ12" t="str">
        <f t="shared" si="15"/>
        <v>"cate":"Resistor ",</v>
      </c>
      <c r="AMA12" t="str">
        <f t="shared" si="15"/>
        <v>"cate":"Resistor ",</v>
      </c>
      <c r="AMB12" t="str">
        <f t="shared" si="15"/>
        <v>"cate":"Resistor ",</v>
      </c>
      <c r="AMC12" t="str">
        <f t="shared" si="15"/>
        <v>"cate":"Resistor ",</v>
      </c>
      <c r="AMD12" t="str">
        <f t="shared" si="15"/>
        <v>"cate":"Resistor ",</v>
      </c>
      <c r="AME12" t="str">
        <f t="shared" si="15"/>
        <v>"cate":"Resistor ",</v>
      </c>
      <c r="AMF12" t="str">
        <f t="shared" si="15"/>
        <v>"cate":"Resistor ",</v>
      </c>
      <c r="AMG12" t="str">
        <f t="shared" si="15"/>
        <v>"cate":"Capacitor",</v>
      </c>
      <c r="AMH12" t="str">
        <f t="shared" si="15"/>
        <v>"cate":"Resistor ",</v>
      </c>
      <c r="AMI12" t="str">
        <f t="shared" si="15"/>
        <v>"cate":"Resistor ",</v>
      </c>
      <c r="AMJ12" t="str">
        <f t="shared" si="15"/>
        <v>"cate":"IND ",</v>
      </c>
      <c r="AMK12" t="str">
        <f t="shared" si="15"/>
        <v>"cate":"Transistor",</v>
      </c>
      <c r="AML12" t="str">
        <f t="shared" si="15"/>
        <v>"cate":"Transistor",</v>
      </c>
      <c r="AMM12" t="str">
        <f t="shared" si="15"/>
        <v>"cate":"Diode",</v>
      </c>
      <c r="AMN12" t="str">
        <f t="shared" si="15"/>
        <v>"cate":"Diode",</v>
      </c>
      <c r="AMO12" t="str">
        <f t="shared" si="15"/>
        <v>"cate":"Resistor ",</v>
      </c>
      <c r="AMP12" t="str">
        <f t="shared" si="15"/>
        <v>"cate":"Capacitor",</v>
      </c>
      <c r="AMQ12" t="str">
        <f t="shared" si="15"/>
        <v>"cate":"Capacitor",</v>
      </c>
      <c r="AMR12" t="str">
        <f t="shared" si="15"/>
        <v>"cate":"Capacitor",</v>
      </c>
      <c r="AMS12" t="str">
        <f t="shared" si="15"/>
        <v>"cate":"Resistor ",</v>
      </c>
      <c r="AMT12" t="str">
        <f t="shared" si="15"/>
        <v>"cate":"Resistor ",</v>
      </c>
      <c r="AMU12" t="str">
        <f t="shared" si="15"/>
        <v>"cate":"Capacitor",</v>
      </c>
      <c r="AMV12" t="str">
        <f t="shared" si="15"/>
        <v>"cate":"Diode",</v>
      </c>
      <c r="AMW12" t="str">
        <f t="shared" si="15"/>
        <v>"cate":"Diode",</v>
      </c>
      <c r="AMX12" t="str">
        <f t="shared" ref="AMX12:API12" si="16">_xlfn.CONCAT("""",$L$6,"""",":","""",AMX6,"""",",")</f>
        <v>"cate":"Capacitor",</v>
      </c>
      <c r="AMY12" t="str">
        <f t="shared" si="16"/>
        <v>"cate":"Capacitor",</v>
      </c>
      <c r="AMZ12" t="str">
        <f t="shared" si="16"/>
        <v>"cate":"Capacitor",</v>
      </c>
      <c r="ANA12" t="str">
        <f t="shared" si="16"/>
        <v>"cate":"LED ",</v>
      </c>
      <c r="ANB12" t="str">
        <f t="shared" si="16"/>
        <v>"cate":"Diode",</v>
      </c>
      <c r="ANC12" t="str">
        <f t="shared" si="16"/>
        <v>"cate":"Resistor ",</v>
      </c>
      <c r="AND12" t="str">
        <f t="shared" si="16"/>
        <v>"cate":"Resistor ",</v>
      </c>
      <c r="ANE12" t="str">
        <f t="shared" si="16"/>
        <v>"cate":"Resistor ",</v>
      </c>
      <c r="ANF12" t="str">
        <f t="shared" si="16"/>
        <v>"cate":"Resistor ",</v>
      </c>
      <c r="ANG12" t="str">
        <f t="shared" si="16"/>
        <v>"cate":"Resistor ",</v>
      </c>
      <c r="ANH12" t="str">
        <f t="shared" si="16"/>
        <v>"cate":"Resistor ",</v>
      </c>
      <c r="ANI12" t="str">
        <f t="shared" si="16"/>
        <v>"cate":"Resistor ",</v>
      </c>
      <c r="ANJ12" t="str">
        <f t="shared" si="16"/>
        <v>"cate":"Diode",</v>
      </c>
      <c r="ANK12" t="str">
        <f t="shared" si="16"/>
        <v>"cate":"Resistor ",</v>
      </c>
      <c r="ANL12" t="str">
        <f t="shared" si="16"/>
        <v>"cate":"Capacitor",</v>
      </c>
      <c r="ANM12" t="str">
        <f t="shared" si="16"/>
        <v>"cate":"Capacitor",</v>
      </c>
      <c r="ANN12" t="str">
        <f t="shared" si="16"/>
        <v>"cate":"Capacitor",</v>
      </c>
      <c r="ANO12" t="str">
        <f t="shared" si="16"/>
        <v>"cate":"Capacitor",</v>
      </c>
      <c r="ANP12" t="str">
        <f t="shared" si="16"/>
        <v>"cate":"Capacitor",</v>
      </c>
      <c r="ANQ12" t="str">
        <f t="shared" si="16"/>
        <v>"cate":"Capacitor",</v>
      </c>
      <c r="ANR12" t="str">
        <f t="shared" si="16"/>
        <v>"cate":"Capacitor",</v>
      </c>
      <c r="ANS12" t="str">
        <f t="shared" si="16"/>
        <v>"cate":"Capacitor",</v>
      </c>
      <c r="ANT12" t="str">
        <f t="shared" si="16"/>
        <v>"cate":"Diode",</v>
      </c>
      <c r="ANU12" t="str">
        <f t="shared" si="16"/>
        <v>"cate":"Diode",</v>
      </c>
      <c r="ANV12" t="str">
        <f t="shared" si="16"/>
        <v>"cate":"Diode",</v>
      </c>
      <c r="ANW12" t="str">
        <f t="shared" si="16"/>
        <v>"cate":"LED ",</v>
      </c>
      <c r="ANX12" t="str">
        <f t="shared" si="16"/>
        <v>"cate":"Capacitor",</v>
      </c>
      <c r="ANY12" t="str">
        <f t="shared" si="16"/>
        <v>"cate":"Capacitor",</v>
      </c>
      <c r="ANZ12" t="str">
        <f t="shared" si="16"/>
        <v>"cate":"Diode",</v>
      </c>
      <c r="AOA12" t="str">
        <f t="shared" si="16"/>
        <v>"cate":"Diode",</v>
      </c>
      <c r="AOB12" t="str">
        <f t="shared" si="16"/>
        <v>"cate":"Resistor ",</v>
      </c>
      <c r="AOC12" t="str">
        <f t="shared" si="16"/>
        <v>"cate":"Resistor ",</v>
      </c>
      <c r="AOD12" t="str">
        <f t="shared" si="16"/>
        <v>"cate":"Resistor ",</v>
      </c>
      <c r="AOE12" t="str">
        <f t="shared" si="16"/>
        <v>"cate":"Resistor ",</v>
      </c>
      <c r="AOF12" t="str">
        <f t="shared" si="16"/>
        <v>"cate":"Resistor ",</v>
      </c>
      <c r="AOG12" t="str">
        <f t="shared" si="16"/>
        <v>"cate":"Diode",</v>
      </c>
      <c r="AOH12" t="str">
        <f t="shared" si="16"/>
        <v>"cate":"Capacitor",</v>
      </c>
      <c r="AOI12" t="str">
        <f t="shared" si="16"/>
        <v>"cate":"Capacitor",</v>
      </c>
      <c r="AOJ12" t="str">
        <f t="shared" si="16"/>
        <v>"cate":"Resistor ",</v>
      </c>
      <c r="AOK12" t="str">
        <f t="shared" si="16"/>
        <v>"cate":"NTC ",</v>
      </c>
      <c r="AOL12" t="str">
        <f t="shared" si="16"/>
        <v>"cate":"NTC ",</v>
      </c>
      <c r="AOM12" t="str">
        <f t="shared" si="16"/>
        <v>"cate":"NTC ",</v>
      </c>
      <c r="AON12" t="str">
        <f t="shared" si="16"/>
        <v>"cate":"Resistor ",</v>
      </c>
      <c r="AOO12" t="str">
        <f t="shared" si="16"/>
        <v>"cate":"Capacitor",</v>
      </c>
      <c r="AOP12" t="str">
        <f t="shared" si="16"/>
        <v>"cate":"Capacitor",</v>
      </c>
      <c r="AOQ12" t="str">
        <f t="shared" si="16"/>
        <v>"cate":"Capacitor",</v>
      </c>
      <c r="AOR12" t="str">
        <f t="shared" si="16"/>
        <v>"cate":"Capacitor",</v>
      </c>
      <c r="AOS12" t="str">
        <f t="shared" si="16"/>
        <v>"cate":"Diode",</v>
      </c>
      <c r="AOT12" t="str">
        <f t="shared" si="16"/>
        <v>"cate":"Diode",</v>
      </c>
      <c r="AOU12" t="str">
        <f t="shared" si="16"/>
        <v>"cate":"Capacitor",</v>
      </c>
      <c r="AOV12" t="str">
        <f t="shared" si="16"/>
        <v>"cate":"Transistor",</v>
      </c>
      <c r="AOW12" t="str">
        <f t="shared" si="16"/>
        <v>"cate":"Transistor",</v>
      </c>
      <c r="AOX12" t="str">
        <f t="shared" si="16"/>
        <v>"cate":"Capacitor",</v>
      </c>
      <c r="AOY12" t="str">
        <f t="shared" si="16"/>
        <v>"cate":"IC",</v>
      </c>
      <c r="AOZ12" t="str">
        <f t="shared" si="16"/>
        <v>"cate":"Resistor ",</v>
      </c>
      <c r="APA12" t="str">
        <f t="shared" si="16"/>
        <v>"cate":"Resistor ",</v>
      </c>
      <c r="APB12" t="str">
        <f t="shared" si="16"/>
        <v>"cate":"Resistor ",</v>
      </c>
      <c r="APC12" t="str">
        <f t="shared" si="16"/>
        <v>"cate":"R10K",</v>
      </c>
      <c r="APD12" t="str">
        <f t="shared" si="16"/>
        <v>"cate":"SPAC",</v>
      </c>
      <c r="APE12" t="str">
        <f t="shared" si="16"/>
        <v>"cate":"BOBBIN",</v>
      </c>
      <c r="APF12" t="str">
        <f t="shared" si="16"/>
        <v>"cate":"BOBBIN",</v>
      </c>
      <c r="APG12" t="str">
        <f t="shared" si="16"/>
        <v>"cate":"BOBBIN",</v>
      </c>
      <c r="APH12" t="str">
        <f t="shared" si="16"/>
        <v>"cate":"FUSE",</v>
      </c>
      <c r="API12" t="str">
        <f t="shared" si="16"/>
        <v>"cate":"FUSE",</v>
      </c>
      <c r="APJ12" t="str">
        <f t="shared" ref="APJ12:ARU12" si="17">_xlfn.CONCAT("""",$L$6,"""",":","""",APJ6,"""",",")</f>
        <v>"cate":"IC",</v>
      </c>
      <c r="APK12" t="str">
        <f t="shared" si="17"/>
        <v>"cate":"IC",</v>
      </c>
      <c r="APL12" t="str">
        <f t="shared" si="17"/>
        <v>"cate":"Capacitor",</v>
      </c>
      <c r="APM12" t="str">
        <f t="shared" si="17"/>
        <v>"cate":"Capacitor",</v>
      </c>
      <c r="APN12" t="str">
        <f t="shared" si="17"/>
        <v>"cate":"Capacitor",</v>
      </c>
      <c r="APO12" t="str">
        <f t="shared" si="17"/>
        <v>"cate":"IC",</v>
      </c>
      <c r="APP12" t="str">
        <f t="shared" si="17"/>
        <v>"cate":"Resistor ",</v>
      </c>
      <c r="APQ12" t="str">
        <f t="shared" si="17"/>
        <v>"cate":"Resistor ",</v>
      </c>
      <c r="APR12" t="str">
        <f t="shared" si="17"/>
        <v>"cate":"Resistor ",</v>
      </c>
      <c r="APS12" t="str">
        <f t="shared" si="17"/>
        <v>"cate":"Resistor ",</v>
      </c>
      <c r="APT12" t="str">
        <f t="shared" si="17"/>
        <v>"cate":"Diode",</v>
      </c>
      <c r="APU12" t="str">
        <f t="shared" si="17"/>
        <v>"cate":"Diode",</v>
      </c>
      <c r="APV12" t="str">
        <f t="shared" si="17"/>
        <v>"cate":"Diode",</v>
      </c>
      <c r="APW12" t="str">
        <f t="shared" si="17"/>
        <v>"cate":"Diode",</v>
      </c>
      <c r="APX12" t="str">
        <f t="shared" si="17"/>
        <v>"cate":"NTC ",</v>
      </c>
      <c r="APY12" t="str">
        <f t="shared" si="17"/>
        <v>"cate":"Resistor ",</v>
      </c>
      <c r="APZ12" t="str">
        <f t="shared" si="17"/>
        <v>"cate":"Capacitor",</v>
      </c>
      <c r="AQA12" t="str">
        <f t="shared" si="17"/>
        <v>"cate":"Capacitor",</v>
      </c>
      <c r="AQB12" t="str">
        <f t="shared" si="17"/>
        <v>"cate":"IC",</v>
      </c>
      <c r="AQC12" t="str">
        <f t="shared" si="17"/>
        <v>"cate":"Resistor ",</v>
      </c>
      <c r="AQD12" t="str">
        <f t="shared" si="17"/>
        <v>"cate":"Resistor ",</v>
      </c>
      <c r="AQE12" t="str">
        <f t="shared" si="17"/>
        <v>"cate":"Resistor ",</v>
      </c>
      <c r="AQF12" t="str">
        <f t="shared" si="17"/>
        <v>"cate":"Resistor ",</v>
      </c>
      <c r="AQG12" t="str">
        <f t="shared" si="17"/>
        <v>"cate":"MA-1",</v>
      </c>
      <c r="AQH12" t="str">
        <f t="shared" si="17"/>
        <v>"cate":"MA-1",</v>
      </c>
      <c r="AQI12" t="str">
        <f t="shared" si="17"/>
        <v>"cate":"MA-1",</v>
      </c>
      <c r="AQJ12" t="str">
        <f t="shared" si="17"/>
        <v>"cate":"IND ",</v>
      </c>
      <c r="AQK12" t="str">
        <f t="shared" si="17"/>
        <v>"cate":"Resistor ",</v>
      </c>
      <c r="AQL12" t="str">
        <f t="shared" si="17"/>
        <v>"cate":"Resistor ",</v>
      </c>
      <c r="AQM12" t="str">
        <f t="shared" si="17"/>
        <v>"cate":"IC",</v>
      </c>
      <c r="AQN12" t="str">
        <f t="shared" si="17"/>
        <v>"cate":"IC",</v>
      </c>
      <c r="AQO12" t="str">
        <f t="shared" si="17"/>
        <v>"cate":"HEAD",</v>
      </c>
      <c r="AQP12" t="str">
        <f t="shared" si="17"/>
        <v>"cate":"HEAD",</v>
      </c>
      <c r="AQQ12" t="str">
        <f t="shared" si="17"/>
        <v>"cate":"HEAD",</v>
      </c>
      <c r="AQR12" t="str">
        <f t="shared" si="17"/>
        <v>"cate":"HEAD",</v>
      </c>
      <c r="AQS12" t="str">
        <f t="shared" si="17"/>
        <v>"cate":"HEAD",</v>
      </c>
      <c r="AQT12" t="str">
        <f t="shared" si="17"/>
        <v>"cate":"HEAD",</v>
      </c>
      <c r="AQU12" t="str">
        <f t="shared" si="17"/>
        <v>"cate":"Diode",</v>
      </c>
      <c r="AQV12" t="str">
        <f t="shared" si="17"/>
        <v>"cate":"Diode",</v>
      </c>
      <c r="AQW12" t="str">
        <f t="shared" si="17"/>
        <v>"cate":"Diode",</v>
      </c>
      <c r="AQX12" t="str">
        <f t="shared" si="17"/>
        <v>"cate":"Capacitor",</v>
      </c>
      <c r="AQY12" t="str">
        <f t="shared" si="17"/>
        <v>"cate":"Capacitor",</v>
      </c>
      <c r="AQZ12" t="str">
        <f t="shared" si="17"/>
        <v>"cate":"Capacitor",</v>
      </c>
      <c r="ARA12" t="str">
        <f t="shared" si="17"/>
        <v>"cate":"Diode",</v>
      </c>
      <c r="ARB12" t="str">
        <f t="shared" si="17"/>
        <v>"cate":"Resistor ",</v>
      </c>
      <c r="ARC12" t="str">
        <f t="shared" si="17"/>
        <v>"cate":"Resistor ",</v>
      </c>
      <c r="ARD12" t="str">
        <f t="shared" si="17"/>
        <v>"cate":"Diode",</v>
      </c>
      <c r="ARE12" t="str">
        <f t="shared" si="17"/>
        <v>"cate":"Diode",</v>
      </c>
      <c r="ARF12" t="str">
        <f t="shared" si="17"/>
        <v>"cate":"Diode",</v>
      </c>
      <c r="ARG12" t="str">
        <f t="shared" si="17"/>
        <v>"cate":"Diode",</v>
      </c>
      <c r="ARH12" t="str">
        <f t="shared" si="17"/>
        <v>"cate":"IC",</v>
      </c>
      <c r="ARI12" t="str">
        <f t="shared" si="17"/>
        <v>"cate":"IC",</v>
      </c>
      <c r="ARJ12" t="str">
        <f t="shared" si="17"/>
        <v>"cate":"IC",</v>
      </c>
      <c r="ARK12" t="str">
        <f t="shared" si="17"/>
        <v>"cate":"Capacitor",</v>
      </c>
      <c r="ARL12" t="str">
        <f t="shared" si="17"/>
        <v>"cate":"Resistor ",</v>
      </c>
      <c r="ARM12" t="str">
        <f t="shared" si="17"/>
        <v>"cate":"Resistor ",</v>
      </c>
      <c r="ARN12" t="str">
        <f t="shared" si="17"/>
        <v>"cate":"Resistor ",</v>
      </c>
      <c r="ARO12" t="str">
        <f t="shared" si="17"/>
        <v>"cate":"Resistor ",</v>
      </c>
      <c r="ARP12" t="str">
        <f t="shared" si="17"/>
        <v>"cate":"Resistor ",</v>
      </c>
      <c r="ARQ12" t="str">
        <f t="shared" si="17"/>
        <v>"cate":"Resistor ",</v>
      </c>
      <c r="ARR12" t="str">
        <f t="shared" si="17"/>
        <v>"cate":"Resistor ",</v>
      </c>
      <c r="ARS12" t="str">
        <f t="shared" si="17"/>
        <v>"cate":"LED ",</v>
      </c>
      <c r="ART12" t="str">
        <f t="shared" si="17"/>
        <v>"cate":"NTC ",</v>
      </c>
      <c r="ARU12" t="str">
        <f t="shared" si="17"/>
        <v>"cate":"NTC ",</v>
      </c>
      <c r="ARV12" t="str">
        <f t="shared" ref="ARV12:AUG12" si="18">_xlfn.CONCAT("""",$L$6,"""",":","""",ARV6,"""",",")</f>
        <v>"cate":"Capacitor",</v>
      </c>
      <c r="ARW12" t="str">
        <f t="shared" si="18"/>
        <v>"cate":"Resistor ",</v>
      </c>
      <c r="ARX12" t="str">
        <f t="shared" si="18"/>
        <v>"cate":"Capacitor",</v>
      </c>
      <c r="ARY12" t="str">
        <f t="shared" si="18"/>
        <v>"cate":"Capacitor",</v>
      </c>
      <c r="ARZ12" t="str">
        <f t="shared" si="18"/>
        <v>"cate":"Resistor ",</v>
      </c>
      <c r="ASA12" t="str">
        <f t="shared" si="18"/>
        <v>"cate":"Resistor ",</v>
      </c>
      <c r="ASB12" t="str">
        <f t="shared" si="18"/>
        <v>"cate":"Resistor ",</v>
      </c>
      <c r="ASC12" t="str">
        <f t="shared" si="18"/>
        <v>"cate":"IC",</v>
      </c>
      <c r="ASD12" t="str">
        <f t="shared" si="18"/>
        <v>"cate":"IC",</v>
      </c>
      <c r="ASE12" t="str">
        <f t="shared" si="18"/>
        <v>"cate":"Capacitor",</v>
      </c>
      <c r="ASF12" t="str">
        <f t="shared" si="18"/>
        <v>"cate":"Capacitor",</v>
      </c>
      <c r="ASG12" t="str">
        <f t="shared" si="18"/>
        <v>"cate":"Diode",</v>
      </c>
      <c r="ASH12" t="str">
        <f t="shared" si="18"/>
        <v>"cate":"Diode",</v>
      </c>
      <c r="ASI12" t="str">
        <f t="shared" si="18"/>
        <v>"cate":"Diode",</v>
      </c>
      <c r="ASJ12" t="str">
        <f t="shared" si="18"/>
        <v>"cate":"Capacitor",</v>
      </c>
      <c r="ASK12" t="str">
        <f t="shared" si="18"/>
        <v>"cate":"IND ",</v>
      </c>
      <c r="ASL12" t="str">
        <f t="shared" si="18"/>
        <v>"cate":"IND ",</v>
      </c>
      <c r="ASM12" t="str">
        <f t="shared" si="18"/>
        <v>"cate":"IND ",</v>
      </c>
      <c r="ASN12" t="str">
        <f t="shared" si="18"/>
        <v>"cate":"Resistor ",</v>
      </c>
      <c r="ASO12" t="str">
        <f t="shared" si="18"/>
        <v>"cate":"Capacitor",</v>
      </c>
      <c r="ASP12" t="str">
        <f t="shared" si="18"/>
        <v>"cate":"Capacitor",</v>
      </c>
      <c r="ASQ12" t="str">
        <f t="shared" si="18"/>
        <v>"cate":"Capacitor",</v>
      </c>
      <c r="ASR12" t="str">
        <f t="shared" si="18"/>
        <v>"cate":"Capacitor",</v>
      </c>
      <c r="ASS12" t="str">
        <f t="shared" si="18"/>
        <v>"cate":"Capacitor",</v>
      </c>
      <c r="AST12" t="str">
        <f t="shared" si="18"/>
        <v>"cate":"MOSFET",</v>
      </c>
      <c r="ASU12" t="str">
        <f t="shared" si="18"/>
        <v>"cate":"MOSFET",</v>
      </c>
      <c r="ASV12" t="str">
        <f t="shared" si="18"/>
        <v>"cate":"Choke Coil",</v>
      </c>
      <c r="ASW12" t="str">
        <f t="shared" si="18"/>
        <v>"cate":"Choke Coil",</v>
      </c>
      <c r="ASX12" t="str">
        <f t="shared" si="18"/>
        <v>"cate":"Resistor ",</v>
      </c>
      <c r="ASY12" t="str">
        <f t="shared" si="18"/>
        <v>"cate":"Resistor ",</v>
      </c>
      <c r="ASZ12" t="str">
        <f t="shared" si="18"/>
        <v>"cate":"Resistor ",</v>
      </c>
      <c r="ATA12" t="str">
        <f t="shared" si="18"/>
        <v>"cate":"Resistor ",</v>
      </c>
      <c r="ATB12" t="str">
        <f t="shared" si="18"/>
        <v>"cate":"Resistor ",</v>
      </c>
      <c r="ATC12" t="str">
        <f t="shared" si="18"/>
        <v>"cate":"Capacitor",</v>
      </c>
      <c r="ATD12" t="str">
        <f t="shared" si="18"/>
        <v>"cate":"Capacitor",</v>
      </c>
      <c r="ATE12" t="str">
        <f t="shared" si="18"/>
        <v>"cate":"Capacitor",</v>
      </c>
      <c r="ATF12" t="str">
        <f t="shared" si="18"/>
        <v>"cate":"Capacitor",</v>
      </c>
      <c r="ATG12" t="str">
        <f t="shared" si="18"/>
        <v>"cate":"Capacitor",</v>
      </c>
      <c r="ATH12" t="str">
        <f t="shared" si="18"/>
        <v>"cate":"Capacitor",</v>
      </c>
      <c r="ATI12" t="str">
        <f t="shared" si="18"/>
        <v>"cate":"Capacitor",</v>
      </c>
      <c r="ATJ12" t="str">
        <f t="shared" si="18"/>
        <v>"cate":"Capacitor",</v>
      </c>
      <c r="ATK12" t="str">
        <f t="shared" si="18"/>
        <v>"cate":"MOSFET",</v>
      </c>
      <c r="ATL12" t="str">
        <f t="shared" si="18"/>
        <v>"cate":"Capacitor",</v>
      </c>
      <c r="ATM12" t="str">
        <f t="shared" si="18"/>
        <v>"cate":"Capacitor",</v>
      </c>
      <c r="ATN12" t="str">
        <f t="shared" si="18"/>
        <v>"cate":"Capacitor",</v>
      </c>
      <c r="ATO12" t="str">
        <f t="shared" si="18"/>
        <v>"cate":"Capacitor",</v>
      </c>
      <c r="ATP12" t="str">
        <f t="shared" si="18"/>
        <v>"cate":"HEAD",</v>
      </c>
      <c r="ATQ12" t="str">
        <f t="shared" si="18"/>
        <v>"cate":"HEAD",</v>
      </c>
      <c r="ATR12" t="str">
        <f t="shared" si="18"/>
        <v>"cate":"TAPE",</v>
      </c>
      <c r="ATS12" t="str">
        <f t="shared" si="18"/>
        <v>"cate":"Capacitor",</v>
      </c>
      <c r="ATT12" t="str">
        <f t="shared" si="18"/>
        <v>"cate":"Capacitor",</v>
      </c>
      <c r="ATU12" t="str">
        <f t="shared" si="18"/>
        <v>"cate":"Capacitor",</v>
      </c>
      <c r="ATV12" t="str">
        <f t="shared" si="18"/>
        <v>"cate":"Capacitor",</v>
      </c>
      <c r="ATW12" t="str">
        <f t="shared" si="18"/>
        <v>"cate":"DIO ",</v>
      </c>
      <c r="ATX12" t="str">
        <f t="shared" si="18"/>
        <v>"cate":"DIO ",</v>
      </c>
      <c r="ATY12" t="str">
        <f t="shared" si="18"/>
        <v>"cate":"DIO ",</v>
      </c>
      <c r="ATZ12" t="str">
        <f t="shared" si="18"/>
        <v>"cate":"DIO ",</v>
      </c>
      <c r="AUA12" t="str">
        <f t="shared" si="18"/>
        <v>"cate":"Capacitor",</v>
      </c>
      <c r="AUB12" t="str">
        <f t="shared" si="18"/>
        <v>"cate":"Capacitor",</v>
      </c>
      <c r="AUC12" t="str">
        <f t="shared" si="18"/>
        <v>"cate":"IC",</v>
      </c>
      <c r="AUD12" t="str">
        <f t="shared" si="18"/>
        <v>"cate":"IC",</v>
      </c>
      <c r="AUE12" t="str">
        <f t="shared" si="18"/>
        <v>"cate":"IC",</v>
      </c>
      <c r="AUF12" t="str">
        <f t="shared" si="18"/>
        <v>"cate":"FUSE",</v>
      </c>
      <c r="AUG12" t="str">
        <f t="shared" si="18"/>
        <v>"cate":"Resistor ",</v>
      </c>
      <c r="AUH12" t="str">
        <f t="shared" ref="AUH12:AWS12" si="19">_xlfn.CONCAT("""",$L$6,"""",":","""",AUH6,"""",",")</f>
        <v>"cate":"Diode",</v>
      </c>
      <c r="AUI12" t="str">
        <f t="shared" si="19"/>
        <v>"cate":"Diode",</v>
      </c>
      <c r="AUJ12" t="str">
        <f t="shared" si="19"/>
        <v>"cate":"Diode",</v>
      </c>
      <c r="AUK12" t="str">
        <f t="shared" si="19"/>
        <v>"cate":"Resistor ",</v>
      </c>
      <c r="AUL12" t="str">
        <f t="shared" si="19"/>
        <v>"cate":"Resistor ",</v>
      </c>
      <c r="AUM12" t="str">
        <f t="shared" si="19"/>
        <v>"cate":"Resistor ",</v>
      </c>
      <c r="AUN12" t="str">
        <f t="shared" si="19"/>
        <v>"cate":"Resistor ",</v>
      </c>
      <c r="AUO12" t="str">
        <f t="shared" si="19"/>
        <v>"cate":"Capacitor",</v>
      </c>
      <c r="AUP12" t="str">
        <f t="shared" si="19"/>
        <v>"cate":"Capacitor",</v>
      </c>
      <c r="AUQ12" t="str">
        <f t="shared" si="19"/>
        <v>"cate":"Capacitor",</v>
      </c>
      <c r="AUR12" t="str">
        <f t="shared" si="19"/>
        <v>"cate":"Capacitor",</v>
      </c>
      <c r="AUS12" t="str">
        <f t="shared" si="19"/>
        <v>"cate":"Capacitor",</v>
      </c>
      <c r="AUT12" t="str">
        <f t="shared" si="19"/>
        <v>"cate":"Capacitor",</v>
      </c>
      <c r="AUU12" t="str">
        <f t="shared" si="19"/>
        <v>"cate":"Capacitor",</v>
      </c>
      <c r="AUV12" t="str">
        <f t="shared" si="19"/>
        <v>"cate":"Capacitor",</v>
      </c>
      <c r="AUW12" t="str">
        <f t="shared" si="19"/>
        <v>"cate":"Capacitor",</v>
      </c>
      <c r="AUX12" t="str">
        <f t="shared" si="19"/>
        <v>"cate":"GLOV",</v>
      </c>
      <c r="AUY12" t="str">
        <f t="shared" si="19"/>
        <v>"cate":"Resistor ",</v>
      </c>
      <c r="AUZ12" t="str">
        <f t="shared" si="19"/>
        <v>"cate":"Resistor ",</v>
      </c>
      <c r="AVA12" t="str">
        <f t="shared" si="19"/>
        <v>"cate":"Capacitor",</v>
      </c>
      <c r="AVB12" t="str">
        <f t="shared" si="19"/>
        <v>"cate":"FUSE",</v>
      </c>
      <c r="AVC12" t="str">
        <f t="shared" si="19"/>
        <v>"cate":"IC",</v>
      </c>
      <c r="AVD12" t="str">
        <f t="shared" si="19"/>
        <v>"cate":"IC",</v>
      </c>
      <c r="AVE12" t="str">
        <f t="shared" si="19"/>
        <v>"cate":"IC",</v>
      </c>
      <c r="AVF12" t="str">
        <f t="shared" si="19"/>
        <v>"cate":"Resistor ",</v>
      </c>
      <c r="AVG12" t="str">
        <f t="shared" si="19"/>
        <v>"cate":"Resistor ",</v>
      </c>
      <c r="AVH12" t="str">
        <f t="shared" si="19"/>
        <v>"cate":"Resistor ",</v>
      </c>
      <c r="AVI12" t="str">
        <f t="shared" si="19"/>
        <v>"cate":"Resistor ",</v>
      </c>
      <c r="AVJ12" t="str">
        <f t="shared" si="19"/>
        <v>"cate":"Resistor ",</v>
      </c>
      <c r="AVK12" t="str">
        <f t="shared" si="19"/>
        <v>"cate":"Resistor ",</v>
      </c>
      <c r="AVL12" t="str">
        <f t="shared" si="19"/>
        <v>"cate":"Resistor ",</v>
      </c>
      <c r="AVM12" t="str">
        <f t="shared" si="19"/>
        <v>"cate":"Resistor ",</v>
      </c>
      <c r="AVN12" t="str">
        <f t="shared" si="19"/>
        <v>"cate":"Resistor ",</v>
      </c>
      <c r="AVO12" t="str">
        <f t="shared" si="19"/>
        <v>"cate":"Capacitor",</v>
      </c>
      <c r="AVP12" t="str">
        <f t="shared" si="19"/>
        <v>"cate":"Capacitor",</v>
      </c>
      <c r="AVQ12" t="str">
        <f t="shared" si="19"/>
        <v>"cate":"Diode",</v>
      </c>
      <c r="AVR12" t="str">
        <f t="shared" si="19"/>
        <v>"cate":"NTC ",</v>
      </c>
      <c r="AVS12" t="str">
        <f t="shared" si="19"/>
        <v>"cate":"Resistor ",</v>
      </c>
      <c r="AVT12" t="str">
        <f t="shared" si="19"/>
        <v>"cate":"Resistor ",</v>
      </c>
      <c r="AVU12" t="str">
        <f t="shared" si="19"/>
        <v>"cate":"MA-1",</v>
      </c>
      <c r="AVV12" t="str">
        <f t="shared" si="19"/>
        <v>"cate":"MA-1",</v>
      </c>
      <c r="AVW12" t="str">
        <f t="shared" si="19"/>
        <v>"cate":"Opto",</v>
      </c>
      <c r="AVX12" t="str">
        <f t="shared" si="19"/>
        <v>"cate":"Opto",</v>
      </c>
      <c r="AVY12" t="str">
        <f t="shared" si="19"/>
        <v>"cate":"Opto",</v>
      </c>
      <c r="AVZ12" t="str">
        <f t="shared" si="19"/>
        <v>"cate":"Opto",</v>
      </c>
      <c r="AWA12" t="str">
        <f t="shared" si="19"/>
        <v>"cate":"Diode",</v>
      </c>
      <c r="AWB12" t="str">
        <f t="shared" si="19"/>
        <v>"cate":"Diode",</v>
      </c>
      <c r="AWC12" t="str">
        <f t="shared" si="19"/>
        <v>"cate":"Capacitor",</v>
      </c>
      <c r="AWD12" t="str">
        <f t="shared" si="19"/>
        <v>"cate":"Capacitor",</v>
      </c>
      <c r="AWE12" t="str">
        <f t="shared" si="19"/>
        <v>"cate":"MOSFET",</v>
      </c>
      <c r="AWF12" t="str">
        <f t="shared" si="19"/>
        <v>"cate":"Capacitor",</v>
      </c>
      <c r="AWG12" t="str">
        <f t="shared" si="19"/>
        <v>"cate":"Capacitor",</v>
      </c>
      <c r="AWH12" t="str">
        <f t="shared" si="19"/>
        <v>"cate":"FUSE",</v>
      </c>
      <c r="AWI12" t="str">
        <f t="shared" si="19"/>
        <v>"cate":"FUSE",</v>
      </c>
      <c r="AWJ12" t="str">
        <f t="shared" si="19"/>
        <v>"cate":"FUSE",</v>
      </c>
      <c r="AWK12" t="str">
        <f t="shared" si="19"/>
        <v>"cate":"Capacitor",</v>
      </c>
      <c r="AWL12" t="str">
        <f t="shared" si="19"/>
        <v>"cate":"Capacitor",</v>
      </c>
      <c r="AWM12" t="str">
        <f t="shared" si="19"/>
        <v>"cate":"Resistor ",</v>
      </c>
      <c r="AWN12" t="str">
        <f t="shared" si="19"/>
        <v>"cate":"Resistor ",</v>
      </c>
      <c r="AWO12" t="str">
        <f t="shared" si="19"/>
        <v>"cate":"Resistor ",</v>
      </c>
      <c r="AWP12" t="str">
        <f t="shared" si="19"/>
        <v>"cate":"XTAL",</v>
      </c>
      <c r="AWQ12" t="str">
        <f t="shared" si="19"/>
        <v>"cate":"MOSFET",</v>
      </c>
      <c r="AWR12" t="str">
        <f t="shared" si="19"/>
        <v>"cate":"MOSFET",</v>
      </c>
      <c r="AWS12" t="str">
        <f t="shared" si="19"/>
        <v>"cate":"Capacitor",</v>
      </c>
      <c r="AWT12" t="str">
        <f t="shared" ref="AWT12:AZE12" si="20">_xlfn.CONCAT("""",$L$6,"""",":","""",AWT6,"""",",")</f>
        <v>"cate":"Resistor ",</v>
      </c>
      <c r="AWU12" t="str">
        <f t="shared" si="20"/>
        <v>"cate":"Resistor ",</v>
      </c>
      <c r="AWV12" t="str">
        <f t="shared" si="20"/>
        <v>"cate":"Resistor ",</v>
      </c>
      <c r="AWW12" t="str">
        <f t="shared" si="20"/>
        <v>"cate":"Resistor ",</v>
      </c>
      <c r="AWX12" t="str">
        <f t="shared" si="20"/>
        <v>"cate":"JUMP",</v>
      </c>
      <c r="AWY12" t="str">
        <f t="shared" si="20"/>
        <v>"cate":"Capacitor",</v>
      </c>
      <c r="AWZ12" t="str">
        <f t="shared" si="20"/>
        <v>"cate":"IC",</v>
      </c>
      <c r="AXA12" t="str">
        <f t="shared" si="20"/>
        <v>"cate":"IC",</v>
      </c>
      <c r="AXB12" t="str">
        <f t="shared" si="20"/>
        <v>"cate":"Resistor ",</v>
      </c>
      <c r="AXC12" t="str">
        <f t="shared" si="20"/>
        <v>"cate":"GLUE",</v>
      </c>
      <c r="AXD12" t="str">
        <f t="shared" si="20"/>
        <v>"cate":"Resistor ",</v>
      </c>
      <c r="AXE12" t="str">
        <f t="shared" si="20"/>
        <v>"cate":"Resistor ",</v>
      </c>
      <c r="AXF12" t="str">
        <f t="shared" si="20"/>
        <v>"cate":"Resistor ",</v>
      </c>
      <c r="AXG12" t="str">
        <f t="shared" si="20"/>
        <v>"cate":"Capacitor",</v>
      </c>
      <c r="AXH12" t="str">
        <f t="shared" si="20"/>
        <v>"cate":"Capacitor",</v>
      </c>
      <c r="AXI12" t="str">
        <f t="shared" si="20"/>
        <v>"cate":"Capacitor",</v>
      </c>
      <c r="AXJ12" t="str">
        <f t="shared" si="20"/>
        <v>"cate":"DUST",</v>
      </c>
      <c r="AXK12" t="str">
        <f t="shared" si="20"/>
        <v>"cate":"Capacitor",</v>
      </c>
      <c r="AXL12" t="str">
        <f t="shared" si="20"/>
        <v>"cate":"IC",</v>
      </c>
      <c r="AXM12" t="str">
        <f t="shared" si="20"/>
        <v>"cate":"IC",</v>
      </c>
      <c r="AXN12" t="str">
        <f t="shared" si="20"/>
        <v>"cate":"IC",</v>
      </c>
      <c r="AXO12" t="str">
        <f t="shared" si="20"/>
        <v>"cate":"IC",</v>
      </c>
      <c r="AXP12" t="str">
        <f t="shared" si="20"/>
        <v>"cate":"Resistor ",</v>
      </c>
      <c r="AXQ12" t="str">
        <f t="shared" si="20"/>
        <v>"cate":"Resistor ",</v>
      </c>
      <c r="AXR12" t="str">
        <f t="shared" si="20"/>
        <v>"cate":"Resistor ",</v>
      </c>
      <c r="AXS12" t="str">
        <f t="shared" si="20"/>
        <v>"cate":"MOSFET",</v>
      </c>
      <c r="AXT12" t="str">
        <f t="shared" si="20"/>
        <v>"cate":"MOSFET",</v>
      </c>
      <c r="AXU12" t="str">
        <f t="shared" si="20"/>
        <v>"cate":"Capacitor",</v>
      </c>
      <c r="AXV12" t="str">
        <f t="shared" si="20"/>
        <v>"cate":"Resistor ",</v>
      </c>
      <c r="AXW12" t="str">
        <f t="shared" si="20"/>
        <v>"cate":"Resistor ",</v>
      </c>
      <c r="AXX12" t="str">
        <f t="shared" si="20"/>
        <v>"cate":"Capacitor",</v>
      </c>
      <c r="AXY12" t="str">
        <f t="shared" si="20"/>
        <v>"cate":"Capacitor",</v>
      </c>
      <c r="AXZ12" t="str">
        <f t="shared" si="20"/>
        <v>"cate":"Resistor ",</v>
      </c>
      <c r="AYA12" t="str">
        <f t="shared" si="20"/>
        <v>"cate":"Capacitor",</v>
      </c>
      <c r="AYB12" t="str">
        <f t="shared" si="20"/>
        <v>"cate":"Resistor ",</v>
      </c>
      <c r="AYC12" t="str">
        <f t="shared" si="20"/>
        <v>"cate":"Resistor ",</v>
      </c>
      <c r="AYD12" t="str">
        <f t="shared" si="20"/>
        <v>"cate":"Resistor ",</v>
      </c>
      <c r="AYE12" t="str">
        <f t="shared" si="20"/>
        <v>"cate":"RM5/",</v>
      </c>
      <c r="AYF12" t="str">
        <f t="shared" si="20"/>
        <v>"cate":"IC",</v>
      </c>
      <c r="AYG12" t="str">
        <f t="shared" si="20"/>
        <v>"cate":"Terminal",</v>
      </c>
      <c r="AYH12" t="str">
        <f t="shared" si="20"/>
        <v>"cate":"Terminal",</v>
      </c>
      <c r="AYI12" t="str">
        <f t="shared" si="20"/>
        <v>"cate":"Terminal",</v>
      </c>
      <c r="AYJ12" t="str">
        <f t="shared" si="20"/>
        <v>"cate":"MOSFET",</v>
      </c>
      <c r="AYK12" t="str">
        <f t="shared" si="20"/>
        <v>"cate":"MOSFET",</v>
      </c>
      <c r="AYL12" t="str">
        <f t="shared" si="20"/>
        <v>"cate":"Capacitor",</v>
      </c>
      <c r="AYM12" t="str">
        <f t="shared" si="20"/>
        <v>"cate":"Capacitor",</v>
      </c>
      <c r="AYN12" t="str">
        <f t="shared" si="20"/>
        <v>"cate":"Capacitor",</v>
      </c>
      <c r="AYO12" t="str">
        <f t="shared" si="20"/>
        <v>"cate":"Capacitor",</v>
      </c>
      <c r="AYP12" t="str">
        <f t="shared" si="20"/>
        <v>"cate":"Capacitor",</v>
      </c>
      <c r="AYQ12" t="str">
        <f t="shared" si="20"/>
        <v>"cate":"Capacitor",</v>
      </c>
      <c r="AYR12" t="str">
        <f t="shared" si="20"/>
        <v>"cate":"Capacitor",</v>
      </c>
      <c r="AYS12" t="str">
        <f t="shared" si="20"/>
        <v>"cate":"Capacitor",</v>
      </c>
      <c r="AYT12" t="str">
        <f t="shared" si="20"/>
        <v>"cate":"Capacitor",</v>
      </c>
      <c r="AYU12" t="str">
        <f t="shared" si="20"/>
        <v>"cate":"Capacitor",</v>
      </c>
      <c r="AYV12" t="str">
        <f t="shared" si="20"/>
        <v>"cate":"Capacitor",</v>
      </c>
      <c r="AYW12" t="str">
        <f t="shared" si="20"/>
        <v>"cate":"Resistor ",</v>
      </c>
      <c r="AYX12" t="str">
        <f t="shared" si="20"/>
        <v>"cate":"Resistor ",</v>
      </c>
      <c r="AYY12" t="str">
        <f t="shared" si="20"/>
        <v>"cate":"Diode",</v>
      </c>
      <c r="AYZ12" t="str">
        <f t="shared" si="20"/>
        <v>"cate":"Resistor ",</v>
      </c>
      <c r="AZA12" t="str">
        <f t="shared" si="20"/>
        <v>"cate":"Resistor ",</v>
      </c>
      <c r="AZB12" t="str">
        <f t="shared" si="20"/>
        <v>"cate":"Resistor ",</v>
      </c>
      <c r="AZC12" t="str">
        <f t="shared" si="20"/>
        <v>"cate":"Resistor ",</v>
      </c>
      <c r="AZD12" t="str">
        <f t="shared" si="20"/>
        <v>"cate":"Resistor ",</v>
      </c>
      <c r="AZE12" t="str">
        <f t="shared" si="20"/>
        <v>"cate":"SPAC",</v>
      </c>
      <c r="AZF12" t="str">
        <f t="shared" ref="AZF12:BBQ12" si="21">_xlfn.CONCAT("""",$L$6,"""",":","""",AZF6,"""",",")</f>
        <v>"cate":"Resistor ",</v>
      </c>
      <c r="AZG12" t="str">
        <f t="shared" si="21"/>
        <v>"cate":"Resistor ",</v>
      </c>
      <c r="AZH12" t="str">
        <f t="shared" si="21"/>
        <v>"cate":"Resistor ",</v>
      </c>
      <c r="AZI12" t="str">
        <f t="shared" si="21"/>
        <v>"cate":"Resistor ",</v>
      </c>
      <c r="AZJ12" t="str">
        <f t="shared" si="21"/>
        <v>"cate":"Resistor ",</v>
      </c>
      <c r="AZK12" t="str">
        <f t="shared" si="21"/>
        <v>"cate":"Resistor ",</v>
      </c>
      <c r="AZL12" t="str">
        <f t="shared" si="21"/>
        <v>"cate":"IC",</v>
      </c>
      <c r="AZM12" t="str">
        <f t="shared" si="21"/>
        <v>"cate":"IC",</v>
      </c>
      <c r="AZN12" t="str">
        <f t="shared" si="21"/>
        <v>"cate":"Resistor ",</v>
      </c>
      <c r="AZO12" t="str">
        <f t="shared" si="21"/>
        <v>"cate":"Resistor ",</v>
      </c>
      <c r="AZP12" t="str">
        <f t="shared" si="21"/>
        <v>"cate":"Terminal",</v>
      </c>
      <c r="AZQ12" t="str">
        <f t="shared" si="21"/>
        <v>"cate":"Terminal",</v>
      </c>
      <c r="AZR12" t="str">
        <f t="shared" si="21"/>
        <v>"cate":"FUSE",</v>
      </c>
      <c r="AZS12" t="str">
        <f t="shared" si="21"/>
        <v>"cate":"FUSE",</v>
      </c>
      <c r="AZT12" t="str">
        <f t="shared" si="21"/>
        <v>"cate":"POLY",</v>
      </c>
      <c r="AZU12" t="str">
        <f t="shared" si="21"/>
        <v>"cate":"POLY",</v>
      </c>
      <c r="AZV12" t="str">
        <f t="shared" si="21"/>
        <v>"cate":"IC",</v>
      </c>
      <c r="AZW12" t="str">
        <f t="shared" si="21"/>
        <v>"cate":"IC",</v>
      </c>
      <c r="AZX12" t="str">
        <f t="shared" si="21"/>
        <v>"cate":"IC",</v>
      </c>
      <c r="AZY12" t="str">
        <f t="shared" si="21"/>
        <v>"cate":"Diode",</v>
      </c>
      <c r="AZZ12" t="str">
        <f t="shared" si="21"/>
        <v>"cate":"Capacitor",</v>
      </c>
      <c r="BAA12" t="str">
        <f t="shared" si="21"/>
        <v>"cate":"Capacitor",</v>
      </c>
      <c r="BAB12" t="str">
        <f t="shared" si="21"/>
        <v>"cate":"Capacitor",</v>
      </c>
      <c r="BAC12" t="str">
        <f t="shared" si="21"/>
        <v>"cate":"Capacitor",</v>
      </c>
      <c r="BAD12" t="str">
        <f t="shared" si="21"/>
        <v>"cate":"Diode",</v>
      </c>
      <c r="BAE12" t="str">
        <f t="shared" si="21"/>
        <v>"cate":"Diode",</v>
      </c>
      <c r="BAF12" t="str">
        <f t="shared" si="21"/>
        <v>"cate":"Capacitor",</v>
      </c>
      <c r="BAG12" t="str">
        <f t="shared" si="21"/>
        <v>"cate":"Capacitor",</v>
      </c>
      <c r="BAH12" t="str">
        <f t="shared" si="21"/>
        <v>"cate":"Capacitor",</v>
      </c>
      <c r="BAI12" t="str">
        <f t="shared" si="21"/>
        <v>"cate":"Capacitor",</v>
      </c>
      <c r="BAJ12" t="str">
        <f t="shared" si="21"/>
        <v>"cate":"MOSFET",</v>
      </c>
      <c r="BAK12" t="str">
        <f t="shared" si="21"/>
        <v>"cate":"MOSFET",</v>
      </c>
      <c r="BAL12" t="str">
        <f t="shared" si="21"/>
        <v>"cate":"Resistor ",</v>
      </c>
      <c r="BAM12" t="str">
        <f t="shared" si="21"/>
        <v>"cate":"Capacitor",</v>
      </c>
      <c r="BAN12" t="str">
        <f t="shared" si="21"/>
        <v>"cate":"Capacitor",</v>
      </c>
      <c r="BAO12" t="str">
        <f t="shared" si="21"/>
        <v>"cate":"Capacitor",</v>
      </c>
      <c r="BAP12" t="str">
        <f t="shared" si="21"/>
        <v>"cate":"Capacitor",</v>
      </c>
      <c r="BAQ12" t="str">
        <f t="shared" si="21"/>
        <v>"cate":"LED ",</v>
      </c>
      <c r="BAR12" t="str">
        <f t="shared" si="21"/>
        <v>"cate":"Capacitor",</v>
      </c>
      <c r="BAS12" t="str">
        <f t="shared" si="21"/>
        <v>"cate":"XTAL",</v>
      </c>
      <c r="BAT12" t="str">
        <f t="shared" si="21"/>
        <v>"cate":"XTAL",</v>
      </c>
      <c r="BAU12" t="str">
        <f t="shared" si="21"/>
        <v>"cate":"XTAL",</v>
      </c>
      <c r="BAV12" t="str">
        <f t="shared" si="21"/>
        <v>"cate":"Resistor ",</v>
      </c>
      <c r="BAW12" t="str">
        <f t="shared" si="21"/>
        <v>"cate":"Terminal",</v>
      </c>
      <c r="BAX12" t="str">
        <f t="shared" si="21"/>
        <v>"cate":"RELA",</v>
      </c>
      <c r="BAY12" t="str">
        <f t="shared" si="21"/>
        <v>"cate":"RELA",</v>
      </c>
      <c r="BAZ12" t="str">
        <f t="shared" si="21"/>
        <v>"cate":"RELA",</v>
      </c>
      <c r="BBA12" t="str">
        <f t="shared" si="21"/>
        <v>"cate":"CH-1",</v>
      </c>
      <c r="BBB12" t="str">
        <f t="shared" si="21"/>
        <v>"cate":"CH-1",</v>
      </c>
      <c r="BBC12" t="str">
        <f t="shared" si="21"/>
        <v>"cate":"CH-1",</v>
      </c>
      <c r="BBD12" t="str">
        <f t="shared" si="21"/>
        <v>"cate":"LED ",</v>
      </c>
      <c r="BBE12" t="str">
        <f t="shared" si="21"/>
        <v>"cate":"LED ",</v>
      </c>
      <c r="BBF12" t="str">
        <f t="shared" si="21"/>
        <v>"cate":"LED ",</v>
      </c>
      <c r="BBG12" t="str">
        <f t="shared" si="21"/>
        <v>"cate":"LED ",</v>
      </c>
      <c r="BBH12" t="str">
        <f t="shared" si="21"/>
        <v>"cate":"Resistor ",</v>
      </c>
      <c r="BBI12" t="str">
        <f t="shared" si="21"/>
        <v>"cate":"Resistor ",</v>
      </c>
      <c r="BBJ12" t="str">
        <f t="shared" si="21"/>
        <v>"cate":"Transistor",</v>
      </c>
      <c r="BBK12" t="str">
        <f t="shared" si="21"/>
        <v>"cate":"Switch",</v>
      </c>
      <c r="BBL12" t="str">
        <f t="shared" si="21"/>
        <v>"cate":"Diode",</v>
      </c>
      <c r="BBM12" t="str">
        <f t="shared" si="21"/>
        <v>"cate":"Diode",</v>
      </c>
      <c r="BBN12" t="str">
        <f t="shared" si="21"/>
        <v>"cate":"Capacitor",</v>
      </c>
      <c r="BBO12" t="str">
        <f t="shared" si="21"/>
        <v>"cate":"MA-1",</v>
      </c>
      <c r="BBP12" t="str">
        <f t="shared" si="21"/>
        <v>"cate":"MA-1",</v>
      </c>
      <c r="BBQ12" t="str">
        <f t="shared" si="21"/>
        <v>"cate":"MA-1",</v>
      </c>
      <c r="BBR12" t="str">
        <f t="shared" ref="BBR12:BEC12" si="22">_xlfn.CONCAT("""",$L$6,"""",":","""",BBR6,"""",",")</f>
        <v>"cate":"MA-1",</v>
      </c>
      <c r="BBS12" t="str">
        <f t="shared" si="22"/>
        <v>"cate":"MA-1",</v>
      </c>
      <c r="BBT12" t="str">
        <f t="shared" si="22"/>
        <v>"cate":"MA-1",</v>
      </c>
      <c r="BBU12" t="str">
        <f t="shared" si="22"/>
        <v>"cate":"MA-1",</v>
      </c>
      <c r="BBV12" t="str">
        <f t="shared" si="22"/>
        <v>"cate":"Var Resistor",</v>
      </c>
      <c r="BBW12" t="str">
        <f t="shared" si="22"/>
        <v>"cate":"Var Resistor",</v>
      </c>
      <c r="BBX12" t="str">
        <f t="shared" si="22"/>
        <v>"cate":"Capacitor",</v>
      </c>
      <c r="BBY12" t="str">
        <f t="shared" si="22"/>
        <v>"cate":"Capacitor",</v>
      </c>
      <c r="BBZ12" t="str">
        <f t="shared" si="22"/>
        <v>"cate":"Resistor ",</v>
      </c>
      <c r="BCA12" t="str">
        <f t="shared" si="22"/>
        <v>"cate":"Resistor ",</v>
      </c>
      <c r="BCB12" t="str">
        <f t="shared" si="22"/>
        <v>"cate":"Capacitor",</v>
      </c>
      <c r="BCC12" t="str">
        <f t="shared" si="22"/>
        <v>"cate":"Capacitor",</v>
      </c>
      <c r="BCD12" t="str">
        <f t="shared" si="22"/>
        <v>"cate":"Capacitor",</v>
      </c>
      <c r="BCE12" t="str">
        <f t="shared" si="22"/>
        <v>"cate":"Resistor ",</v>
      </c>
      <c r="BCF12" t="str">
        <f t="shared" si="22"/>
        <v>"cate":"Capacitor",</v>
      </c>
      <c r="BCG12" t="str">
        <f t="shared" si="22"/>
        <v>"cate":"Capacitor",</v>
      </c>
      <c r="BCH12" t="str">
        <f t="shared" si="22"/>
        <v>"cate":"Capacitor",</v>
      </c>
      <c r="BCI12" t="str">
        <f t="shared" si="22"/>
        <v>"cate":"Capacitor",</v>
      </c>
      <c r="BCJ12" t="str">
        <f t="shared" si="22"/>
        <v>"cate":"Capacitor",</v>
      </c>
      <c r="BCK12" t="str">
        <f t="shared" si="22"/>
        <v>"cate":"Resistor ",</v>
      </c>
      <c r="BCL12" t="str">
        <f t="shared" si="22"/>
        <v>"cate":"Resistor ",</v>
      </c>
      <c r="BCM12" t="str">
        <f t="shared" si="22"/>
        <v>"cate":"Capacitor",</v>
      </c>
      <c r="BCN12" t="str">
        <f t="shared" si="22"/>
        <v>"cate":"Capacitor",</v>
      </c>
      <c r="BCO12" t="str">
        <f t="shared" si="22"/>
        <v>"cate":"Capacitor",</v>
      </c>
      <c r="BCP12" t="str">
        <f t="shared" si="22"/>
        <v>"cate":"Capacitor",</v>
      </c>
      <c r="BCQ12" t="str">
        <f t="shared" si="22"/>
        <v>"cate":"Capacitor",</v>
      </c>
      <c r="BCR12" t="str">
        <f t="shared" si="22"/>
        <v>"cate":"Capacitor",</v>
      </c>
      <c r="BCS12" t="str">
        <f t="shared" si="22"/>
        <v>"cate":"Capacitor",</v>
      </c>
      <c r="BCT12" t="str">
        <f t="shared" si="22"/>
        <v>"cate":"Capacitor",</v>
      </c>
      <c r="BCU12" t="str">
        <f t="shared" si="22"/>
        <v>"cate":"Capacitor",</v>
      </c>
      <c r="BCV12" t="str">
        <f t="shared" si="22"/>
        <v>"cate":"Capacitor",</v>
      </c>
      <c r="BCW12" t="str">
        <f t="shared" si="22"/>
        <v>"cate":"Capacitor",</v>
      </c>
      <c r="BCX12" t="str">
        <f t="shared" si="22"/>
        <v>"cate":"Resistor ",</v>
      </c>
      <c r="BCY12" t="str">
        <f t="shared" si="22"/>
        <v>"cate":"Resistor ",</v>
      </c>
      <c r="BCZ12" t="str">
        <f t="shared" si="22"/>
        <v>"cate":"Capacitor",</v>
      </c>
      <c r="BDA12" t="str">
        <f t="shared" si="22"/>
        <v>"cate":"Capacitor",</v>
      </c>
      <c r="BDB12" t="str">
        <f t="shared" si="22"/>
        <v>"cate":"Capacitor",</v>
      </c>
      <c r="BDC12" t="str">
        <f t="shared" si="22"/>
        <v>"cate":"Resistor ",</v>
      </c>
      <c r="BDD12" t="str">
        <f t="shared" si="22"/>
        <v>"cate":"Resistor ",</v>
      </c>
      <c r="BDE12" t="str">
        <f t="shared" si="22"/>
        <v>"cate":"Resistor ",</v>
      </c>
      <c r="BDF12" t="str">
        <f t="shared" si="22"/>
        <v>"cate":"Resistor ",</v>
      </c>
      <c r="BDG12" t="str">
        <f t="shared" si="22"/>
        <v>"cate":"Resistor ",</v>
      </c>
      <c r="BDH12" t="str">
        <f t="shared" si="22"/>
        <v>"cate":"Capacitor",</v>
      </c>
      <c r="BDI12" t="str">
        <f t="shared" si="22"/>
        <v>"cate":"Capacitor",</v>
      </c>
      <c r="BDJ12" t="str">
        <f t="shared" si="22"/>
        <v>"cate":"IC",</v>
      </c>
      <c r="BDK12" t="str">
        <f t="shared" si="22"/>
        <v>"cate":"Resistor ",</v>
      </c>
      <c r="BDL12" t="str">
        <f t="shared" si="22"/>
        <v>"cate":"Resistor ",</v>
      </c>
      <c r="BDM12" t="str">
        <f t="shared" si="22"/>
        <v>"cate":"Capacitor",</v>
      </c>
      <c r="BDN12" t="str">
        <f t="shared" si="22"/>
        <v>"cate":"Capacitor",</v>
      </c>
      <c r="BDO12" t="str">
        <f t="shared" si="22"/>
        <v>"cate":"Capacitor",</v>
      </c>
      <c r="BDP12" t="str">
        <f t="shared" si="22"/>
        <v>"cate":"Capacitor",</v>
      </c>
      <c r="BDQ12" t="str">
        <f t="shared" si="22"/>
        <v>"cate":"Resistor ",</v>
      </c>
      <c r="BDR12" t="str">
        <f t="shared" si="22"/>
        <v>"cate":"CNTM",</v>
      </c>
      <c r="BDS12" t="str">
        <f t="shared" si="22"/>
        <v>"cate":"MOSFET",</v>
      </c>
      <c r="BDT12" t="str">
        <f t="shared" si="22"/>
        <v>"cate":"Capacitor",</v>
      </c>
      <c r="BDU12" t="str">
        <f t="shared" si="22"/>
        <v>"cate":"Capacitor",</v>
      </c>
      <c r="BDV12" t="str">
        <f t="shared" si="22"/>
        <v>"cate":"Capacitor",</v>
      </c>
      <c r="BDW12" t="str">
        <f t="shared" si="22"/>
        <v>"cate":"Capacitor",</v>
      </c>
      <c r="BDX12" t="str">
        <f t="shared" si="22"/>
        <v>"cate":"Capacitor",</v>
      </c>
      <c r="BDY12" t="str">
        <f t="shared" si="22"/>
        <v>"cate":"Capacitor",</v>
      </c>
      <c r="BDZ12" t="str">
        <f t="shared" si="22"/>
        <v>"cate":"Capacitor",</v>
      </c>
      <c r="BEA12" t="str">
        <f t="shared" si="22"/>
        <v>"cate":"Capacitor",</v>
      </c>
      <c r="BEB12" t="str">
        <f t="shared" si="22"/>
        <v>"cate":"Resistor ",</v>
      </c>
      <c r="BEC12" t="str">
        <f t="shared" si="22"/>
        <v>"cate":"Resistor ",</v>
      </c>
      <c r="BED12" t="str">
        <f t="shared" ref="BED12:BGO12" si="23">_xlfn.CONCAT("""",$L$6,"""",":","""",BED6,"""",",")</f>
        <v>"cate":"Grease",</v>
      </c>
      <c r="BEE12" t="str">
        <f t="shared" si="23"/>
        <v>"cate":"Grease",</v>
      </c>
      <c r="BEF12" t="str">
        <f t="shared" si="23"/>
        <v>"cate":"Grease",</v>
      </c>
      <c r="BEG12" t="str">
        <f t="shared" si="23"/>
        <v>"cate":"Diode",</v>
      </c>
      <c r="BEH12" t="str">
        <f t="shared" si="23"/>
        <v>"cate":"Diode",</v>
      </c>
      <c r="BEI12" t="str">
        <f t="shared" si="23"/>
        <v>"cate":"Diode",</v>
      </c>
      <c r="BEJ12" t="str">
        <f t="shared" si="23"/>
        <v>"cate":"Capacitor",</v>
      </c>
      <c r="BEK12" t="str">
        <f t="shared" si="23"/>
        <v>"cate":"Capacitor",</v>
      </c>
      <c r="BEL12" t="str">
        <f t="shared" si="23"/>
        <v>"cate":"Capacitor",</v>
      </c>
      <c r="BEM12" t="str">
        <f t="shared" si="23"/>
        <v>"cate":"Capacitor",</v>
      </c>
      <c r="BEN12" t="str">
        <f t="shared" si="23"/>
        <v>"cate":"Capacitor",</v>
      </c>
      <c r="BEO12" t="str">
        <f t="shared" si="23"/>
        <v>"cate":"Capacitor",</v>
      </c>
      <c r="BEP12" t="str">
        <f t="shared" si="23"/>
        <v>"cate":"MA-1",</v>
      </c>
      <c r="BEQ12" t="str">
        <f t="shared" si="23"/>
        <v>"cate":"MA-1",</v>
      </c>
      <c r="BER12" t="str">
        <f t="shared" si="23"/>
        <v>"cate":"MA-1",</v>
      </c>
      <c r="BES12" t="str">
        <f t="shared" si="23"/>
        <v>"cate":"MA-1",</v>
      </c>
      <c r="BET12" t="str">
        <f t="shared" si="23"/>
        <v>"cate":"MA-1",</v>
      </c>
      <c r="BEU12" t="str">
        <f t="shared" si="23"/>
        <v>"cate":"MA-1",</v>
      </c>
      <c r="BEV12" t="str">
        <f t="shared" si="23"/>
        <v>"cate":"MA-1",</v>
      </c>
      <c r="BEW12" t="str">
        <f t="shared" si="23"/>
        <v>"cate":"Var Resistor",</v>
      </c>
      <c r="BEX12" t="str">
        <f t="shared" si="23"/>
        <v>"cate":"IC",</v>
      </c>
      <c r="BEY12" t="str">
        <f t="shared" si="23"/>
        <v>"cate":"Capacitor",</v>
      </c>
      <c r="BEZ12" t="str">
        <f t="shared" si="23"/>
        <v>"cate":"Resistor ",</v>
      </c>
      <c r="BFA12" t="str">
        <f t="shared" si="23"/>
        <v>"cate":"Resistor ",</v>
      </c>
      <c r="BFB12" t="str">
        <f t="shared" si="23"/>
        <v>"cate":"Resistor ",</v>
      </c>
      <c r="BFC12" t="str">
        <f t="shared" si="23"/>
        <v>"cate":"MOSFET",</v>
      </c>
      <c r="BFD12" t="str">
        <f t="shared" si="23"/>
        <v>"cate":"Capacitor",</v>
      </c>
      <c r="BFE12" t="str">
        <f t="shared" si="23"/>
        <v>"cate":"Capacitor",</v>
      </c>
      <c r="BFF12" t="str">
        <f t="shared" si="23"/>
        <v>"cate":"Resistor ",</v>
      </c>
      <c r="BFG12" t="str">
        <f t="shared" si="23"/>
        <v>"cate":"Resistor ",</v>
      </c>
      <c r="BFH12" t="str">
        <f t="shared" si="23"/>
        <v>"cate":"IC",</v>
      </c>
      <c r="BFI12" t="str">
        <f t="shared" si="23"/>
        <v>"cate":"IC",</v>
      </c>
      <c r="BFJ12" t="str">
        <f t="shared" si="23"/>
        <v>"cate":"IC",</v>
      </c>
      <c r="BFK12" t="str">
        <f t="shared" si="23"/>
        <v>"cate":"IC",</v>
      </c>
      <c r="BFL12" t="str">
        <f t="shared" si="23"/>
        <v>"cate":"PTC ",</v>
      </c>
      <c r="BFM12" t="str">
        <f t="shared" si="23"/>
        <v>"cate":"Resistor ",</v>
      </c>
      <c r="BFN12" t="str">
        <f t="shared" si="23"/>
        <v>"cate":"Resistor ",</v>
      </c>
      <c r="BFO12" t="str">
        <f t="shared" si="23"/>
        <v>"cate":"Capacitor",</v>
      </c>
      <c r="BFP12" t="str">
        <f t="shared" si="23"/>
        <v>"cate":"TAPE",</v>
      </c>
      <c r="BFQ12" t="str">
        <f t="shared" si="23"/>
        <v>"cate":"TAPE",</v>
      </c>
      <c r="BFR12" t="str">
        <f t="shared" si="23"/>
        <v>"cate":"TAPE",</v>
      </c>
      <c r="BFS12" t="str">
        <f t="shared" si="23"/>
        <v>"cate":"LED ",</v>
      </c>
      <c r="BFT12" t="str">
        <f t="shared" si="23"/>
        <v>"cate":"IC",</v>
      </c>
      <c r="BFU12" t="str">
        <f t="shared" si="23"/>
        <v>"cate":"IC",</v>
      </c>
      <c r="BFV12" t="str">
        <f t="shared" si="23"/>
        <v>"cate":"IC",</v>
      </c>
      <c r="BFW12" t="str">
        <f t="shared" si="23"/>
        <v>"cate":"IC",</v>
      </c>
      <c r="BFX12" t="str">
        <f t="shared" si="23"/>
        <v>"cate":"IC",</v>
      </c>
      <c r="BFY12" t="str">
        <f t="shared" si="23"/>
        <v>"cate":"Diode",</v>
      </c>
      <c r="BFZ12" t="str">
        <f t="shared" si="23"/>
        <v>"cate":"Capacitor",</v>
      </c>
      <c r="BGA12" t="str">
        <f t="shared" si="23"/>
        <v>"cate":"IC",</v>
      </c>
      <c r="BGB12" t="str">
        <f t="shared" si="23"/>
        <v>"cate":"IC",</v>
      </c>
      <c r="BGC12" t="str">
        <f t="shared" si="23"/>
        <v>"cate":"Diode",</v>
      </c>
      <c r="BGD12" t="str">
        <f t="shared" si="23"/>
        <v>"cate":"Diode",</v>
      </c>
      <c r="BGE12" t="str">
        <f t="shared" si="23"/>
        <v>"cate":"Diode",</v>
      </c>
      <c r="BGF12" t="str">
        <f t="shared" si="23"/>
        <v>"cate":"MA-1",</v>
      </c>
      <c r="BGG12" t="str">
        <f t="shared" si="23"/>
        <v>"cate":"Capacitor",</v>
      </c>
      <c r="BGH12" t="str">
        <f t="shared" si="23"/>
        <v>"cate":"Resistor ",</v>
      </c>
      <c r="BGI12" t="str">
        <f t="shared" si="23"/>
        <v>"cate":"Resistor ",</v>
      </c>
      <c r="BGJ12" t="str">
        <f t="shared" si="23"/>
        <v>"cate":"Capacitor",</v>
      </c>
      <c r="BGK12" t="str">
        <f t="shared" si="23"/>
        <v>"cate":"Capacitor",</v>
      </c>
      <c r="BGL12" t="str">
        <f t="shared" si="23"/>
        <v>"cate":"Diode",</v>
      </c>
      <c r="BGM12" t="str">
        <f t="shared" si="23"/>
        <v>"cate":"Diode",</v>
      </c>
      <c r="BGN12" t="str">
        <f t="shared" si="23"/>
        <v>"cate":"Capacitor",</v>
      </c>
      <c r="BGO12" t="str">
        <f t="shared" si="23"/>
        <v>"cate":"Capacitor",</v>
      </c>
      <c r="BGP12" t="str">
        <f t="shared" ref="BGP12:BHC12" si="24">_xlfn.CONCAT("""",$L$6,"""",":","""",BGP6,"""",",")</f>
        <v>"cate":"Capacitor",</v>
      </c>
      <c r="BGQ12" t="str">
        <f t="shared" si="24"/>
        <v>"cate":"Capacitor",</v>
      </c>
      <c r="BGR12" t="str">
        <f t="shared" si="24"/>
        <v>"cate":"Capacitor",</v>
      </c>
      <c r="BGS12" t="str">
        <f t="shared" si="24"/>
        <v>"cate":"Resistor ",</v>
      </c>
      <c r="BGT12" t="str">
        <f t="shared" si="24"/>
        <v>"cate":"Resistor ",</v>
      </c>
      <c r="BGU12" t="str">
        <f t="shared" si="24"/>
        <v>"cate":"Resistor ",</v>
      </c>
      <c r="BGV12" t="str">
        <f t="shared" si="24"/>
        <v>"cate":"Diode",</v>
      </c>
      <c r="BGW12" t="str">
        <f t="shared" si="24"/>
        <v>"cate":"Diode",</v>
      </c>
      <c r="BGX12" t="str">
        <f t="shared" si="24"/>
        <v>"cate":"Diode",</v>
      </c>
      <c r="BGY12" t="str">
        <f t="shared" si="24"/>
        <v>"cate":"Capacitor",</v>
      </c>
      <c r="BGZ12" t="str">
        <f t="shared" si="24"/>
        <v>"cate":"Capacitor",</v>
      </c>
      <c r="BHA12" t="str">
        <f t="shared" si="24"/>
        <v>"cate":"LED ",</v>
      </c>
      <c r="BHB12" t="str">
        <f t="shared" si="24"/>
        <v>"cate":"LW00",</v>
      </c>
      <c r="BHC12" t="str">
        <f t="shared" si="24"/>
        <v>"cate":"Resistor ",</v>
      </c>
    </row>
    <row r="13" spans="5:1563" x14ac:dyDescent="0.25">
      <c r="E13" t="s">
        <v>2193</v>
      </c>
      <c r="F13" t="s">
        <v>16</v>
      </c>
      <c r="G13" t="s">
        <v>10</v>
      </c>
      <c r="H13" t="s">
        <v>18</v>
      </c>
      <c r="I13">
        <v>168926</v>
      </c>
      <c r="M13" t="str">
        <f>_xlfn.CONCAT("""",$L$7,"""",":","""",M7,"""",",")</f>
        <v>"des":"RST 10K 1/4W 5% 805",</v>
      </c>
      <c r="N13" t="str">
        <f t="shared" ref="N13:BY13" si="25">_xlfn.CONCAT("""",$L$7,"""",":","""",N7,"""",",")</f>
        <v>"des":"RST 10K 1/4W 5% 805",</v>
      </c>
      <c r="O13" t="str">
        <f t="shared" si="25"/>
        <v>"des":"Capacitor 100NF K16V0402",</v>
      </c>
      <c r="P13" t="str">
        <f t="shared" si="25"/>
        <v>"des":"Capacitor 100NF K16V0402",</v>
      </c>
      <c r="Q13" t="str">
        <f t="shared" si="25"/>
        <v>"des":"RST 100K 0,1W 5%603",</v>
      </c>
      <c r="R13" t="str">
        <f t="shared" si="25"/>
        <v>"des":"RST 100K 0,1W 5%603",</v>
      </c>
      <c r="S13" t="str">
        <f t="shared" si="25"/>
        <v>"des":"RST 4,7K 0,1W 5%603",</v>
      </c>
      <c r="T13" t="str">
        <f t="shared" si="25"/>
        <v>"des":"RST 4,7K 0,1W 5%603",</v>
      </c>
      <c r="U13" t="str">
        <f t="shared" si="25"/>
        <v>"des":"RST 1K69 0,1W1%0603",</v>
      </c>
      <c r="V13" t="str">
        <f t="shared" si="25"/>
        <v>"des":"DiodeE ZE 12V/1W",</v>
      </c>
      <c r="W13" t="str">
        <f t="shared" si="25"/>
        <v>"des":"OPT DRIVER 5KV-02",</v>
      </c>
      <c r="X13" t="str">
        <f t="shared" si="25"/>
        <v>"des":"OPT DRIVER 5KV-02",</v>
      </c>
      <c r="Y13" t="str">
        <f t="shared" si="25"/>
        <v>"des":"ICMD 74HC125",</v>
      </c>
      <c r="Z13" t="str">
        <f t="shared" si="25"/>
        <v>"des":"ICMD 74HC125",</v>
      </c>
      <c r="AA13" t="str">
        <f t="shared" si="25"/>
        <v>"des":"ICMD 74HC125",</v>
      </c>
      <c r="AB13" t="str">
        <f t="shared" si="25"/>
        <v>"des":"RST 220 0,1W 5%0603",</v>
      </c>
      <c r="AC13" t="str">
        <f t="shared" si="25"/>
        <v>"des":"RST 220 0,1W 5%0603",</v>
      </c>
      <c r="AD13" t="str">
        <f t="shared" si="25"/>
        <v>"des":"Capacitor 4U7/10V 20%402",</v>
      </c>
      <c r="AE13" t="str">
        <f t="shared" si="25"/>
        <v>"des":"Capacitor 4U7/10V 20%402",</v>
      </c>
      <c r="AF13" t="str">
        <f t="shared" si="25"/>
        <v>"des":"NTC 47K",</v>
      </c>
      <c r="AG13" t="str">
        <f t="shared" si="25"/>
        <v>"des":"NTC 47K",</v>
      </c>
      <c r="AH13" t="str">
        <f t="shared" si="25"/>
        <v>"des":"NTC 47K",</v>
      </c>
      <c r="AI13" t="str">
        <f t="shared" si="25"/>
        <v>"des":"NTC 47K",</v>
      </c>
      <c r="AJ13" t="str">
        <f t="shared" si="25"/>
        <v>"des":"NTC 47K",</v>
      </c>
      <c r="AK13" t="str">
        <f t="shared" si="25"/>
        <v>"des":"RST 23K7 0,1W 1%603",</v>
      </c>
      <c r="AL13" t="str">
        <f t="shared" si="25"/>
        <v>"des":"Choke CoilE SMD 3,3U 3,2A",</v>
      </c>
      <c r="AM13" t="str">
        <f t="shared" si="25"/>
        <v>"des":"Capacitor 1NF/25V 5%-02",</v>
      </c>
      <c r="AN13" t="str">
        <f t="shared" si="25"/>
        <v>"des":"Capacitor 1NF/25V 5%-02",</v>
      </c>
      <c r="AO13" t="str">
        <f t="shared" si="25"/>
        <v>"des":"Capacitor 1NF/25V 5%-02",</v>
      </c>
      <c r="AP13" t="str">
        <f t="shared" si="25"/>
        <v>"des":"Capacitor 1NF/25V 5%-02",</v>
      </c>
      <c r="AQ13" t="str">
        <f t="shared" si="25"/>
        <v>"des":"Capacitor 1NF/25V 5%-02",</v>
      </c>
      <c r="AR13" t="str">
        <f t="shared" si="25"/>
        <v>"des":"Capacitor 1UF K25V 0805",</v>
      </c>
      <c r="AS13" t="str">
        <f t="shared" si="25"/>
        <v>"des":"Capacitor 1UF K25V 0805",</v>
      </c>
      <c r="AT13" t="str">
        <f t="shared" si="25"/>
        <v>"des":"Capacitor 1UF K25V 0805",</v>
      </c>
      <c r="AU13" t="str">
        <f t="shared" si="25"/>
        <v>"des":"DiodeE 5V/10MA",</v>
      </c>
      <c r="AV13" t="str">
        <f t="shared" si="25"/>
        <v>"des":"DiodeE 5V/10MA",</v>
      </c>
      <c r="AW13" t="str">
        <f t="shared" si="25"/>
        <v>"des":"DiodeE 5V/10MA",</v>
      </c>
      <c r="AX13" t="str">
        <f t="shared" si="25"/>
        <v>"des":"DiodeE 5V/10MA",</v>
      </c>
      <c r="AY13" t="str">
        <f t="shared" si="25"/>
        <v>"des":"Choke CoilE SMD 2,2U 2,5A",</v>
      </c>
      <c r="AZ13" t="str">
        <f t="shared" si="25"/>
        <v>"des":"Capacitor 1UF/25V 402",</v>
      </c>
      <c r="BA13" t="str">
        <f t="shared" si="25"/>
        <v>"des":"Capacitor 1UF/25V 402",</v>
      </c>
      <c r="BB13" t="str">
        <f t="shared" si="25"/>
        <v>"des":"Capacitor 2NF K16V 0402",</v>
      </c>
      <c r="BC13" t="str">
        <f t="shared" si="25"/>
        <v>"des":"Capacitor 2NF K16V 0402",</v>
      </c>
      <c r="BD13" t="str">
        <f t="shared" si="25"/>
        <v>"des":"Capacitor 2NF K16V 0402",</v>
      </c>
      <c r="BE13" t="str">
        <f t="shared" si="25"/>
        <v>"des":"Capacitor 33PF K16V 0603",</v>
      </c>
      <c r="BF13" t="str">
        <f t="shared" si="25"/>
        <v>"des":"Capacitor 33PF K16V 0603",</v>
      </c>
      <c r="BG13" t="str">
        <f t="shared" si="25"/>
        <v>"des":"Capacitor 10UF/50V 10%",</v>
      </c>
      <c r="BH13" t="str">
        <f t="shared" si="25"/>
        <v>"des":"Capacitor 10UF/50V 10%",</v>
      </c>
      <c r="BI13" t="str">
        <f t="shared" si="25"/>
        <v>"des":"Capacitor 10UF/50V 10%",</v>
      </c>
      <c r="BJ13" t="str">
        <f t="shared" si="25"/>
        <v>"des":"Capacitor 10UF/50V 10%",</v>
      </c>
      <c r="BK13" t="str">
        <f t="shared" si="25"/>
        <v>"des":"Capacitor 10UF/50V 10%",</v>
      </c>
      <c r="BL13" t="str">
        <f t="shared" si="25"/>
        <v>"des":"Capacitor 10UF/50V 10%",</v>
      </c>
      <c r="BM13" t="str">
        <f t="shared" si="25"/>
        <v>"des":"Capacitor 10UF/50V 10%",</v>
      </c>
      <c r="BN13" t="str">
        <f t="shared" si="25"/>
        <v>"des":"RST 124K 0,1W 1%603",</v>
      </c>
      <c r="BO13" t="str">
        <f t="shared" si="25"/>
        <v>"des":"High Efficiency, High Current Serial LED Driver with 30 V Integrated Switch",</v>
      </c>
      <c r="BP13" t="str">
        <f t="shared" si="25"/>
        <v>"des":"RST 127K 1/8W 1%SMD",</v>
      </c>
      <c r="BQ13" t="str">
        <f t="shared" si="25"/>
        <v>"des":"RST 127K 1/8W 1%SMD",</v>
      </c>
      <c r="BR13" t="str">
        <f t="shared" si="25"/>
        <v>"des":"RST 127K 1/8W 1%SMD",</v>
      </c>
      <c r="BS13" t="str">
        <f t="shared" si="25"/>
        <v>"des":"RST 127K 1/8W 1%SMD",</v>
      </c>
      <c r="BT13" t="str">
        <f t="shared" si="25"/>
        <v>"des":"RST 127K 1/8W 1%SMD",</v>
      </c>
      <c r="BU13" t="str">
        <f t="shared" si="25"/>
        <v>"des":"RST 127K 1/8W 1%SMD",</v>
      </c>
      <c r="BV13" t="str">
        <f t="shared" si="25"/>
        <v>"des":"Capacitor 22UF K10V 1206",</v>
      </c>
      <c r="BW13" t="str">
        <f t="shared" si="25"/>
        <v>"des":"MOSFETET 60V 0,3A SC7",</v>
      </c>
      <c r="BX13" t="str">
        <f t="shared" si="25"/>
        <v>"des":"MOSFETET 60V 0,3A SC7",</v>
      </c>
      <c r="BY13" t="str">
        <f t="shared" si="25"/>
        <v>"des":"MOSFETET 60V 0,3A SC7",</v>
      </c>
      <c r="BZ13" t="str">
        <f t="shared" ref="BZ13:EK13" si="26">_xlfn.CONCAT("""",$L$7,"""",":","""",BZ7,"""",",")</f>
        <v>"des":"Capacitor 100NF K16V0603",</v>
      </c>
      <c r="CA13" t="str">
        <f t="shared" si="26"/>
        <v>"des":"Capacitor 100NF K16V0603",</v>
      </c>
      <c r="CB13" t="str">
        <f t="shared" si="26"/>
        <v>"des":"Capacitor 100NF K16V0603",</v>
      </c>
      <c r="CC13" t="str">
        <f t="shared" si="26"/>
        <v>"des":"Capacitor 100NF K16V0603",</v>
      </c>
      <c r="CD13" t="str">
        <f t="shared" si="26"/>
        <v>"des":"Capacitor 100NF K16V0603",</v>
      </c>
      <c r="CE13" t="str">
        <f t="shared" si="26"/>
        <v>"des":"Capacitor 100NF K16V0603",</v>
      </c>
      <c r="CF13" t="str">
        <f t="shared" si="26"/>
        <v>"des":"Capacitor 100NF K16V0603",</v>
      </c>
      <c r="CG13" t="str">
        <f t="shared" si="26"/>
        <v>"des":"RST 33K 1/4W 5%1206",</v>
      </c>
      <c r="CH13" t="str">
        <f t="shared" si="26"/>
        <v>"des":"RST 33K 1/4W 5%1206",</v>
      </c>
      <c r="CI13" t="str">
        <f t="shared" si="26"/>
        <v>"des":"RST 33K 1/4W 5%1206",</v>
      </c>
      <c r="CJ13" t="str">
        <f t="shared" si="26"/>
        <v>"des":"RST 33K 1/4W 5%1206",</v>
      </c>
      <c r="CK13" t="str">
        <f t="shared" si="26"/>
        <v>"des":"RST 100 0,1W 5%0603",</v>
      </c>
      <c r="CL13" t="str">
        <f t="shared" si="26"/>
        <v>"des":"LED SMD CL-RD PLCC2",</v>
      </c>
      <c r="CM13" t="str">
        <f t="shared" si="26"/>
        <v>"des":"LED SMD CL-RD PLCC2",</v>
      </c>
      <c r="CN13" t="str">
        <f t="shared" si="26"/>
        <v>"des":"LED SMD CL-RD PLCC2",</v>
      </c>
      <c r="CO13" t="str">
        <f t="shared" si="26"/>
        <v>"des":"LED SMD CL-RD PLCC2",</v>
      </c>
      <c r="CP13" t="str">
        <f t="shared" si="26"/>
        <v>"des":"LED SMD CL-RD PLCC2",</v>
      </c>
      <c r="CQ13" t="str">
        <f t="shared" si="26"/>
        <v>"des":"LED SMD CL-RD PLCC2",</v>
      </c>
      <c r="CR13" t="str">
        <f t="shared" si="26"/>
        <v>"des":"LED SMD CL-RD PLCC2",</v>
      </c>
      <c r="CS13" t="str">
        <f t="shared" si="26"/>
        <v>"des":"RST 100K 1/4W 0,1%S",</v>
      </c>
      <c r="CT13" t="str">
        <f t="shared" si="26"/>
        <v>"des":"RST 15K 0,1W 5%0603",</v>
      </c>
      <c r="CU13" t="str">
        <f t="shared" si="26"/>
        <v>"des":"RST 15K 0,1W 5%0603",</v>
      </c>
      <c r="CV13" t="str">
        <f t="shared" si="26"/>
        <v>"des":"Capacitor 1NF/630V 10%",</v>
      </c>
      <c r="CW13" t="str">
        <f t="shared" si="26"/>
        <v>"des":"Capacitor 1NF/630V 10%",</v>
      </c>
      <c r="CX13" t="str">
        <f t="shared" si="26"/>
        <v>"des":"Capacitor 56PF J50V 0603",</v>
      </c>
      <c r="CY13" t="str">
        <f t="shared" si="26"/>
        <v>"des":"Capacitor 56PF J50V 0603",</v>
      </c>
      <c r="CZ13" t="str">
        <f t="shared" si="26"/>
        <v>"des":"Capacitor 56PF J50V 0603",</v>
      </c>
      <c r="DA13" t="str">
        <f t="shared" si="26"/>
        <v>"des":"LED SMD RED",</v>
      </c>
      <c r="DB13" t="str">
        <f t="shared" si="26"/>
        <v>"des":"LED SMD RED",</v>
      </c>
      <c r="DC13" t="str">
        <f t="shared" si="26"/>
        <v>"des":"LED SMD RED",</v>
      </c>
      <c r="DD13" t="str">
        <f t="shared" si="26"/>
        <v>"des":"LED SMD RED",</v>
      </c>
      <c r="DE13" t="str">
        <f t="shared" si="26"/>
        <v>"des":"LED SMD RED",</v>
      </c>
      <c r="DF13" t="str">
        <f t="shared" si="26"/>
        <v>"des":"LED SMD RED",</v>
      </c>
      <c r="DG13" t="str">
        <f t="shared" si="26"/>
        <v>"des":"LED SMD RED",</v>
      </c>
      <c r="DH13" t="str">
        <f t="shared" si="26"/>
        <v>"des":"Capacitor 15PF K16V 0603",</v>
      </c>
      <c r="DI13" t="str">
        <f t="shared" si="26"/>
        <v>"des":"IC RT7736GGE",</v>
      </c>
      <c r="DJ13" t="str">
        <f t="shared" si="26"/>
        <v>"des":"RST 3K 0,1W 5% 0603",</v>
      </c>
      <c r="DK13" t="str">
        <f t="shared" si="26"/>
        <v>"des":"Capacitor 0,1UF/25V 0805",</v>
      </c>
      <c r="DL13" t="str">
        <f t="shared" si="26"/>
        <v>"des":"Capacitor 0,1UF/25V 0805",</v>
      </c>
      <c r="DM13" t="str">
        <f t="shared" si="26"/>
        <v>"des":"Capacitor 0,1UF/25V 0805",</v>
      </c>
      <c r="DN13" t="str">
        <f t="shared" si="26"/>
        <v>"des":"ICMD OPA4277UA",</v>
      </c>
      <c r="DO13" t="str">
        <f t="shared" si="26"/>
        <v>"des":"ICMD OPA4277UA",</v>
      </c>
      <c r="DP13" t="str">
        <f t="shared" si="26"/>
        <v>"des":"ICMD OPA4277UA",</v>
      </c>
      <c r="DQ13" t="str">
        <f t="shared" si="26"/>
        <v>"des":"Capacitor 1NF/25V 5%",</v>
      </c>
      <c r="DR13" t="str">
        <f t="shared" si="26"/>
        <v>"des":"Capacitor 1NF/25V 5%",</v>
      </c>
      <c r="DS13" t="str">
        <f t="shared" si="26"/>
        <v>"des":"Capacitor 1NF/25V 5%",</v>
      </c>
      <c r="DT13" t="str">
        <f t="shared" si="26"/>
        <v>"des":"Capacitor 22NF/25V 5%805",</v>
      </c>
      <c r="DU13" t="str">
        <f t="shared" si="26"/>
        <v>"des":"Capacitor 22NF/25V 5%805",</v>
      </c>
      <c r="DV13" t="str">
        <f t="shared" si="26"/>
        <v>"des":"22-27-2021",</v>
      </c>
      <c r="DW13" t="str">
        <f t="shared" si="26"/>
        <v>"des":"Capacitor 22PF K16V 0603",</v>
      </c>
      <c r="DX13" t="str">
        <f t="shared" si="26"/>
        <v>"des":"Capacitor 22PF K16V 0603",</v>
      </c>
      <c r="DY13" t="str">
        <f t="shared" si="26"/>
        <v>"des":"RST 1K 0,1W 5% 0603",</v>
      </c>
      <c r="DZ13" t="str">
        <f t="shared" si="26"/>
        <v>"des":"RST 1K 0,1W 5% 0603",</v>
      </c>
      <c r="EA13" t="str">
        <f t="shared" si="26"/>
        <v>"des":"Capacitor 1UF/50V 10%",</v>
      </c>
      <c r="EB13" t="str">
        <f t="shared" si="26"/>
        <v>"des":"Capacitor 1UF/50V 10%",</v>
      </c>
      <c r="EC13" t="str">
        <f t="shared" si="26"/>
        <v>"des":"Capacitor 1UF/50V 10%",</v>
      </c>
      <c r="ED13" t="str">
        <f t="shared" si="26"/>
        <v>"des":"Capacitor 1UF/50V 10%",</v>
      </c>
      <c r="EE13" t="str">
        <f t="shared" si="26"/>
        <v>"des":"Capacitor 1UF/50V 10%",</v>
      </c>
      <c r="EF13" t="str">
        <f t="shared" si="26"/>
        <v>"des":"LED SMD CL-RD 0603",</v>
      </c>
      <c r="EG13" t="str">
        <f t="shared" si="26"/>
        <v>"des":"RST 22 0,1W 5% 0603",</v>
      </c>
      <c r="EH13" t="str">
        <f t="shared" si="26"/>
        <v>"des":"RST 22 1/8W 5% 0805",</v>
      </c>
      <c r="EI13" t="str">
        <f t="shared" si="26"/>
        <v>"des":"RST 22 1/8W 5% 0805",</v>
      </c>
      <c r="EJ13" t="str">
        <f t="shared" si="26"/>
        <v>"des":"RST 60,4 1/8W 1%SMD",</v>
      </c>
      <c r="EK13" t="str">
        <f t="shared" si="26"/>
        <v>"des":"FUSE 20A500V 6X32MM",</v>
      </c>
      <c r="EL13" t="str">
        <f t="shared" ref="EL13:GW13" si="27">_xlfn.CONCAT("""",$L$7,"""",":","""",EL7,"""",",")</f>
        <v>"des":"IND 3,9NH 0,84A SMD",</v>
      </c>
      <c r="EM13" t="str">
        <f t="shared" si="27"/>
        <v>"des":"IND 3,9NH 0,84A SMD",</v>
      </c>
      <c r="EN13" t="str">
        <f t="shared" si="27"/>
        <v>"des":"Capacitor 10UF/10V 10%",</v>
      </c>
      <c r="EO13" t="str">
        <f t="shared" si="27"/>
        <v>"des":"Capacitor 10UF/10V 10%",</v>
      </c>
      <c r="EP13" t="str">
        <f t="shared" si="27"/>
        <v>"des":"RST 470K 1/8W 5%805",</v>
      </c>
      <c r="EQ13" t="str">
        <f t="shared" si="27"/>
        <v>"des":"Capacitor 10NF/50V 10%-2",</v>
      </c>
      <c r="ER13" t="str">
        <f t="shared" si="27"/>
        <v>"des":"Capacitor 10NF/50V 10%-2",</v>
      </c>
      <c r="ES13" t="str">
        <f t="shared" si="27"/>
        <v>"des":"Capacitor 100NF/25V 5%-2",</v>
      </c>
      <c r="ET13" t="str">
        <f t="shared" si="27"/>
        <v>"des":"Capacitor 100NF/25V 5%-2",</v>
      </c>
      <c r="EU13" t="str">
        <f t="shared" si="27"/>
        <v>"des":"Capacitor 100NF/25V 5%-2",</v>
      </c>
      <c r="EV13" t="str">
        <f t="shared" si="27"/>
        <v>"des":"DiodeE 0,2A 70V SMD",</v>
      </c>
      <c r="EW13" t="str">
        <f t="shared" si="27"/>
        <v>"des":"DiodeE 0,2A 70V SMD",</v>
      </c>
      <c r="EX13" t="str">
        <f t="shared" si="27"/>
        <v>"des":"DiodeE 0,2A 70V SMD",</v>
      </c>
      <c r="EY13" t="str">
        <f t="shared" si="27"/>
        <v>"des":"DiodeE 0,2A 70V SMD",</v>
      </c>
      <c r="EZ13" t="str">
        <f t="shared" si="27"/>
        <v>"des":"BUSBAR 1551953-1",</v>
      </c>
      <c r="FA13" t="str">
        <f t="shared" si="27"/>
        <v>"des":"Capacitor 33UF/450V 20%2",</v>
      </c>
      <c r="FB13" t="str">
        <f t="shared" si="27"/>
        <v>"des":"RST 10 1/4W 1% 1206",</v>
      </c>
      <c r="FC13" t="str">
        <f t="shared" si="27"/>
        <v>"des":"RST 15K 1/8W 5% 805",</v>
      </c>
      <c r="FD13" t="str">
        <f t="shared" si="27"/>
        <v>"des":"Capacitor 10UF/50V 1206",</v>
      </c>
      <c r="FE13" t="str">
        <f t="shared" si="27"/>
        <v>"des":"Capacitor 10UF/50V 1206",</v>
      </c>
      <c r="FF13" t="str">
        <f t="shared" si="27"/>
        <v>"des":"RST 274K 1/4W1%1206",</v>
      </c>
      <c r="FG13" t="str">
        <f t="shared" si="27"/>
        <v>"des":"DiodeE 15A 260W",</v>
      </c>
      <c r="FH13" t="str">
        <f t="shared" si="27"/>
        <v>"des":"DiodeE 15A 260W",</v>
      </c>
      <c r="FI13" t="str">
        <f t="shared" si="27"/>
        <v>"des":"Capacitor 1UF 16V 0805",</v>
      </c>
      <c r="FJ13" t="str">
        <f t="shared" si="27"/>
        <v>"des":"Capacitor 1UF 16V 0805",</v>
      </c>
      <c r="FK13" t="str">
        <f t="shared" si="27"/>
        <v>"des":"Capacitor 1UF 16V 0805",</v>
      </c>
      <c r="FL13" t="str">
        <f t="shared" si="27"/>
        <v>"des":"DiodeE TVS 220V 600W",</v>
      </c>
      <c r="FM13" t="str">
        <f t="shared" si="27"/>
        <v>"des":"DiodeE TVS 220V 600W",</v>
      </c>
      <c r="FN13" t="str">
        <f t="shared" si="27"/>
        <v>"des":"LED RED DIA 3 MM",</v>
      </c>
      <c r="FO13" t="str">
        <f t="shared" si="27"/>
        <v>"des":"LED RED DIA 3 MM",</v>
      </c>
      <c r="FP13" t="str">
        <f t="shared" si="27"/>
        <v>"des":"LED RED DIA 3 MM",</v>
      </c>
      <c r="FQ13" t="str">
        <f t="shared" si="27"/>
        <v>"des":"IC RP171N331D-TR-FE",</v>
      </c>
      <c r="FR13" t="str">
        <f t="shared" si="27"/>
        <v>"des":"IC RP171N331D-TR-FE",</v>
      </c>
      <c r="FS13" t="str">
        <f t="shared" si="27"/>
        <v>"des":"RST 10 0,1W 5% 0603",</v>
      </c>
      <c r="FT13" t="str">
        <f t="shared" si="27"/>
        <v>"des":"IC AP1533SG",</v>
      </c>
      <c r="FU13" t="str">
        <f t="shared" si="27"/>
        <v>"des":"IC AP1533SG",</v>
      </c>
      <c r="FV13" t="str">
        <f t="shared" si="27"/>
        <v>"des":"PIN 0,7X0,7 MM",</v>
      </c>
      <c r="FW13" t="str">
        <f t="shared" si="27"/>
        <v>"des":"PIN 0,7X0,7 MM",</v>
      </c>
      <c r="FX13" t="str">
        <f t="shared" si="27"/>
        <v>"des":"Capacitor 2,2NF K16V0603",</v>
      </c>
      <c r="FY13" t="str">
        <f t="shared" si="27"/>
        <v>"des":"Capacitor 2,2NF K16V0603",</v>
      </c>
      <c r="FZ13" t="str">
        <f t="shared" si="27"/>
        <v>"des":"Capacitor 2,2NF K16V0603",</v>
      </c>
      <c r="GA13" t="str">
        <f t="shared" si="27"/>
        <v>"des":"Capacitor 2,2UF/25V 1206",</v>
      </c>
      <c r="GB13" t="str">
        <f t="shared" si="27"/>
        <v>"des":"Capacitor 2,2UF/25V 1206",</v>
      </c>
      <c r="GC13" t="str">
        <f t="shared" si="27"/>
        <v>"des":"Capacitor 2,2UF/25V 1206",</v>
      </c>
      <c r="GD13" t="str">
        <f t="shared" si="27"/>
        <v>"des":"RST 27M 1/8W5% 1206",</v>
      </c>
      <c r="GE13" t="str">
        <f t="shared" si="27"/>
        <v>"des":"22-01-3027",</v>
      </c>
      <c r="GF13" t="str">
        <f t="shared" si="27"/>
        <v>"des":"22-01-3027",</v>
      </c>
      <c r="GG13" t="str">
        <f t="shared" si="27"/>
        <v>"des":"22-01-3027",</v>
      </c>
      <c r="GH13" t="str">
        <f t="shared" si="27"/>
        <v>"des":"Capacitor 1000UF/25V 20%",</v>
      </c>
      <c r="GI13" t="str">
        <f t="shared" si="27"/>
        <v>"des":"Capacitor 1000UF/25V 20%",</v>
      </c>
      <c r="GJ13" t="str">
        <f t="shared" si="27"/>
        <v>"des":"RST 1,5K 1/8W 5%805",</v>
      </c>
      <c r="GK13" t="str">
        <f t="shared" si="27"/>
        <v>"des":"RST 10 1/8W 1% 805",</v>
      </c>
      <c r="GL13" t="str">
        <f t="shared" si="27"/>
        <v>"des":"IC FAN3224TMPX",</v>
      </c>
      <c r="GM13" t="str">
        <f t="shared" si="27"/>
        <v>"des":"IC FAN3224TMPX",</v>
      </c>
      <c r="GN13" t="str">
        <f t="shared" si="27"/>
        <v>"des":"RST 1M 1/4W 1% 1206",</v>
      </c>
      <c r="GO13" t="str">
        <f t="shared" si="27"/>
        <v>"des":"Capacitor 10UF/16V 10%-2",</v>
      </c>
      <c r="GP13" t="str">
        <f t="shared" si="27"/>
        <v>"des":"Capacitor 10UF/16V 10%-2",</v>
      </c>
      <c r="GQ13" t="str">
        <f t="shared" si="27"/>
        <v>"des":"Capacitor 10UF/16V 10%-2",</v>
      </c>
      <c r="GR13" t="str">
        <f t="shared" si="27"/>
        <v>"des":"Capacitor 10UF/16V 10%-2",</v>
      </c>
      <c r="GS13" t="str">
        <f t="shared" si="27"/>
        <v>"des":"CTM 42815-0012",</v>
      </c>
      <c r="GT13" t="str">
        <f t="shared" si="27"/>
        <v>"des":"RST 680 1/8W 5% 805",</v>
      </c>
      <c r="GU13" t="str">
        <f t="shared" si="27"/>
        <v>"des":"Capacitor 100NF 16V 0603",</v>
      </c>
      <c r="GV13" t="str">
        <f t="shared" si="27"/>
        <v>"des":"Choke CoilE SMD 2,2U 2,8A",</v>
      </c>
      <c r="GW13" t="str">
        <f t="shared" si="27"/>
        <v>"des":"RST 118K ,1W ,1%603",</v>
      </c>
      <c r="GX13" t="str">
        <f t="shared" ref="GX13:JI13" si="28">_xlfn.CONCAT("""",$L$7,"""",":","""",GX7,"""",",")</f>
        <v>"des":"RST 60,4 1/8W 1%805",</v>
      </c>
      <c r="GY13" t="str">
        <f t="shared" si="28"/>
        <v>"des":"Capacitor 22PF/50V 10%",</v>
      </c>
      <c r="GZ13" t="str">
        <f t="shared" si="28"/>
        <v>"des":"Capacitor 22PF/50V 10%",</v>
      </c>
      <c r="HA13" t="str">
        <f t="shared" si="28"/>
        <v>"des":"RST 33K 1/8W 5% 805",</v>
      </c>
      <c r="HB13" t="str">
        <f t="shared" si="28"/>
        <v>"des":"RST 33K 1/8W 5% 805",</v>
      </c>
      <c r="HC13" t="str">
        <f t="shared" si="28"/>
        <v>"des":"PIN 0,6X0,6 MM",</v>
      </c>
      <c r="HD13" t="str">
        <f t="shared" si="28"/>
        <v>"des":"RST 3,9 2W 5% 2512",</v>
      </c>
      <c r="HE13" t="str">
        <f t="shared" si="28"/>
        <v>"des":"RST 3,9 2W 5% 2512",</v>
      </c>
      <c r="HF13" t="str">
        <f t="shared" si="28"/>
        <v>"des":"RST 3,9 2W 5% 2512",</v>
      </c>
      <c r="HG13" t="str">
        <f t="shared" si="28"/>
        <v>"des":"RST 3,9 2W 5% 2512",</v>
      </c>
      <c r="HH13" t="str">
        <f t="shared" si="28"/>
        <v>"des":"VAR 320V LA20-02",</v>
      </c>
      <c r="HI13" t="str">
        <f t="shared" si="28"/>
        <v>"des":"VAR 320V LA20-02",</v>
      </c>
      <c r="HJ13" t="str">
        <f t="shared" si="28"/>
        <v>"des":"Capacitor 60NF/700V-02",</v>
      </c>
      <c r="HK13" t="str">
        <f t="shared" si="28"/>
        <v>"des":"RST 332 1/4W 1%1206",</v>
      </c>
      <c r="HL13" t="str">
        <f t="shared" si="28"/>
        <v>"des":"DiodeE 1A 200V SMA",</v>
      </c>
      <c r="HM13" t="str">
        <f t="shared" si="28"/>
        <v>"des":"DiodeE 1A 200V SMA",</v>
      </c>
      <c r="HN13" t="str">
        <f t="shared" si="28"/>
        <v>"des":"DiodeE 1A 200V SMA",</v>
      </c>
      <c r="HO13" t="str">
        <f t="shared" si="28"/>
        <v>"des":"DiodeE 1A 200V SMA",</v>
      </c>
      <c r="HP13" t="str">
        <f t="shared" si="28"/>
        <v>"des":"DiodeE 1A 200V SMA",</v>
      </c>
      <c r="HQ13" t="str">
        <f t="shared" si="28"/>
        <v>"des":"RST 100 1/8W 5% 805",</v>
      </c>
      <c r="HR13" t="str">
        <f t="shared" si="28"/>
        <v>"des":"RST 100 1/8W 5% 805",</v>
      </c>
      <c r="HS13" t="str">
        <f t="shared" si="28"/>
        <v>"des":"RST 10K 1/8W 0,1%S",</v>
      </c>
      <c r="HT13" t="str">
        <f t="shared" si="28"/>
        <v>"des":"RST 10K 1/8W 0,1%S",</v>
      </c>
      <c r="HU13" t="str">
        <f t="shared" si="28"/>
        <v>"des":"RST 27K4 1/4W1%1206",</v>
      </c>
      <c r="HV13" t="str">
        <f t="shared" si="28"/>
        <v>"des":"Choke CoilE SMD 470UH 20%",</v>
      </c>
      <c r="HW13" t="str">
        <f t="shared" si="28"/>
        <v>"des":"RST 120 1/8W 5% 805",</v>
      </c>
      <c r="HX13" t="str">
        <f t="shared" si="28"/>
        <v>"des":"RST 120 1/8W 5% 805",</v>
      </c>
      <c r="HY13" t="str">
        <f t="shared" si="28"/>
        <v>"des":"RST 120 1/8W 5% 805",</v>
      </c>
      <c r="HZ13" t="str">
        <f t="shared" si="28"/>
        <v>"des":"RST 330 0,1W 5% 603",</v>
      </c>
      <c r="IA13" t="str">
        <f t="shared" si="28"/>
        <v>"des":"Capacitor 100NF/63V 10%",</v>
      </c>
      <c r="IB13" t="str">
        <f t="shared" si="28"/>
        <v>"des":"Capacitor 100NF/63V 10%",</v>
      </c>
      <c r="IC13" t="str">
        <f t="shared" si="28"/>
        <v>"des":"Capacitor 100NF/63V 10%",</v>
      </c>
      <c r="ID13" t="str">
        <f t="shared" si="28"/>
        <v>"des":"RST 10K 0,1W 1% 603",</v>
      </c>
      <c r="IE13" t="str">
        <f t="shared" si="28"/>
        <v>"des":"RST 10K 0,1W 1% 603",</v>
      </c>
      <c r="IF13" t="str">
        <f t="shared" si="28"/>
        <v>"des":"RST 10K 0,1W 1% 603",</v>
      </c>
      <c r="IG13" t="str">
        <f t="shared" si="28"/>
        <v>"des":"RST 10K 0,1W 1% 603",</v>
      </c>
      <c r="IH13" t="str">
        <f t="shared" si="28"/>
        <v>"des":"RST 2K43 1/4W1%1206",</v>
      </c>
      <c r="II13" t="str">
        <f t="shared" si="28"/>
        <v>"des":"RST 2K21 1/4W1%1206",</v>
      </c>
      <c r="IJ13" t="str">
        <f t="shared" si="28"/>
        <v>"des":"DiodeE 5A 100V SMA",</v>
      </c>
      <c r="IK13" t="str">
        <f t="shared" si="28"/>
        <v>"des":"DiodeE 5A 100V SMA",</v>
      </c>
      <c r="IL13" t="str">
        <f t="shared" si="28"/>
        <v>"des":"Capacitor 10NF/16V 10%",</v>
      </c>
      <c r="IM13" t="str">
        <f t="shared" si="28"/>
        <v>"des":"Capacitor 10NF/16V 10%",</v>
      </c>
      <c r="IN13" t="str">
        <f t="shared" si="28"/>
        <v>"des":"Capacitor 10NF/16V 10%",</v>
      </c>
      <c r="IO13" t="str">
        <f t="shared" si="28"/>
        <v>"des":"Capacitor 10UF/50V 20%",</v>
      </c>
      <c r="IP13" t="str">
        <f t="shared" si="28"/>
        <v>"des":"RST 330 1/4W 5%1206",</v>
      </c>
      <c r="IQ13" t="str">
        <f t="shared" si="28"/>
        <v>"des":"RST 330 1/4W 5%1206",</v>
      </c>
      <c r="IR13" t="str">
        <f t="shared" si="28"/>
        <v>"des":"RST 330 1/4W 5%1206",</v>
      </c>
      <c r="IS13" t="str">
        <f t="shared" si="28"/>
        <v>"des":"Capacitor 4,7NF 250V2220",</v>
      </c>
      <c r="IT13" t="str">
        <f t="shared" si="28"/>
        <v>"des":"Capacitor 4,7NF 250V2220",</v>
      </c>
      <c r="IU13" t="str">
        <f t="shared" si="28"/>
        <v>"des":"Capacitor 4,7NF 250V2220",</v>
      </c>
      <c r="IV13" t="str">
        <f t="shared" si="28"/>
        <v>"des":"ANTENNA 2.4G 4PINS",</v>
      </c>
      <c r="IW13" t="str">
        <f t="shared" si="28"/>
        <v>"des":"FUSE 0,375A 125V-02",</v>
      </c>
      <c r="IX13" t="str">
        <f t="shared" si="28"/>
        <v>"des":"Capacitor 15PF/16V 10%",</v>
      </c>
      <c r="IY13" t="str">
        <f t="shared" si="28"/>
        <v>"des":"Capacitor 47NF K25V 805",</v>
      </c>
      <c r="IZ13" t="str">
        <f t="shared" si="28"/>
        <v>"des":"RST 3,9K 1/8W 5%805",</v>
      </c>
      <c r="JA13" t="str">
        <f t="shared" si="28"/>
        <v>"des":"RST 3,9K 1/8W 5%805",</v>
      </c>
      <c r="JB13" t="str">
        <f t="shared" si="28"/>
        <v>"des":"LED YELLOW DIA 3 MM",</v>
      </c>
      <c r="JC13" t="str">
        <f t="shared" si="28"/>
        <v>"des":"RST 820 1/8W 5% 805",</v>
      </c>
      <c r="JD13" t="str">
        <f t="shared" si="28"/>
        <v>"des":"Choke CoilE SMD 100UH1,5A",</v>
      </c>
      <c r="JE13" t="str">
        <f t="shared" si="28"/>
        <v>"des":"RST 1K 1/4W 5%SMD",</v>
      </c>
      <c r="JF13" t="str">
        <f t="shared" si="28"/>
        <v>"des":"RST 1K 1/4W 5%SMD",</v>
      </c>
      <c r="JG13" t="str">
        <f t="shared" si="28"/>
        <v>"des":"RST 1K21 0,1W1%0603",</v>
      </c>
      <c r="JH13" t="str">
        <f t="shared" si="28"/>
        <v>"des":"LED SMD CMS RED",</v>
      </c>
      <c r="JI13" t="str">
        <f t="shared" si="28"/>
        <v>"des":"LED SMD CMS RED",</v>
      </c>
      <c r="JJ13" t="str">
        <f t="shared" ref="JJ13:LU13" si="29">_xlfn.CONCAT("""",$L$7,"""",":","""",JJ7,"""",",")</f>
        <v>"des":"RST 100 1/8W 1% 603",</v>
      </c>
      <c r="JK13" t="str">
        <f t="shared" si="29"/>
        <v>"des":"RST 100 1/8W 1% 603",</v>
      </c>
      <c r="JL13" t="str">
        <f t="shared" si="29"/>
        <v>"des":"RST 100 1/8W 1% 603",</v>
      </c>
      <c r="JM13" t="str">
        <f t="shared" si="29"/>
        <v>"des":"RST 100 1/8W 1% 603",</v>
      </c>
      <c r="JN13" t="str">
        <f t="shared" si="29"/>
        <v>"des":"RST 1K 1/8W 1% 0805",</v>
      </c>
      <c r="JO13" t="str">
        <f t="shared" si="29"/>
        <v>"des":"RST 1K 1/8W 1% 0805",</v>
      </c>
      <c r="JP13" t="str">
        <f t="shared" si="29"/>
        <v>"des":"RST 1K 1/8W 1% 0805",</v>
      </c>
      <c r="JQ13" t="str">
        <f t="shared" si="29"/>
        <v>"des":"RST 1K 1/8W 1% 0805",</v>
      </c>
      <c r="JR13" t="str">
        <f t="shared" si="29"/>
        <v>"des":"RST 1K 1/8W 1% 0805",</v>
      </c>
      <c r="JS13" t="str">
        <f t="shared" si="29"/>
        <v>"des":"RST 1K 1/8W 1% 0805",</v>
      </c>
      <c r="JT13" t="str">
        <f t="shared" si="29"/>
        <v>"des":"BAT HOLDER CR2032-2",</v>
      </c>
      <c r="JU13" t="str">
        <f t="shared" si="29"/>
        <v>"des":"RST 75K 1/16W 1%402",</v>
      </c>
      <c r="JV13" t="str">
        <f t="shared" si="29"/>
        <v>"des":"SCR 1200V 79A TO247",</v>
      </c>
      <c r="JW13" t="str">
        <f t="shared" si="29"/>
        <v>"des":"SCR 1200V 79A TO247",</v>
      </c>
      <c r="JX13" t="str">
        <f t="shared" si="29"/>
        <v>"des":"Capacitor 10NF/16V 10%-A",</v>
      </c>
      <c r="JY13" t="str">
        <f t="shared" si="29"/>
        <v>"des":"DiodeE 1200V 2A SMD",</v>
      </c>
      <c r="JZ13" t="str">
        <f t="shared" si="29"/>
        <v>"des":"Capacitor 47PF/25V 0402",</v>
      </c>
      <c r="KA13" t="str">
        <f t="shared" si="29"/>
        <v>"des":"ICMD LM2931AD?5,0",</v>
      </c>
      <c r="KB13" t="str">
        <f t="shared" si="29"/>
        <v>"des":"ICMD LM2931AD?5,0",</v>
      </c>
      <c r="KC13" t="str">
        <f t="shared" si="29"/>
        <v>"des":"ICMD LM2931AD?5,0",</v>
      </c>
      <c r="KD13" t="str">
        <f t="shared" si="29"/>
        <v>"des":"VAR 320V LA20",</v>
      </c>
      <c r="KE13" t="str">
        <f t="shared" si="29"/>
        <v>"des":"VAR 320V LA20",</v>
      </c>
      <c r="KF13" t="str">
        <f t="shared" si="29"/>
        <v>"des":"VAR 320V LA20",</v>
      </c>
      <c r="KG13" t="str">
        <f t="shared" si="29"/>
        <v>"des":"Capacitor 1NF/50V X7R603",</v>
      </c>
      <c r="KH13" t="str">
        <f t="shared" si="29"/>
        <v>"des":"Capacitor 1NF/50V X7R603",</v>
      </c>
      <c r="KI13" t="str">
        <f t="shared" si="29"/>
        <v>"des":"RST 68K1 1/4W1%1206",</v>
      </c>
      <c r="KJ13" t="str">
        <f t="shared" si="29"/>
        <v>"des":"TRAN 300V 0,1A",</v>
      </c>
      <c r="KK13" t="str">
        <f t="shared" si="29"/>
        <v>"des":"RST 2,2K 0,1W 1%603",</v>
      </c>
      <c r="KL13" t="str">
        <f t="shared" si="29"/>
        <v>"des":"RST 2,2K 0,1W 1%603",</v>
      </c>
      <c r="KM13" t="str">
        <f t="shared" si="29"/>
        <v>"des":"RST 2,2K 0,1W 1%603",</v>
      </c>
      <c r="KN13" t="str">
        <f t="shared" si="29"/>
        <v>"des":"RST 2,2K 0,1W 1%603",</v>
      </c>
      <c r="KO13" t="str">
        <f t="shared" si="29"/>
        <v>"des":"Capacitor 10NF/630V 1206",</v>
      </c>
      <c r="KP13" t="str">
        <f t="shared" si="29"/>
        <v>"des":"Capacitor 10NF/630V 1206",</v>
      </c>
      <c r="KQ13" t="str">
        <f t="shared" si="29"/>
        <v>"des":"Capacitor 10NF/630V 1206",</v>
      </c>
      <c r="KR13" t="str">
        <f t="shared" si="29"/>
        <v>"des":"Capacitor 10NF/630V 1206",</v>
      </c>
      <c r="KS13" t="str">
        <f t="shared" si="29"/>
        <v>"des":"RST 43K2 1/8W1%0805",</v>
      </c>
      <c r="KT13" t="str">
        <f t="shared" si="29"/>
        <v>"des":"OPT DRIVER 5A SMD",</v>
      </c>
      <c r="KU13" t="str">
        <f t="shared" si="29"/>
        <v>"des":"OPT DRIVER 5A SMD",</v>
      </c>
      <c r="KV13" t="str">
        <f t="shared" si="29"/>
        <v>"des":"OPT DRIVER 5A SMD",</v>
      </c>
      <c r="KW13" t="str">
        <f t="shared" si="29"/>
        <v>"des":"RST 124K1/8W1%805-2",</v>
      </c>
      <c r="KX13" t="str">
        <f t="shared" si="29"/>
        <v>"des":"RST 124K1/8W1%805-2",</v>
      </c>
      <c r="KY13" t="str">
        <f t="shared" si="29"/>
        <v>"des":"DiodeE ZE 13V/0W5",</v>
      </c>
      <c r="KZ13" t="str">
        <f t="shared" si="29"/>
        <v>"des":"DiodeE ZE 10V SMA",</v>
      </c>
      <c r="LA13" t="str">
        <f t="shared" si="29"/>
        <v>"des":"DiodeE ZE 10V SMA",</v>
      </c>
      <c r="LB13" t="str">
        <f t="shared" si="29"/>
        <v>"des":"DiodeE ZE 10V SMA",</v>
      </c>
      <c r="LC13" t="str">
        <f t="shared" si="29"/>
        <v>"des":"Capacitor 100NF/25V 10%",</v>
      </c>
      <c r="LD13" t="str">
        <f t="shared" si="29"/>
        <v>"des":"Capacitor 100NF/25V 10%",</v>
      </c>
      <c r="LE13" t="str">
        <f t="shared" si="29"/>
        <v>"des":"Capacitor 100NF/25V 10%",</v>
      </c>
      <c r="LF13" t="str">
        <f t="shared" si="29"/>
        <v>"des":"Capacitor 100NF/25V 10%",</v>
      </c>
      <c r="LG13" t="str">
        <f t="shared" si="29"/>
        <v>"des":"Capacitor 100NF/25V 10%",</v>
      </c>
      <c r="LH13" t="str">
        <f t="shared" si="29"/>
        <v>"des":"RST 18K 1/8W 5% 805",</v>
      </c>
      <c r="LI13" t="str">
        <f t="shared" si="29"/>
        <v>"des":"RST 18K 1/8W 5% 805",</v>
      </c>
      <c r="LJ13" t="str">
        <f t="shared" si="29"/>
        <v>"des":"RST 18K 1/8W 5% 805",</v>
      </c>
      <c r="LK13" t="str">
        <f t="shared" si="29"/>
        <v>"des":"Capacitor 10PF/50V 402",</v>
      </c>
      <c r="LL13" t="str">
        <f t="shared" si="29"/>
        <v>"des":"MA-1120638STG",</v>
      </c>
      <c r="LM13" t="str">
        <f t="shared" si="29"/>
        <v>"des":"MA-1120638STG",</v>
      </c>
      <c r="LN13" t="str">
        <f t="shared" si="29"/>
        <v>"des":"MA-1150451STG",</v>
      </c>
      <c r="LO13" t="str">
        <f t="shared" si="29"/>
        <v>"des":"MA-1150451STG",</v>
      </c>
      <c r="LP13" t="str">
        <f t="shared" si="29"/>
        <v>"des":"MA-1150451STG",</v>
      </c>
      <c r="LQ13" t="str">
        <f t="shared" si="29"/>
        <v>"des":"MA-1150451STG",</v>
      </c>
      <c r="LR13" t="str">
        <f t="shared" si="29"/>
        <v>"des":"MA-1121146STG",</v>
      </c>
      <c r="LS13" t="str">
        <f t="shared" si="29"/>
        <v>"des":"MA-1121146STG",</v>
      </c>
      <c r="LT13" t="str">
        <f t="shared" si="29"/>
        <v>"des":"MA-1121146STG",</v>
      </c>
      <c r="LU13" t="str">
        <f t="shared" si="29"/>
        <v>"des":"RST 121K 1/8W1%0805",</v>
      </c>
      <c r="LV13" t="str">
        <f t="shared" ref="LV13:OG13" si="30">_xlfn.CONCAT("""",$L$7,"""",":","""",LV7,"""",",")</f>
        <v>"des":"RST 2K2 1/16W1%402B",</v>
      </c>
      <c r="LW13" t="str">
        <f t="shared" si="30"/>
        <v>"des":"RST 2K2 1/16W1%402B",</v>
      </c>
      <c r="LX13" t="str">
        <f t="shared" si="30"/>
        <v>"des":"Capacitor 10UF/250V",</v>
      </c>
      <c r="LY13" t="str">
        <f t="shared" si="30"/>
        <v>"des":"RST 22R1 1/4W1%1206",</v>
      </c>
      <c r="LZ13" t="str">
        <f t="shared" si="30"/>
        <v>"des":"RST 51K1 1/8W1%0805",</v>
      </c>
      <c r="MA13" t="str">
        <f t="shared" si="30"/>
        <v>"des":"RST 220 1% 0402-T",</v>
      </c>
      <c r="MB13" t="str">
        <f t="shared" si="30"/>
        <v>"des":"RST 220 1% 0402-T",</v>
      </c>
      <c r="MC13" t="str">
        <f t="shared" si="30"/>
        <v>"des":"RST 1,2K 1/4W 1%805",</v>
      </c>
      <c r="MD13" t="str">
        <f t="shared" si="30"/>
        <v>"des":"RST 1,2K 1/4W 1%805",</v>
      </c>
      <c r="ME13" t="str">
        <f t="shared" si="30"/>
        <v>"des":"RST 330K 0,1W1%0603",</v>
      </c>
      <c r="MF13" t="str">
        <f t="shared" si="30"/>
        <v>"des":"RST 39K 1/8W 5% 805",</v>
      </c>
      <c r="MG13" t="str">
        <f t="shared" si="30"/>
        <v>"des":"RST 39K 1/8W 5% 805",</v>
      </c>
      <c r="MH13" t="str">
        <f t="shared" si="30"/>
        <v>"des":"RST 39K 1/8W 5% 805",</v>
      </c>
      <c r="MI13" t="str">
        <f t="shared" si="30"/>
        <v>"des":"POLYFUSE 0,16A/250V",</v>
      </c>
      <c r="MJ13" t="str">
        <f t="shared" si="30"/>
        <v>"des":"POLYFUSE 0,16A/250V",</v>
      </c>
      <c r="MK13" t="str">
        <f t="shared" si="30"/>
        <v>"des":"RST 4K75 1/4W1%1206",</v>
      </c>
      <c r="ML13" t="str">
        <f t="shared" si="30"/>
        <v>"des":"Capacitor 220NF/16V 0402",</v>
      </c>
      <c r="MM13" t="str">
        <f t="shared" si="30"/>
        <v>"des":"RST 120 2W 5% 2512",</v>
      </c>
      <c r="MN13" t="str">
        <f t="shared" si="30"/>
        <v>"des":"RST 120 2W 5% 2512",</v>
      </c>
      <c r="MO13" t="str">
        <f t="shared" si="30"/>
        <v>"des":"RST 120 2W 5% 2512",</v>
      </c>
      <c r="MP13" t="str">
        <f t="shared" si="30"/>
        <v>"des":"RST 120 2W 5% 2512",</v>
      </c>
      <c r="MQ13" t="str">
        <f t="shared" si="30"/>
        <v>"des":"MA-1150495STG",</v>
      </c>
      <c r="MR13" t="str">
        <f t="shared" si="30"/>
        <v>"des":"MA-1150495STG",</v>
      </c>
      <c r="MS13" t="str">
        <f t="shared" si="30"/>
        <v>"des":"MA-1150495STG",</v>
      </c>
      <c r="MT13" t="str">
        <f t="shared" si="30"/>
        <v>"des":"RST 1K 1W 5% 2512",</v>
      </c>
      <c r="MU13" t="str">
        <f t="shared" si="30"/>
        <v>"des":"RST 1K 1W 5% 2512",</v>
      </c>
      <c r="MV13" t="str">
        <f t="shared" si="30"/>
        <v>"des":"RST 221R 1/8W 1%805",</v>
      </c>
      <c r="MW13" t="str">
        <f t="shared" si="30"/>
        <v>"des":"RST 100K 1/4W1%1206",</v>
      </c>
      <c r="MX13" t="str">
        <f t="shared" si="30"/>
        <v>"des":"Capacitor 220NF/500V 10%",</v>
      </c>
      <c r="MY13" t="str">
        <f t="shared" si="30"/>
        <v>"des":"Capacitor 220NF/500V 10%",</v>
      </c>
      <c r="MZ13" t="str">
        <f t="shared" si="30"/>
        <v>"des":"Capacitor 220NF/500V 10%",</v>
      </c>
      <c r="NA13" t="str">
        <f t="shared" si="30"/>
        <v>"des":"RST 13K 1/16W1% 402",</v>
      </c>
      <c r="NB13" t="str">
        <f t="shared" si="30"/>
        <v>"des":"LED RED 0603",</v>
      </c>
      <c r="NC13" t="str">
        <f t="shared" si="30"/>
        <v>"des":"LED RED 0603",</v>
      </c>
      <c r="ND13" t="str">
        <f t="shared" si="30"/>
        <v>"des":"RST 75K 0,1W 1% 603",</v>
      </c>
      <c r="NE13" t="str">
        <f t="shared" si="30"/>
        <v>"des":"RST 75K 0,1W 1% 603",</v>
      </c>
      <c r="NF13" t="str">
        <f t="shared" si="30"/>
        <v>"des":"RST 4,7 1/4W 5%1206",</v>
      </c>
      <c r="NG13" t="str">
        <f t="shared" si="30"/>
        <v>"des":"FUSE 125A 250V",</v>
      </c>
      <c r="NH13" t="str">
        <f t="shared" si="30"/>
        <v>"des":"DiodeE 2A 400V SMD",</v>
      </c>
      <c r="NI13" t="str">
        <f t="shared" si="30"/>
        <v>"des":"DiodeE 2A 400V SMD",</v>
      </c>
      <c r="NJ13" t="str">
        <f t="shared" si="30"/>
        <v>"des":"Capacitor 100NF/10V 0402",</v>
      </c>
      <c r="NK13" t="str">
        <f t="shared" si="30"/>
        <v>"des":"CNTF-IDC-20P-BLK",</v>
      </c>
      <c r="NL13" t="str">
        <f t="shared" si="30"/>
        <v>"des":"RST 0 1/16W 1% 0402",</v>
      </c>
      <c r="NM13" t="str">
        <f t="shared" si="30"/>
        <v>"des":"RST 0 1/16W 1% 0402",</v>
      </c>
      <c r="NN13" t="str">
        <f t="shared" si="30"/>
        <v>"des":"IC TS321IL",</v>
      </c>
      <c r="NO13" t="str">
        <f t="shared" si="30"/>
        <v>"des":"IC TS321IL",</v>
      </c>
      <c r="NP13" t="str">
        <f t="shared" si="30"/>
        <v>"des":"MOSFETET 4A 1500V",</v>
      </c>
      <c r="NQ13" t="str">
        <f t="shared" si="30"/>
        <v>"des":"MOSFETET 4A 1500V",</v>
      </c>
      <c r="NR13" t="str">
        <f t="shared" si="30"/>
        <v>"des":"RST 47K 62MW 1% 402",</v>
      </c>
      <c r="NS13" t="str">
        <f t="shared" si="30"/>
        <v>"des":"RST 47K 62MW 1% 402",</v>
      </c>
      <c r="NT13" t="str">
        <f t="shared" si="30"/>
        <v>"des":"MA-1121169STG",</v>
      </c>
      <c r="NU13" t="str">
        <f t="shared" si="30"/>
        <v>"des":"MA-1121169STG",</v>
      </c>
      <c r="NV13" t="str">
        <f t="shared" si="30"/>
        <v>"des":"RST 22K 1/8W 5% 805",</v>
      </c>
      <c r="NW13" t="str">
        <f t="shared" si="30"/>
        <v>"des":"RST 22K 1/8W 5% 805",</v>
      </c>
      <c r="NX13" t="str">
        <f t="shared" si="30"/>
        <v>"des":"RST 100 1/4W 1%1206",</v>
      </c>
      <c r="NY13" t="str">
        <f t="shared" si="30"/>
        <v>"des":"RST 1 1W 5% 2512",</v>
      </c>
      <c r="NZ13" t="str">
        <f t="shared" si="30"/>
        <v>"des":"RST 1 1W 5% 2512",</v>
      </c>
      <c r="OA13" t="str">
        <f t="shared" si="30"/>
        <v>"des":"RST 100 0,1W 1%0603",</v>
      </c>
      <c r="OB13" t="str">
        <f t="shared" si="30"/>
        <v>"des":"RST 100 0,1W 1%0603",</v>
      </c>
      <c r="OC13" t="str">
        <f t="shared" si="30"/>
        <v>"des":"IC TC1264-2,5VDBTR",</v>
      </c>
      <c r="OD13" t="str">
        <f t="shared" si="30"/>
        <v>"des":"IC TC1264-2,5VDBTR",</v>
      </c>
      <c r="OE13" t="str">
        <f t="shared" si="30"/>
        <v>"des":"RST 30,1 1/4W1%1206",</v>
      </c>
      <c r="OF13" t="str">
        <f t="shared" si="30"/>
        <v>"des":"Capacitor 4U7/6,3V 0402",</v>
      </c>
      <c r="OG13" t="str">
        <f t="shared" si="30"/>
        <v>"des":"Capacitor 4U7/6,3V 0402",</v>
      </c>
      <c r="OH13" t="str">
        <f t="shared" ref="OH13:QS13" si="31">_xlfn.CONCAT("""",$L$7,"""",":","""",OH7,"""",",")</f>
        <v>"des":"Capacitor 4U7/6,3V 0402",</v>
      </c>
      <c r="OI13" t="str">
        <f t="shared" si="31"/>
        <v>"des":"RST 0,5 2W 5% 2512",</v>
      </c>
      <c r="OJ13" t="str">
        <f t="shared" si="31"/>
        <v>"des":"RST 0,5 2W 5% 2512",</v>
      </c>
      <c r="OK13" t="str">
        <f t="shared" si="31"/>
        <v>"des":"RST 0,5 2W 5% 2512",</v>
      </c>
      <c r="OL13" t="str">
        <f t="shared" si="31"/>
        <v>"des":"RST 4K7 1W 5% 2512",</v>
      </c>
      <c r="OM13" t="str">
        <f t="shared" si="31"/>
        <v>"des":"MOSFETET 2,6A 60V",</v>
      </c>
      <c r="ON13" t="str">
        <f t="shared" si="31"/>
        <v>"des":"MOSFETET 2,6A 60V",</v>
      </c>
      <c r="OO13" t="str">
        <f t="shared" si="31"/>
        <v>"des":"Capacitor 1PF/50V 0402",</v>
      </c>
      <c r="OP13" t="str">
        <f t="shared" si="31"/>
        <v>"des":"DiodeE 4A 600V SMC",</v>
      </c>
      <c r="OQ13" t="str">
        <f t="shared" si="31"/>
        <v>"des":"DiodeE 4A 600V SMC",</v>
      </c>
      <c r="OR13" t="str">
        <f t="shared" si="31"/>
        <v>"des":"RST 10K 1/16W1%402A",</v>
      </c>
      <c r="OS13" t="str">
        <f t="shared" si="31"/>
        <v>"des":"RST 10K 1/16W1%402A",</v>
      </c>
      <c r="OT13" t="str">
        <f t="shared" si="31"/>
        <v>"des":"RST 10K 1/16W1%402A",</v>
      </c>
      <c r="OU13" t="str">
        <f t="shared" si="31"/>
        <v>"des":"RST 10K 1/16W1%402A",</v>
      </c>
      <c r="OV13" t="str">
        <f t="shared" si="31"/>
        <v>"des":"Capacitor 0,1UF 400V TH",</v>
      </c>
      <c r="OW13" t="str">
        <f t="shared" si="31"/>
        <v>"des":"Capacitor 0,1UF 400V TH",</v>
      </c>
      <c r="OX13" t="str">
        <f t="shared" si="31"/>
        <v>"des":"Capacitor 0,1UF 400V TH",</v>
      </c>
      <c r="OY13" t="str">
        <f t="shared" si="31"/>
        <v>"des":"RST 1M 0,1W 5% 603",</v>
      </c>
      <c r="OZ13" t="str">
        <f t="shared" si="31"/>
        <v>"des":"RST 1M 0,1W 5% 603",</v>
      </c>
      <c r="PA13" t="str">
        <f t="shared" si="31"/>
        <v>"des":"Capacitor 2,2UF 10V 0603",</v>
      </c>
      <c r="PB13" t="str">
        <f t="shared" si="31"/>
        <v>"des":"RST 1M 0,1W 1%0603",</v>
      </c>
      <c r="PC13" t="str">
        <f t="shared" si="31"/>
        <v>"des":"RST 1M 0,1W 1%0603",</v>
      </c>
      <c r="PD13" t="str">
        <f t="shared" si="31"/>
        <v>"des":"CG21000L",</v>
      </c>
      <c r="PE13" t="str">
        <f t="shared" si="31"/>
        <v>"des":"CG21000L",</v>
      </c>
      <c r="PF13" t="str">
        <f t="shared" si="31"/>
        <v>"des":"Capacitor Y1 2,2NF/400V",</v>
      </c>
      <c r="PG13" t="str">
        <f t="shared" si="31"/>
        <v>"des":"Capacitor Y1 2,2NF/400V",</v>
      </c>
      <c r="PH13" t="str">
        <f t="shared" si="31"/>
        <v>"des":"Capacitor Y1 2,2NF/400V",</v>
      </c>
      <c r="PI13" t="str">
        <f t="shared" si="31"/>
        <v>"des":"RST 15K 0,1W5% 603A",</v>
      </c>
      <c r="PJ13" t="str">
        <f t="shared" si="31"/>
        <v>"des":"RST 113K 1/10W1%603",</v>
      </c>
      <c r="PK13" t="str">
        <f t="shared" si="31"/>
        <v>"des":"Capacitor Y1 100PF/400V",</v>
      </c>
      <c r="PL13" t="str">
        <f t="shared" si="31"/>
        <v>"des":"Capacitor Y1 100PF/400V",</v>
      </c>
      <c r="PM13" t="str">
        <f t="shared" si="31"/>
        <v>"des":"Capacitor Y1 100PF/400V",</v>
      </c>
      <c r="PN13" t="str">
        <f t="shared" si="31"/>
        <v>"des":"DiodeE 1KV 2A 4PIN",</v>
      </c>
      <c r="PO13" t="str">
        <f t="shared" si="31"/>
        <v>"des":"DiodeE 1KV 2A 4PIN",</v>
      </c>
      <c r="PP13" t="str">
        <f t="shared" si="31"/>
        <v>"des":"DiodeE 1KV 2A 4PIN",</v>
      </c>
      <c r="PQ13" t="str">
        <f t="shared" si="31"/>
        <v>"des":"Capacitor 10NF K16V 0402",</v>
      </c>
      <c r="PR13" t="str">
        <f t="shared" si="31"/>
        <v>"des":"Capacitor 3,3NF/25V10%SM",</v>
      </c>
      <c r="PS13" t="str">
        <f t="shared" si="31"/>
        <v>"des":"RST 47,5 0,1W1%0603",</v>
      </c>
      <c r="PT13" t="str">
        <f t="shared" si="31"/>
        <v>"des":"RST 100K 1/8W 0,1%S",</v>
      </c>
      <c r="PU13" t="str">
        <f t="shared" si="31"/>
        <v>"des":"RST 100K 1/8W 0,1%S",</v>
      </c>
      <c r="PV13" t="str">
        <f t="shared" si="31"/>
        <v>"des":"RST 100K 1/8W 0,1%S",</v>
      </c>
      <c r="PW13" t="str">
        <f t="shared" si="31"/>
        <v>"des":"Capacitor 10NF/25V 402",</v>
      </c>
      <c r="PX13" t="str">
        <f t="shared" si="31"/>
        <v>"des":"Capacitor 10NF/25V 402",</v>
      </c>
      <c r="PY13" t="str">
        <f t="shared" si="31"/>
        <v>"des":"DiodeE ZE 3,9V0,5WSM",</v>
      </c>
      <c r="PZ13" t="str">
        <f t="shared" si="31"/>
        <v>"des":"MA-1150472STG",</v>
      </c>
      <c r="QA13" t="str">
        <f t="shared" si="31"/>
        <v>"des":"MA-1150472STG",</v>
      </c>
      <c r="QB13" t="str">
        <f t="shared" si="31"/>
        <v>"des":"MA-1150472STG",</v>
      </c>
      <c r="QC13" t="str">
        <f t="shared" si="31"/>
        <v>"des":"MA-1150472STG",</v>
      </c>
      <c r="QD13" t="str">
        <f t="shared" si="31"/>
        <v>"des":"RST 1,02K 1/8W 1%SM",</v>
      </c>
      <c r="QE13" t="str">
        <f t="shared" si="31"/>
        <v>"des":"RST 1,02K 1/8W 1%SM",</v>
      </c>
      <c r="QF13" t="str">
        <f t="shared" si="31"/>
        <v>"des":"RST 1,02K 1/8W 1%SM",</v>
      </c>
      <c r="QG13" t="str">
        <f t="shared" si="31"/>
        <v>"des":"RST 1,02K 1/8W 1%SM",</v>
      </c>
      <c r="QH13" t="str">
        <f t="shared" si="31"/>
        <v>"des":"FUSE 1,50A 125V SMD",</v>
      </c>
      <c r="QI13" t="str">
        <f t="shared" si="31"/>
        <v>"des":"FUSE 1,50A 125V SMD",</v>
      </c>
      <c r="QJ13" t="str">
        <f t="shared" si="31"/>
        <v>"des":"MA-1121145STG",</v>
      </c>
      <c r="QK13" t="str">
        <f t="shared" si="31"/>
        <v>"des":"MA-1121145STG",</v>
      </c>
      <c r="QL13" t="str">
        <f t="shared" si="31"/>
        <v>"des":"RST 3,32K 1/8W1%805",</v>
      </c>
      <c r="QM13" t="str">
        <f t="shared" si="31"/>
        <v>"des":"Capacitor 0,9PF/50V 0402",</v>
      </c>
      <c r="QN13" t="str">
        <f t="shared" si="31"/>
        <v>"des":"Capacitor 0,9PF/50V 0402",</v>
      </c>
      <c r="QO13" t="str">
        <f t="shared" si="31"/>
        <v>"des":"RST 2K2 0,1W 5%0603",</v>
      </c>
      <c r="QP13" t="str">
        <f t="shared" si="31"/>
        <v>"des":"Capacitor 1NF/100V 0402",</v>
      </c>
      <c r="QQ13" t="str">
        <f t="shared" si="31"/>
        <v>"des":"Capacitor 1NF/100V 0402",</v>
      </c>
      <c r="QR13" t="str">
        <f t="shared" si="31"/>
        <v>"des":"IND 10NH 0,5A SMD",</v>
      </c>
      <c r="QS13" t="str">
        <f t="shared" si="31"/>
        <v>"des":"FUSE 0,50A 600V",</v>
      </c>
      <c r="QT13" t="str">
        <f t="shared" ref="QT13:TE13" si="32">_xlfn.CONCAT("""",$L$7,"""",":","""",QT7,"""",",")</f>
        <v>"des":"Choke CoilE SMD 90 OHM",</v>
      </c>
      <c r="QU13" t="str">
        <f t="shared" si="32"/>
        <v>"des":"DiodeE BDG 2A 200V",</v>
      </c>
      <c r="QV13" t="str">
        <f t="shared" si="32"/>
        <v>"des":"DiodeE BDG 2A 200V",</v>
      </c>
      <c r="QW13" t="str">
        <f t="shared" si="32"/>
        <v>"des":"DiodeE BDG 2A 200V",</v>
      </c>
      <c r="QX13" t="str">
        <f t="shared" si="32"/>
        <v>"des":"DiodeE BDG 2A 200V",</v>
      </c>
      <c r="QY13" t="str">
        <f t="shared" si="32"/>
        <v>"des":"DiodeE BDG 2A 200V",</v>
      </c>
      <c r="QZ13" t="str">
        <f t="shared" si="32"/>
        <v>"des":"DiodeE BDG 2A 200V",</v>
      </c>
      <c r="RA13" t="str">
        <f t="shared" si="32"/>
        <v>"des":"DiodeE BDG 2A 200V",</v>
      </c>
      <c r="RB13" t="str">
        <f t="shared" si="32"/>
        <v>"des":"RST 3K65 0,1W1%0603",</v>
      </c>
      <c r="RC13" t="str">
        <f t="shared" si="32"/>
        <v>"des":"RST 5K11 0,1W1%0603",</v>
      </c>
      <c r="RD13" t="str">
        <f t="shared" si="32"/>
        <v>"des":"RST 182K 0,1W1%0603",</v>
      </c>
      <c r="RE13" t="str">
        <f t="shared" si="32"/>
        <v>"des":"IC MIC2039AY",</v>
      </c>
      <c r="RF13" t="str">
        <f t="shared" si="32"/>
        <v>"des":"RST 10K 1/8W 1% 805",</v>
      </c>
      <c r="RG13" t="str">
        <f t="shared" si="32"/>
        <v>"des":"RST 10K 1/8W 1% 805",</v>
      </c>
      <c r="RH13" t="str">
        <f t="shared" si="32"/>
        <v>"des":"RST 10K 1/8W 1% 805",</v>
      </c>
      <c r="RI13" t="str">
        <f t="shared" si="32"/>
        <v>"des":"0043 N S F G2",</v>
      </c>
      <c r="RJ13" t="str">
        <f t="shared" si="32"/>
        <v>"des":"0043 N S F G2",</v>
      </c>
      <c r="RK13" t="str">
        <f t="shared" si="32"/>
        <v>"des":"CTM 926887-1",</v>
      </c>
      <c r="RL13" t="str">
        <f t="shared" si="32"/>
        <v>"des":"DiodeE 60A 200V",</v>
      </c>
      <c r="RM13" t="str">
        <f t="shared" si="32"/>
        <v>"des":"RST 1R5 2W 5% 2512",</v>
      </c>
      <c r="RN13" t="str">
        <f t="shared" si="32"/>
        <v>"des":"RST 2 2W 5% 2512",</v>
      </c>
      <c r="RO13" t="str">
        <f t="shared" si="32"/>
        <v>"des":"RST 2 2W 5% 2512",</v>
      </c>
      <c r="RP13" t="str">
        <f t="shared" si="32"/>
        <v>"des":"PIN 0,5X0,5 MM",</v>
      </c>
      <c r="RQ13" t="str">
        <f t="shared" si="32"/>
        <v>"des":"RST 1 1/2W 1% 1206",</v>
      </c>
      <c r="RR13" t="str">
        <f t="shared" si="32"/>
        <v>"des":"RST 1 1/2W 1% 1206",</v>
      </c>
      <c r="RS13" t="str">
        <f t="shared" si="32"/>
        <v>"des":"RST 49K9 1/4W1%1206",</v>
      </c>
      <c r="RT13" t="str">
        <f t="shared" si="32"/>
        <v>"des":"EMI FIL 2200PF/25V",</v>
      </c>
      <c r="RU13" t="str">
        <f t="shared" si="32"/>
        <v>"des":"RST 100K 1W 5% 2512",</v>
      </c>
      <c r="RV13" t="str">
        <f t="shared" si="32"/>
        <v>"des":"RST 100K 1W 5% 2512",</v>
      </c>
      <c r="RW13" t="str">
        <f t="shared" si="32"/>
        <v>"des":"RST 100K 1W 5% 2512",</v>
      </c>
      <c r="RX13" t="str">
        <f t="shared" si="32"/>
        <v>"des":"RST 120 0,5W 1% MF",</v>
      </c>
      <c r="RY13" t="str">
        <f t="shared" si="32"/>
        <v>"des":"CNT 1902547",</v>
      </c>
      <c r="RZ13" t="str">
        <f t="shared" si="32"/>
        <v>"des":"CNT 1902547",</v>
      </c>
      <c r="SA13" t="str">
        <f t="shared" si="32"/>
        <v>"des":"CNT 1902547",</v>
      </c>
      <c r="SB13" t="str">
        <f t="shared" si="32"/>
        <v>"des":"CONTACT 1017-1",</v>
      </c>
      <c r="SC13" t="str">
        <f t="shared" si="32"/>
        <v>"des":"DiodeE 0,03A 30V",</v>
      </c>
      <c r="SD13" t="str">
        <f t="shared" si="32"/>
        <v>"des":"DiodeE 0,03A 30V",</v>
      </c>
      <c r="SE13" t="str">
        <f t="shared" si="32"/>
        <v>"des":"DiodeE 0,03A 30V",</v>
      </c>
      <c r="SF13" t="str">
        <f t="shared" si="32"/>
        <v>"des":"RST 1K 1/4 1%1206-T",</v>
      </c>
      <c r="SG13" t="str">
        <f t="shared" si="32"/>
        <v>"des":"RST 680 0,1W 1%0603",</v>
      </c>
      <c r="SH13" t="str">
        <f t="shared" si="32"/>
        <v>"des":"RST 680 0,1W 1%0603",</v>
      </c>
      <c r="SI13" t="str">
        <f t="shared" si="32"/>
        <v>"des":"XTAL 32,768KHZ 7PF",</v>
      </c>
      <c r="SJ13" t="str">
        <f t="shared" si="32"/>
        <v>"des":"RST 3K3 1W 5% 2512",</v>
      </c>
      <c r="SK13" t="str">
        <f t="shared" si="32"/>
        <v>"des":"RST 23,7K 1/8W1%805",</v>
      </c>
      <c r="SL13" t="str">
        <f t="shared" si="32"/>
        <v>"des":"RST 23,7K 1/8W1%805",</v>
      </c>
      <c r="SM13" t="str">
        <f t="shared" si="32"/>
        <v>"des":"Capacitor 1000PF/50V 603",</v>
      </c>
      <c r="SN13" t="str">
        <f t="shared" si="32"/>
        <v>"des":"MA-1150475STG",</v>
      </c>
      <c r="SO13" t="str">
        <f t="shared" si="32"/>
        <v>"des":"MA-1150475STG",</v>
      </c>
      <c r="SP13" t="str">
        <f t="shared" si="32"/>
        <v>"des":"MA-1150475STG",</v>
      </c>
      <c r="SQ13" t="str">
        <f t="shared" si="32"/>
        <v>"des":"MA-1150475STG",</v>
      </c>
      <c r="SR13" t="str">
        <f t="shared" si="32"/>
        <v>"des":"MA-1150475STG",</v>
      </c>
      <c r="SS13" t="str">
        <f t="shared" si="32"/>
        <v>"des":"Capacitor 100PF 200V1206",</v>
      </c>
      <c r="ST13" t="str">
        <f t="shared" si="32"/>
        <v>"des":"FUSE CLIP 10A",</v>
      </c>
      <c r="SU13" t="str">
        <f t="shared" si="32"/>
        <v>"des":"RST 470K 1/8W 0,1%S",</v>
      </c>
      <c r="SV13" t="str">
        <f t="shared" si="32"/>
        <v>"des":"RST 470K 1/8W 0,1%S",</v>
      </c>
      <c r="SW13" t="str">
        <f t="shared" si="32"/>
        <v>"des":"RST 200K 1/10W1%603",</v>
      </c>
      <c r="SX13" t="str">
        <f t="shared" si="32"/>
        <v>"des":"Capacitor 1UF/10V 10%402",</v>
      </c>
      <c r="SY13" t="str">
        <f t="shared" si="32"/>
        <v>"des":"Capacitor 1UF/10V 10%402",</v>
      </c>
      <c r="SZ13" t="str">
        <f t="shared" si="32"/>
        <v>"des":"RST 4,7K 0,1W5%603B",</v>
      </c>
      <c r="TA13" t="str">
        <f t="shared" si="32"/>
        <v>"des":"RST 1K 1/16W 1%402",</v>
      </c>
      <c r="TB13" t="str">
        <f t="shared" si="32"/>
        <v>"des":"RST 22 0,1W 1%603",</v>
      </c>
      <c r="TC13" t="str">
        <f t="shared" si="32"/>
        <v>"des":"RST 220 1/10W1%0603",</v>
      </c>
      <c r="TD13" t="str">
        <f t="shared" si="32"/>
        <v>"des":"RST 10 1/8W 1%805B",</v>
      </c>
      <c r="TE13" t="str">
        <f t="shared" si="32"/>
        <v>"des":"RST 1K5 0,1W 1%603A",</v>
      </c>
      <c r="TF13" t="str">
        <f t="shared" ref="TF13:VQ13" si="33">_xlfn.CONCAT("""",$L$7,"""",":","""",TF7,"""",",")</f>
        <v>"des":"RST 1K5 0,1W 1%603A",</v>
      </c>
      <c r="TG13" t="str">
        <f t="shared" si="33"/>
        <v>"des":"RST 100K 0,1W1%603C",</v>
      </c>
      <c r="TH13" t="str">
        <f t="shared" si="33"/>
        <v>"des":"RST 3,3K 1/8W 5%-A",</v>
      </c>
      <c r="TI13" t="str">
        <f t="shared" si="33"/>
        <v>"des":"IND 3,3NH 30MR 2A",</v>
      </c>
      <c r="TJ13" t="str">
        <f t="shared" si="33"/>
        <v>"des":"RST 3,9K 0,1W 1%603",</v>
      </c>
      <c r="TK13" t="str">
        <f t="shared" si="33"/>
        <v>"des":"RST 3,9K 0,1W 1%603",</v>
      </c>
      <c r="TL13" t="str">
        <f t="shared" si="33"/>
        <v>"des":"RST 0 1/2W 5% 1206",</v>
      </c>
      <c r="TM13" t="str">
        <f t="shared" si="33"/>
        <v>"des":"RST 20K 0,1W1% 0603",</v>
      </c>
      <c r="TN13" t="str">
        <f t="shared" si="33"/>
        <v>"des":"RST 20K 0,1W1% 0603",</v>
      </c>
      <c r="TO13" t="str">
        <f t="shared" si="33"/>
        <v>"des":"RST 100R 1/4W5%206A",</v>
      </c>
      <c r="TP13" t="str">
        <f t="shared" si="33"/>
        <v>"des":"RST 100R 1/4W5%206A",</v>
      </c>
      <c r="TQ13" t="str">
        <f t="shared" si="33"/>
        <v>"des":"RST 100R 1/4W5%206A",</v>
      </c>
      <c r="TR13" t="str">
        <f t="shared" si="33"/>
        <v>"des":"RST 10K 1/10W 603-A",</v>
      </c>
      <c r="TS13" t="str">
        <f t="shared" si="33"/>
        <v>"des":"RST 2K 1/8W 1% 0805",</v>
      </c>
      <c r="TT13" t="str">
        <f t="shared" si="33"/>
        <v>"des":"Capacitor 470PF 500V1206",</v>
      </c>
      <c r="TU13" t="str">
        <f t="shared" si="33"/>
        <v>"des":"RST 110K 1/8W1%805",</v>
      </c>
      <c r="TV13" t="str">
        <f t="shared" si="33"/>
        <v>"des":"RST 4K7 0,1W 1%0402",</v>
      </c>
      <c r="TW13" t="str">
        <f t="shared" si="33"/>
        <v>"des":"RST 390 0,1W 1%603",</v>
      </c>
      <c r="TX13" t="str">
        <f t="shared" si="33"/>
        <v>"des":"RST 10K 1/8W 5%805B",</v>
      </c>
      <c r="TY13" t="str">
        <f t="shared" si="33"/>
        <v>"des":"LED DIA 5 MM CL-RED",</v>
      </c>
      <c r="TZ13" t="str">
        <f t="shared" si="33"/>
        <v>"des":"LED DIA 5 MM CL-ORG",</v>
      </c>
      <c r="UA13" t="str">
        <f t="shared" si="33"/>
        <v>"des":"IND 2,7NH 50MR850MA",</v>
      </c>
      <c r="UB13" t="str">
        <f t="shared" si="33"/>
        <v>"des":"RST 1 1/8W 1% 0805",</v>
      </c>
      <c r="UC13" t="str">
        <f t="shared" si="33"/>
        <v>"des":"RST 1 1/8W 1% 0805",</v>
      </c>
      <c r="UD13" t="str">
        <f t="shared" si="33"/>
        <v>"des":"RST 1 1/8W 1% 0805",</v>
      </c>
      <c r="UE13" t="str">
        <f t="shared" si="33"/>
        <v>"des":"RST 1,2K 1/8W 1%805",</v>
      </c>
      <c r="UF13" t="str">
        <f t="shared" si="33"/>
        <v>"des":"RST 1,2K 1/8W 1%805",</v>
      </c>
      <c r="UG13" t="str">
        <f t="shared" si="33"/>
        <v>"des":"RST 2,7K 1/8W 1%805",</v>
      </c>
      <c r="UH13" t="str">
        <f t="shared" si="33"/>
        <v>"des":"RST 22K 1/4W 1%1206",</v>
      </c>
      <c r="UI13" t="str">
        <f t="shared" si="33"/>
        <v>"des":"RST 22K 1/4W 1%1206",</v>
      </c>
      <c r="UJ13" t="str">
        <f t="shared" si="33"/>
        <v>"des":"Capacitor 10NF/25V 0402",</v>
      </c>
      <c r="UK13" t="str">
        <f t="shared" si="33"/>
        <v>"des":"RST 75K 1/8W 5% 805",</v>
      </c>
      <c r="UL13" t="str">
        <f t="shared" si="33"/>
        <v>"des":"RST 0R 1/8W 0805 B",</v>
      </c>
      <c r="UM13" t="str">
        <f t="shared" si="33"/>
        <v>"des":"RST 0R 1/8W 0805 B",</v>
      </c>
      <c r="UN13" t="str">
        <f t="shared" si="33"/>
        <v>"des":"DiodeE ZE 5,6V SMD",</v>
      </c>
      <c r="UO13" t="str">
        <f t="shared" si="33"/>
        <v>"des":"RST 6K81 0,1W1%0603",</v>
      </c>
      <c r="UP13" t="str">
        <f t="shared" si="33"/>
        <v>"des":"IC HEF4049BT",</v>
      </c>
      <c r="UQ13" t="str">
        <f t="shared" si="33"/>
        <v>"des":"IC HEF4049BT",</v>
      </c>
      <c r="UR13" t="str">
        <f t="shared" si="33"/>
        <v>"des":"Capacitor 22NF/50V 0805",</v>
      </c>
      <c r="US13" t="str">
        <f t="shared" si="33"/>
        <v>"des":"MOSFETET 2,6A 60V-A",</v>
      </c>
      <c r="UT13" t="str">
        <f t="shared" si="33"/>
        <v>"des":"MOSFETET 2,6A 60V-A",</v>
      </c>
      <c r="UU13" t="str">
        <f t="shared" si="33"/>
        <v>"des":"MOSFETET 2,6A 60V-A",</v>
      </c>
      <c r="UV13" t="str">
        <f t="shared" si="33"/>
        <v>"des":"CNTF-IDC-16P-BLK",</v>
      </c>
      <c r="UW13" t="str">
        <f t="shared" si="33"/>
        <v>"des":"LED GREEN DIA 3 MM",</v>
      </c>
      <c r="UX13" t="str">
        <f t="shared" si="33"/>
        <v>"des":"LED GREEN DIA 3 MM",</v>
      </c>
      <c r="UY13" t="str">
        <f t="shared" si="33"/>
        <v>"des":"RST 121R 1/8W1%805A",</v>
      </c>
      <c r="UZ13" t="str">
        <f t="shared" si="33"/>
        <v>"des":"Capacitor 1NF/50V 1206",</v>
      </c>
      <c r="VA13" t="str">
        <f t="shared" si="33"/>
        <v>"des":"MOS 50V 0,22A SMT",</v>
      </c>
      <c r="VB13" t="str">
        <f t="shared" si="33"/>
        <v>"des":"MOS 50V 0,22A SMT",</v>
      </c>
      <c r="VC13" t="str">
        <f t="shared" si="33"/>
        <v>"des":"MOS 50V 0,22A SMT",</v>
      </c>
      <c r="VD13" t="str">
        <f t="shared" si="33"/>
        <v>"des":"Capacitor 1PF/25V 0402",</v>
      </c>
      <c r="VE13" t="str">
        <f t="shared" si="33"/>
        <v>"des":"LED SMD GREEN",</v>
      </c>
      <c r="VF13" t="str">
        <f t="shared" si="33"/>
        <v>"des":"LED SMD GREEN",</v>
      </c>
      <c r="VG13" t="str">
        <f t="shared" si="33"/>
        <v>"des":"LED SMD GREEN",</v>
      </c>
      <c r="VH13" t="str">
        <f t="shared" si="33"/>
        <v>"des":"LED SMD GREEN",</v>
      </c>
      <c r="VI13" t="str">
        <f t="shared" si="33"/>
        <v>"des":"LED SMD GREEN",</v>
      </c>
      <c r="VJ13" t="str">
        <f t="shared" si="33"/>
        <v>"des":"LED SMD GREEN",</v>
      </c>
      <c r="VK13" t="str">
        <f t="shared" si="33"/>
        <v>"des":"LED SMD GREEN",</v>
      </c>
      <c r="VL13" t="str">
        <f t="shared" si="33"/>
        <v>"des":"LED SMD GREEN",</v>
      </c>
      <c r="VM13" t="str">
        <f t="shared" si="33"/>
        <v>"des":"RST 6,8K1/8W1%805-O",</v>
      </c>
      <c r="VN13" t="str">
        <f t="shared" si="33"/>
        <v>"des":"RST 6,8K1/8W1%805-O",</v>
      </c>
      <c r="VO13" t="str">
        <f t="shared" si="33"/>
        <v>"des":"RST 6,8K1/8W1%805-O",</v>
      </c>
      <c r="VP13" t="str">
        <f t="shared" si="33"/>
        <v>"des":"RST 10K 1/16W5%402A",</v>
      </c>
      <c r="VQ13" t="str">
        <f t="shared" si="33"/>
        <v>"des":"RST 10K 1/16W5%402A",</v>
      </c>
      <c r="VR13" t="str">
        <f t="shared" ref="VR13:YC13" si="34">_xlfn.CONCAT("""",$L$7,"""",":","""",VR7,"""",",")</f>
        <v>"des":"ICI8238BB-D-IS1",</v>
      </c>
      <c r="VS13" t="str">
        <f t="shared" si="34"/>
        <v>"des":"IC R5F5631PDDFM",</v>
      </c>
      <c r="VT13" t="str">
        <f t="shared" si="34"/>
        <v>"des":"IC R5F5631PDDFM",</v>
      </c>
      <c r="VU13" t="str">
        <f t="shared" si="34"/>
        <v>"des":"DiodeE 1A 100V",</v>
      </c>
      <c r="VV13" t="str">
        <f t="shared" si="34"/>
        <v>"des":"RST 4,7K 1/8W5%805C",</v>
      </c>
      <c r="VW13" t="str">
        <f t="shared" si="34"/>
        <v>"des":"Capacitor 100PF/50V 402",</v>
      </c>
      <c r="VX13" t="str">
        <f t="shared" si="34"/>
        <v>"des":"Capacitor 100PF/50V 402",</v>
      </c>
      <c r="VY13" t="str">
        <f t="shared" si="34"/>
        <v>"des":"RST 1K 0,1W 1%0603",</v>
      </c>
      <c r="VZ13" t="str">
        <f t="shared" si="34"/>
        <v>"des":"RST 150 1/10W1%603A",</v>
      </c>
      <c r="WA13" t="str">
        <f t="shared" si="34"/>
        <v>"des":"RST 150 1/10W1%603A",</v>
      </c>
      <c r="WB13" t="str">
        <f t="shared" si="34"/>
        <v>"des":"RST 150 1/10W1%603A",</v>
      </c>
      <c r="WC13" t="str">
        <f t="shared" si="34"/>
        <v>"des":"DiodeE TVS 8V5SOD123",</v>
      </c>
      <c r="WD13" t="str">
        <f t="shared" si="34"/>
        <v>"des":"RST 4,7K 0,1W1%0603",</v>
      </c>
      <c r="WE13" t="str">
        <f t="shared" si="34"/>
        <v>"des":"RST 4,7K 0,1W1%0603",</v>
      </c>
      <c r="WF13" t="str">
        <f t="shared" si="34"/>
        <v>"des":"RST 470K 1/8W 1%805",</v>
      </c>
      <c r="WG13" t="str">
        <f t="shared" si="34"/>
        <v>"des":"RST 470K 1/8W 1%805",</v>
      </c>
      <c r="WH13" t="str">
        <f t="shared" si="34"/>
        <v>"des":"08-50-0031",</v>
      </c>
      <c r="WI13" t="str">
        <f t="shared" si="34"/>
        <v>"des":"08-50-0031",</v>
      </c>
      <c r="WJ13" t="str">
        <f t="shared" si="34"/>
        <v>"des":"08-50-0031",</v>
      </c>
      <c r="WK13" t="str">
        <f t="shared" si="34"/>
        <v>"des":"08-50-0031",</v>
      </c>
      <c r="WL13" t="str">
        <f t="shared" si="34"/>
        <v>"des":"DiodeE TVS 15V SMA",</v>
      </c>
      <c r="WM13" t="str">
        <f t="shared" si="34"/>
        <v>"des":"DiodeE TVS 15V SMA",</v>
      </c>
      <c r="WN13" t="str">
        <f t="shared" si="34"/>
        <v>"des":"RST 3,3 1/4W 5%1206",</v>
      </c>
      <c r="WO13" t="str">
        <f t="shared" si="34"/>
        <v>"des":"Capacitor 220NF K50V 805",</v>
      </c>
      <c r="WP13" t="str">
        <f t="shared" si="34"/>
        <v>"des":"Capacitor 220NF K50V 805",</v>
      </c>
      <c r="WQ13" t="str">
        <f t="shared" si="34"/>
        <v>"des":"Capacitor 220NF K50V 805",</v>
      </c>
      <c r="WR13" t="str">
        <f t="shared" si="34"/>
        <v>"des":"RST 47K 1/8W 1% 805",</v>
      </c>
      <c r="WS13" t="str">
        <f t="shared" si="34"/>
        <v>"des":"RST 47K 1/8W 1% 805",</v>
      </c>
      <c r="WT13" t="str">
        <f t="shared" si="34"/>
        <v>"des":"RST 24K 0,1W 1%0603",</v>
      </c>
      <c r="WU13" t="str">
        <f t="shared" si="34"/>
        <v>"des":"RST 475 0,1W 1% 603",</v>
      </c>
      <c r="WV13" t="str">
        <f t="shared" si="34"/>
        <v>"des":"RST 475 0,1W 1% 603",</v>
      </c>
      <c r="WW13" t="str">
        <f t="shared" si="34"/>
        <v>"des":"RST 160 1% 0402-T",</v>
      </c>
      <c r="WX13" t="str">
        <f t="shared" si="34"/>
        <v>"des":"RST 160 1% 0402-T",</v>
      </c>
      <c r="WY13" t="str">
        <f t="shared" si="34"/>
        <v>"des":"RST 150K 1/4W 1%206",</v>
      </c>
      <c r="WZ13" t="str">
        <f t="shared" si="34"/>
        <v>"des":"RST 22K1 1/4W1%1206",</v>
      </c>
      <c r="XA13" t="str">
        <f t="shared" si="34"/>
        <v>"des":"RST 470K 1/4W 1%206",</v>
      </c>
      <c r="XB13" t="str">
        <f t="shared" si="34"/>
        <v>"des":"IC LM2904",</v>
      </c>
      <c r="XC13" t="str">
        <f t="shared" si="34"/>
        <v>"des":"IC LM2904",</v>
      </c>
      <c r="XD13" t="str">
        <f t="shared" si="34"/>
        <v>"des":"IC LM2904",</v>
      </c>
      <c r="XE13" t="str">
        <f t="shared" si="34"/>
        <v>"des":"RST 47K 62,5MW 1%",</v>
      </c>
      <c r="XF13" t="str">
        <f t="shared" si="34"/>
        <v>"des":"MA-1120753STG",</v>
      </c>
      <c r="XG13" t="str">
        <f t="shared" si="34"/>
        <v>"des":"MA-1120753STG",</v>
      </c>
      <c r="XH13" t="str">
        <f t="shared" si="34"/>
        <v>"des":"MA-1120753STG",</v>
      </c>
      <c r="XI13" t="str">
        <f t="shared" si="34"/>
        <v>"des":"Capacitor 220NF 400V TH",</v>
      </c>
      <c r="XJ13" t="str">
        <f t="shared" si="34"/>
        <v>"des":"Capacitor 220NF 400V TH",</v>
      </c>
      <c r="XK13" t="str">
        <f t="shared" si="34"/>
        <v>"des":"RST 15R 1/4W 5%1206",</v>
      </c>
      <c r="XL13" t="str">
        <f t="shared" si="34"/>
        <v>"des":"DiodeE TVS 35V SMT",</v>
      </c>
      <c r="XM13" t="str">
        <f t="shared" si="34"/>
        <v>"des":"DiodeE TVS 35V SMT",</v>
      </c>
      <c r="XN13" t="str">
        <f t="shared" si="34"/>
        <v>"des":"DiodeE TVS 35V SMT",</v>
      </c>
      <c r="XO13" t="str">
        <f t="shared" si="34"/>
        <v>"des":"DiodeE TVS 35V SMT",</v>
      </c>
      <c r="XP13" t="str">
        <f t="shared" si="34"/>
        <v>"des":"Capacitor 10UF/25V 805",</v>
      </c>
      <c r="XQ13" t="str">
        <f t="shared" si="34"/>
        <v>"des":"IND 4,7UH 0,43A SMD",</v>
      </c>
      <c r="XR13" t="str">
        <f t="shared" si="34"/>
        <v>"des":"IND 4,7UH 0,43A SMD",</v>
      </c>
      <c r="XS13" t="str">
        <f t="shared" si="34"/>
        <v>"des":"IND 4,7UH 0,43A SMD",</v>
      </c>
      <c r="XT13" t="str">
        <f t="shared" si="34"/>
        <v>"des":"RST 47K5 0,1W1%0603",</v>
      </c>
      <c r="XU13" t="str">
        <f t="shared" si="34"/>
        <v>"des":"Capacitor 470PF50V5%0603",</v>
      </c>
      <c r="XV13" t="str">
        <f t="shared" si="34"/>
        <v>"des":"Capacitor 470PF50V5%0603",</v>
      </c>
      <c r="XW13" t="str">
        <f t="shared" si="34"/>
        <v>"des":"Capacitor 470PF50V5%0603",</v>
      </c>
      <c r="XX13" t="str">
        <f t="shared" si="34"/>
        <v>"des":"RST 3,3K 1/8W 5%805",</v>
      </c>
      <c r="XY13" t="str">
        <f t="shared" si="34"/>
        <v>"des":"RST 3,3K 1/8W 5%805",</v>
      </c>
      <c r="XZ13" t="str">
        <f t="shared" si="34"/>
        <v>"des":"RST 470 1/8W 1%805",</v>
      </c>
      <c r="YA13" t="str">
        <f t="shared" si="34"/>
        <v>"des":"RST 470 1/8W 1%805",</v>
      </c>
      <c r="YB13" t="str">
        <f t="shared" si="34"/>
        <v>"des":"RST 220K 1/4W1%206A",</v>
      </c>
      <c r="YC13" t="str">
        <f t="shared" si="34"/>
        <v>"des":"RST 220K 1/4W1%206A",</v>
      </c>
      <c r="YD13" t="str">
        <f t="shared" ref="YD13:AAO13" si="35">_xlfn.CONCAT("""",$L$7,"""",":","""",YD7,"""",",")</f>
        <v>"des":"RST 100 1/8W 1%805A",</v>
      </c>
      <c r="YE13" t="str">
        <f t="shared" si="35"/>
        <v>"des":"RST 100 1/8W 1%805A",</v>
      </c>
      <c r="YF13" t="str">
        <f t="shared" si="35"/>
        <v>"des":"RST 33,2K 1/4W 1206",</v>
      </c>
      <c r="YG13" t="str">
        <f t="shared" si="35"/>
        <v>"des":"RST 33,2K 1/4W 1206",</v>
      </c>
      <c r="YH13" t="str">
        <f t="shared" si="35"/>
        <v>"des":"RST 33,2K 1/4W 1206",</v>
      </c>
      <c r="YI13" t="str">
        <f t="shared" si="35"/>
        <v>"des":"MA-1150464STG",</v>
      </c>
      <c r="YJ13" t="str">
        <f t="shared" si="35"/>
        <v>"des":"MA-1150464STG",</v>
      </c>
      <c r="YK13" t="str">
        <f t="shared" si="35"/>
        <v>"des":"MA-1150464STG",</v>
      </c>
      <c r="YL13" t="str">
        <f t="shared" si="35"/>
        <v>"des":"MA-1150464STG",</v>
      </c>
      <c r="YM13" t="str">
        <f t="shared" si="35"/>
        <v>"des":"MA-1150464STG",</v>
      </c>
      <c r="YN13" t="str">
        <f t="shared" si="35"/>
        <v>"des":"MA-1150457STG",</v>
      </c>
      <c r="YO13" t="str">
        <f t="shared" si="35"/>
        <v>"des":"MA-1150457STG",</v>
      </c>
      <c r="YP13" t="str">
        <f t="shared" si="35"/>
        <v>"des":"MA-1150457STG",</v>
      </c>
      <c r="YQ13" t="str">
        <f t="shared" si="35"/>
        <v>"des":"MA-1150457STG",</v>
      </c>
      <c r="YR13" t="str">
        <f t="shared" si="35"/>
        <v>"des":"MA-1150457STG",</v>
      </c>
      <c r="YS13" t="str">
        <f t="shared" si="35"/>
        <v>"des":"RST 470 0,1W 5% 603",</v>
      </c>
      <c r="YT13" t="str">
        <f t="shared" si="35"/>
        <v>"des":"MA-1121171STG",</v>
      </c>
      <c r="YU13" t="str">
        <f t="shared" si="35"/>
        <v>"des":"MA-1121171STG",</v>
      </c>
      <c r="YV13" t="str">
        <f t="shared" si="35"/>
        <v>"des":"FUSE CLIP 30A-02",</v>
      </c>
      <c r="YW13" t="str">
        <f t="shared" si="35"/>
        <v>"des":"DiodeE 0,215A 90VSMT",</v>
      </c>
      <c r="YX13" t="str">
        <f t="shared" si="35"/>
        <v>"des":"RST 47K 0,1W 5% 603",</v>
      </c>
      <c r="YY13" t="str">
        <f t="shared" si="35"/>
        <v>"des":"RST 47K 0,1W 5% 603",</v>
      </c>
      <c r="YZ13" t="str">
        <f t="shared" si="35"/>
        <v>"des":"RST 47K 0,1W 5% 603",</v>
      </c>
      <c r="ZA13" t="str">
        <f t="shared" si="35"/>
        <v>"des":"DiodeE 0,25A 250VSMT",</v>
      </c>
      <c r="ZB13" t="str">
        <f t="shared" si="35"/>
        <v>"des":"RST 182K 1/8W1%805A",</v>
      </c>
      <c r="ZC13" t="str">
        <f t="shared" si="35"/>
        <v>"des":"RST 182K 1/8W1%805A",</v>
      </c>
      <c r="ZD13" t="str">
        <f t="shared" si="35"/>
        <v>"des":"RST 182K 1/8W1%805A",</v>
      </c>
      <c r="ZE13" t="str">
        <f t="shared" si="35"/>
        <v>"des":"HEADER 1X4P 2MM",</v>
      </c>
      <c r="ZF13" t="str">
        <f t="shared" si="35"/>
        <v>"des":"ICCF8574TS/3,118",</v>
      </c>
      <c r="ZG13" t="str">
        <f t="shared" si="35"/>
        <v>"des":"ICCF8574TS/3,118",</v>
      </c>
      <c r="ZH13" t="str">
        <f t="shared" si="35"/>
        <v>"des":"RST 499 0,1W 1%0603",</v>
      </c>
      <c r="ZI13" t="str">
        <f t="shared" si="35"/>
        <v>"des":"RST 499 0,1W 1%0603",</v>
      </c>
      <c r="ZJ13" t="str">
        <f t="shared" si="35"/>
        <v>"des":"Capacitor 2,2UF K16V 603",</v>
      </c>
      <c r="ZK13" t="str">
        <f t="shared" si="35"/>
        <v>"des":"Capacitor 2,2UF K16V 603",</v>
      </c>
      <c r="ZL13" t="str">
        <f t="shared" si="35"/>
        <v>"des":"LED CL-BL DIA 3 MM",</v>
      </c>
      <c r="ZM13" t="str">
        <f t="shared" si="35"/>
        <v>"des":"RST 100K 0,1W5%603A",</v>
      </c>
      <c r="ZN13" t="str">
        <f t="shared" si="35"/>
        <v>"des":"RST 100K 0,1W5%603A",</v>
      </c>
      <c r="ZO13" t="str">
        <f t="shared" si="35"/>
        <v>"des":"C330P-50V10%0603",</v>
      </c>
      <c r="ZP13" t="str">
        <f t="shared" si="35"/>
        <v>"des":"BLE CYBLE-222014-01",</v>
      </c>
      <c r="ZQ13" t="str">
        <f t="shared" si="35"/>
        <v>"des":"RST 392R 0,1W1%0603",</v>
      </c>
      <c r="ZR13" t="str">
        <f t="shared" si="35"/>
        <v>"des":"RST 392R 0,1W1%0603",</v>
      </c>
      <c r="ZS13" t="str">
        <f t="shared" si="35"/>
        <v>"des":"Capacitor 100NF/50V 0805",</v>
      </c>
      <c r="ZT13" t="str">
        <f t="shared" si="35"/>
        <v>"des":"Capacitor 100NF/50V 0805",</v>
      </c>
      <c r="ZU13" t="str">
        <f t="shared" si="35"/>
        <v>"des":"CLIP RM 4/I-02",</v>
      </c>
      <c r="ZV13" t="str">
        <f t="shared" si="35"/>
        <v>"des":"RST 30K 1/8W 1%0805",</v>
      </c>
      <c r="ZW13" t="str">
        <f t="shared" si="35"/>
        <v>"des":"RST 30K 1/8W 1%0805",</v>
      </c>
      <c r="ZX13" t="str">
        <f t="shared" si="35"/>
        <v>"des":"RST 2K74 1/4W1%1206",</v>
      </c>
      <c r="ZY13" t="str">
        <f t="shared" si="35"/>
        <v>"des":"Capacitor 1NF/300V 20%TH",</v>
      </c>
      <c r="ZZ13" t="str">
        <f t="shared" si="35"/>
        <v>"des":"Capacitor 1NF/300V 20%TH",</v>
      </c>
      <c r="AAA13" t="str">
        <f t="shared" si="35"/>
        <v>"des":"Capacitor 1NF/300V 20%TH",</v>
      </c>
      <c r="AAB13" t="str">
        <f t="shared" si="35"/>
        <v>"des":"RST 0,0005 6W1%2512",</v>
      </c>
      <c r="AAC13" t="str">
        <f t="shared" si="35"/>
        <v>"des":"RST 0,0005 6W1%2512",</v>
      </c>
      <c r="AAD13" t="str">
        <f t="shared" si="35"/>
        <v>"des":"RST 0,0005 6W1%2512",</v>
      </c>
      <c r="AAE13" t="str">
        <f t="shared" si="35"/>
        <v>"des":"Capacitor 22NF/16V10%603",</v>
      </c>
      <c r="AAF13" t="str">
        <f t="shared" si="35"/>
        <v>"des":"RST 1K8 1/16W1% 402",</v>
      </c>
      <c r="AAG13" t="str">
        <f t="shared" si="35"/>
        <v>"des":"RST 150K 1/2W1%1206",</v>
      </c>
      <c r="AAH13" t="str">
        <f t="shared" si="35"/>
        <v>"des":"RST 150K 1/2W1%1206",</v>
      </c>
      <c r="AAI13" t="str">
        <f t="shared" si="35"/>
        <v>"des":"RST 10K 1/8W 1%805A",</v>
      </c>
      <c r="AAJ13" t="str">
        <f t="shared" si="35"/>
        <v>"des":"RST 10K 1/8W 1%805A",</v>
      </c>
      <c r="AAK13" t="str">
        <f t="shared" si="35"/>
        <v>"des":"Capacitor 10PF/50V 5%603",</v>
      </c>
      <c r="AAL13" t="str">
        <f t="shared" si="35"/>
        <v>"des":"Capacitor 10PF/50V 5%603",</v>
      </c>
      <c r="AAM13" t="str">
        <f t="shared" si="35"/>
        <v>"des":"Capacitor 10PF/50V 5%603",</v>
      </c>
      <c r="AAN13" t="str">
        <f t="shared" si="35"/>
        <v>"des":"Capacitor 10PF/50V 5%603",</v>
      </c>
      <c r="AAO13" t="str">
        <f t="shared" si="35"/>
        <v>"des":"Capacitor 47PF/100V 805A",</v>
      </c>
      <c r="AAP13" t="str">
        <f t="shared" ref="AAP13:ADA13" si="36">_xlfn.CONCAT("""",$L$7,"""",":","""",AAP7,"""",",")</f>
        <v>"des":"Capacitor 47PF/100V 805A",</v>
      </c>
      <c r="AAQ13" t="str">
        <f t="shared" si="36"/>
        <v>"des":"Capacitor 47PF/100V 805A",</v>
      </c>
      <c r="AAR13" t="str">
        <f t="shared" si="36"/>
        <v>"des":"Capacitor 220PF/50V 0805",</v>
      </c>
      <c r="AAS13" t="str">
        <f t="shared" si="36"/>
        <v>"des":"DiodeE 0,15A 100VSMT",</v>
      </c>
      <c r="AAT13" t="str">
        <f t="shared" si="36"/>
        <v>"des":"RST 0,68 1W 5% 2512",</v>
      </c>
      <c r="AAU13" t="str">
        <f t="shared" si="36"/>
        <v>"des":"RST 0,68 1W 5% 2512",</v>
      </c>
      <c r="AAV13" t="str">
        <f t="shared" si="36"/>
        <v>"des":"RST 0,68 1W 5% 2512",</v>
      </c>
      <c r="AAW13" t="str">
        <f t="shared" si="36"/>
        <v>"des":"Choke CoilE 2200OHM 0,2A",</v>
      </c>
      <c r="AAX13" t="str">
        <f t="shared" si="36"/>
        <v>"des":"RST 1K 1/8W 1%805-2",</v>
      </c>
      <c r="AAY13" t="str">
        <f t="shared" si="36"/>
        <v>"des":"Capacitor 100PF/50V 603",</v>
      </c>
      <c r="AAZ13" t="str">
        <f t="shared" si="36"/>
        <v>"des":"Capacitor 47PF50V 5%603A",</v>
      </c>
      <c r="ABA13" t="str">
        <f t="shared" si="36"/>
        <v>"des":"Capacitor 47PF50V 5%603A",</v>
      </c>
      <c r="ABB13" t="str">
        <f t="shared" si="36"/>
        <v>"des":"Capacitor 47PF50V 5%603A",</v>
      </c>
      <c r="ABC13" t="str">
        <f t="shared" si="36"/>
        <v>"des":"Capacitor 1UF 10V 0603",</v>
      </c>
      <c r="ABD13" t="str">
        <f t="shared" si="36"/>
        <v>"des":"Capacitor 1UF 10V 0603",</v>
      </c>
      <c r="ABE13" t="str">
        <f t="shared" si="36"/>
        <v>"des":"Capacitor 1UF 10V 0603",</v>
      </c>
      <c r="ABF13" t="str">
        <f t="shared" si="36"/>
        <v>"des":"RST 52K3 1/8W 1%805",</v>
      </c>
      <c r="ABG13" t="str">
        <f t="shared" si="36"/>
        <v>"des":"RST 221K 1/8W1%805",</v>
      </c>
      <c r="ABH13" t="str">
        <f t="shared" si="36"/>
        <v>"des":"RST 12K 1/8W 5% 805",</v>
      </c>
      <c r="ABI13" t="str">
        <f t="shared" si="36"/>
        <v>"des":"RST 12K 1/8W 5% 805",</v>
      </c>
      <c r="ABJ13" t="str">
        <f t="shared" si="36"/>
        <v>"des":"RST 3,32K 0,1W 1%SM",</v>
      </c>
      <c r="ABK13" t="str">
        <f t="shared" si="36"/>
        <v>"des":"RST 3,32K 0,1W 1%SM",</v>
      </c>
      <c r="ABL13" t="str">
        <f t="shared" si="36"/>
        <v>"des":"RST 3,32K 0,1W 1%SM",</v>
      </c>
      <c r="ABM13" t="str">
        <f t="shared" si="36"/>
        <v>"des":"Capacitor 10NF 200V 0805",</v>
      </c>
      <c r="ABN13" t="str">
        <f t="shared" si="36"/>
        <v>"des":"Capacitor 10NF 200V 0805",</v>
      </c>
      <c r="ABO13" t="str">
        <f t="shared" si="36"/>
        <v>"des":"Capacitor 4,7NF 50V0603",</v>
      </c>
      <c r="ABP13" t="str">
        <f t="shared" si="36"/>
        <v>"des":"DiodeE 0,2A 30V SOT",</v>
      </c>
      <c r="ABQ13" t="str">
        <f t="shared" si="36"/>
        <v>"des":"RST 470K 0,1W1%603A",</v>
      </c>
      <c r="ABR13" t="str">
        <f t="shared" si="36"/>
        <v>"des":"RST 470K 0,1W1%603A",</v>
      </c>
      <c r="ABS13" t="str">
        <f t="shared" si="36"/>
        <v>"des":"RST 0R 1/4W 5%1206A",</v>
      </c>
      <c r="ABT13" t="str">
        <f t="shared" si="36"/>
        <v>"des":"RST 0R 1/4W 5%1206A",</v>
      </c>
      <c r="ABU13" t="str">
        <f t="shared" si="36"/>
        <v>"des":"RST SHUNT 2512",</v>
      </c>
      <c r="ABV13" t="str">
        <f t="shared" si="36"/>
        <v>"des":"RST SHUNT 2512",</v>
      </c>
      <c r="ABW13" t="str">
        <f t="shared" si="36"/>
        <v>"des":"RST 10 1/4W 5% 1206",</v>
      </c>
      <c r="ABX13" t="str">
        <f t="shared" si="36"/>
        <v>"des":"RST 10 1/4W 5% 1206",</v>
      </c>
      <c r="ABY13" t="str">
        <f t="shared" si="36"/>
        <v>"des":"RST 47R 1/8W 1% 805",</v>
      </c>
      <c r="ABZ13" t="str">
        <f t="shared" si="36"/>
        <v>"des":"RST 47R 1/8W 1% 805",</v>
      </c>
      <c r="ACA13" t="str">
        <f t="shared" si="36"/>
        <v>"des":"RST 18K 1/8W 1%805B",</v>
      </c>
      <c r="ACB13" t="str">
        <f t="shared" si="36"/>
        <v>"des":"RST 18K 1/8W 1%805B",</v>
      </c>
      <c r="ACC13" t="str">
        <f t="shared" si="36"/>
        <v>"des":"RST 20K 0,1W1% 603B",</v>
      </c>
      <c r="ACD13" t="str">
        <f t="shared" si="36"/>
        <v>"des":"RST 20K 0,1W1% 603B",</v>
      </c>
      <c r="ACE13" t="str">
        <f t="shared" si="36"/>
        <v>"des":"Capacitor 120PF/50V 0805",</v>
      </c>
      <c r="ACF13" t="str">
        <f t="shared" si="36"/>
        <v>"des":"Capacitor 120PF/50V 0805",</v>
      </c>
      <c r="ACG13" t="str">
        <f t="shared" si="36"/>
        <v>"des":"RST 470 1/4W 5% 805",</v>
      </c>
      <c r="ACH13" t="str">
        <f t="shared" si="36"/>
        <v>"des":"Capacitor 4,7NF/305V Y2",</v>
      </c>
      <c r="ACI13" t="str">
        <f t="shared" si="36"/>
        <v>"des":"RST 8,2K 1/8W 1%805",</v>
      </c>
      <c r="ACJ13" t="str">
        <f t="shared" si="36"/>
        <v>"des":"RST 8,2K 1/8W 1%805",</v>
      </c>
      <c r="ACK13" t="str">
        <f t="shared" si="36"/>
        <v>"des":"RST 220R 0,1W1%603B",</v>
      </c>
      <c r="ACL13" t="str">
        <f t="shared" si="36"/>
        <v>"des":"Capacitor 10UF/25V20%603",</v>
      </c>
      <c r="ACM13" t="str">
        <f t="shared" si="36"/>
        <v>"des":"Capacitor 10UF/25V20%603",</v>
      </c>
      <c r="ACN13" t="str">
        <f t="shared" si="36"/>
        <v>"des":"Choke CoilE 330OHM 2,5A",</v>
      </c>
      <c r="ACO13" t="str">
        <f t="shared" si="36"/>
        <v>"des":"FUSE 80A 250V",</v>
      </c>
      <c r="ACP13" t="str">
        <f t="shared" si="36"/>
        <v>"des":"RST 220 1/4W 5%1206",</v>
      </c>
      <c r="ACQ13" t="str">
        <f t="shared" si="36"/>
        <v>"des":"RST 1K 2W 5% 2512",</v>
      </c>
      <c r="ACR13" t="str">
        <f t="shared" si="36"/>
        <v>"des":"RST 1K 2W 5% 2512",</v>
      </c>
      <c r="ACS13" t="str">
        <f t="shared" si="36"/>
        <v>"des":"RST 1K 2W 5% 2512",</v>
      </c>
      <c r="ACT13" t="str">
        <f t="shared" si="36"/>
        <v>"des":"RST 82K5 1/4W1%206A",</v>
      </c>
      <c r="ACU13" t="str">
        <f t="shared" si="36"/>
        <v>"des":"RST 82K5 1/4W1%206A",</v>
      </c>
      <c r="ACV13" t="str">
        <f t="shared" si="36"/>
        <v>"des":"RST 82K5 1/4W1%206A",</v>
      </c>
      <c r="ACW13" t="str">
        <f t="shared" si="36"/>
        <v>"des":"RST 60R4 1/4W1%1206",</v>
      </c>
      <c r="ACX13" t="str">
        <f t="shared" si="36"/>
        <v>"des":"RST 22K 0,1W1%603A",</v>
      </c>
      <c r="ACY13" t="str">
        <f t="shared" si="36"/>
        <v>"des":"RST 30K1 ,1W ,1%603",</v>
      </c>
      <c r="ACZ13" t="str">
        <f t="shared" si="36"/>
        <v>"des":"Capacitor 47NF/300V 20%2",</v>
      </c>
      <c r="ADA13" t="str">
        <f t="shared" si="36"/>
        <v>"des":"Capacitor 47NF/300V 20%2",</v>
      </c>
      <c r="ADB13" t="str">
        <f t="shared" ref="ADB13:AFM13" si="37">_xlfn.CONCAT("""",$L$7,"""",":","""",ADB7,"""",",")</f>
        <v>"des":"Capacitor 47NF/300V 20%2",</v>
      </c>
      <c r="ADC13" t="str">
        <f t="shared" si="37"/>
        <v>"des":"Capacitor 47NF/300V 20%2",</v>
      </c>
      <c r="ADD13" t="str">
        <f t="shared" si="37"/>
        <v>"des":"MOSFETET SI2301",</v>
      </c>
      <c r="ADE13" t="str">
        <f t="shared" si="37"/>
        <v>"des":"MOSFETET SI2301",</v>
      </c>
      <c r="ADF13" t="str">
        <f t="shared" si="37"/>
        <v>"des":"CNT 1774030",</v>
      </c>
      <c r="ADG13" t="str">
        <f t="shared" si="37"/>
        <v>"des":"CNT 1774030",</v>
      </c>
      <c r="ADH13" t="str">
        <f t="shared" si="37"/>
        <v>"des":"RST 1,5K 1/8W1%0805",</v>
      </c>
      <c r="ADI13" t="str">
        <f t="shared" si="37"/>
        <v>"des":"RST 1,5K 1/8W1%0805",</v>
      </c>
      <c r="ADJ13" t="str">
        <f t="shared" si="37"/>
        <v>"des":"RST 1,5K 1/8W1%0805",</v>
      </c>
      <c r="ADK13" t="str">
        <f t="shared" si="37"/>
        <v>"des":"RST 1,5K 1/4W 5%206",</v>
      </c>
      <c r="ADL13" t="str">
        <f t="shared" si="37"/>
        <v>"des":"RST 1,5K 1/4W 5%206",</v>
      </c>
      <c r="ADM13" t="str">
        <f t="shared" si="37"/>
        <v>"des":"RST 1,5K 1/4W 5%206",</v>
      </c>
      <c r="ADN13" t="str">
        <f t="shared" si="37"/>
        <v>"des":"RST 1,5K 1/4W 5%206",</v>
      </c>
      <c r="ADO13" t="str">
        <f t="shared" si="37"/>
        <v>"des":"RST 180 1/8W1%805-T",</v>
      </c>
      <c r="ADP13" t="str">
        <f t="shared" si="37"/>
        <v>"des":"RST 1M 1W 5% 2512-2",</v>
      </c>
      <c r="ADQ13" t="str">
        <f t="shared" si="37"/>
        <v>"des":"RST 1M 1W 5% 2512-2",</v>
      </c>
      <c r="ADR13" t="str">
        <f t="shared" si="37"/>
        <v>"des":"RST 1M 1W 5% 2512-2",</v>
      </c>
      <c r="ADS13" t="str">
        <f t="shared" si="37"/>
        <v>"des":"RST 1M 1W 5% 2512-2",</v>
      </c>
      <c r="ADT13" t="str">
        <f t="shared" si="37"/>
        <v>"des":"RST 1M 1W 5% 2512-2",</v>
      </c>
      <c r="ADU13" t="str">
        <f t="shared" si="37"/>
        <v>"des":"RST 220K 2W 5%2512",</v>
      </c>
      <c r="ADV13" t="str">
        <f t="shared" si="37"/>
        <v>"des":"RST 220K 2W 5%2512",</v>
      </c>
      <c r="ADW13" t="str">
        <f t="shared" si="37"/>
        <v>"des":"RST 8K2 1/8W 1% 805",</v>
      </c>
      <c r="ADX13" t="str">
        <f t="shared" si="37"/>
        <v>"des":"RST 8K2 1/8W 1% 805",</v>
      </c>
      <c r="ADY13" t="str">
        <f t="shared" si="37"/>
        <v>"des":"RST 8K2 1/8W 1% 805",</v>
      </c>
      <c r="ADZ13" t="str">
        <f t="shared" si="37"/>
        <v>"des":"RST 1K 1W 1% 2512",</v>
      </c>
      <c r="AEA13" t="str">
        <f t="shared" si="37"/>
        <v>"des":"RST 1K 1W 1% 2512",</v>
      </c>
      <c r="AEB13" t="str">
        <f t="shared" si="37"/>
        <v>"des":"Choke CoilE SMD 33UH 0,5A",</v>
      </c>
      <c r="AEC13" t="str">
        <f t="shared" si="37"/>
        <v>"des":"ICMD MC9S08DZ32",</v>
      </c>
      <c r="AED13" t="str">
        <f t="shared" si="37"/>
        <v>"des":"ICMD MC9S08DZ32",</v>
      </c>
      <c r="AEE13" t="str">
        <f t="shared" si="37"/>
        <v>"des":"ICMD MC9S08DZ32",</v>
      </c>
      <c r="AEF13" t="str">
        <f t="shared" si="37"/>
        <v>"des":"DiodeE BDG 50A 1600V",</v>
      </c>
      <c r="AEG13" t="str">
        <f t="shared" si="37"/>
        <v>"des":"RST 3K32 1/4W1%1206",</v>
      </c>
      <c r="AEH13" t="str">
        <f t="shared" si="37"/>
        <v>"des":"TRAN PNP 60V SOT223",</v>
      </c>
      <c r="AEI13" t="str">
        <f t="shared" si="37"/>
        <v>"des":"CTF 08-50-0113",</v>
      </c>
      <c r="AEJ13" t="str">
        <f t="shared" si="37"/>
        <v>"des":"DiodeE 0,2A30VSD323",</v>
      </c>
      <c r="AEK13" t="str">
        <f t="shared" si="37"/>
        <v>"des":"DiodeE 0,2A30VSD323",</v>
      </c>
      <c r="AEL13" t="str">
        <f t="shared" si="37"/>
        <v>"des":"RST 2,2K 1/8W 1%805",</v>
      </c>
      <c r="AEM13" t="str">
        <f t="shared" si="37"/>
        <v>"des":"RST 2,2K 1/8W 1%805",</v>
      </c>
      <c r="AEN13" t="str">
        <f t="shared" si="37"/>
        <v>"des":"RST 681R 1/8W1%805A",</v>
      </c>
      <c r="AEO13" t="str">
        <f t="shared" si="37"/>
        <v>"des":"Capacitor 100PF/25V 0603",</v>
      </c>
      <c r="AEP13" t="str">
        <f t="shared" si="37"/>
        <v>"des":"RST 2K21 0,1W1%603A",</v>
      </c>
      <c r="AEQ13" t="str">
        <f t="shared" si="37"/>
        <v>"des":"RST 2K21 0,1W1%603A",</v>
      </c>
      <c r="AER13" t="str">
        <f t="shared" si="37"/>
        <v>"des":"RST 2K21 0,1W1%603A",</v>
      </c>
      <c r="AES13" t="str">
        <f t="shared" si="37"/>
        <v>"des":"RST 2K21 0,1W1%603A",</v>
      </c>
      <c r="AET13" t="str">
        <f t="shared" si="37"/>
        <v>"des":"Capacitor 220NF 630V TH",</v>
      </c>
      <c r="AEU13" t="str">
        <f t="shared" si="37"/>
        <v>"des":"Capacitor 220NF 630V TH",</v>
      </c>
      <c r="AEV13" t="str">
        <f t="shared" si="37"/>
        <v>"des":"MA-1150303STG",</v>
      </c>
      <c r="AEW13" t="str">
        <f t="shared" si="37"/>
        <v>"des":"MA-1150303STG",</v>
      </c>
      <c r="AEX13" t="str">
        <f t="shared" si="37"/>
        <v>"des":"MA-1150303STG",</v>
      </c>
      <c r="AEY13" t="str">
        <f t="shared" si="37"/>
        <v>"des":"MA-1150303STG",</v>
      </c>
      <c r="AEZ13" t="str">
        <f t="shared" si="37"/>
        <v>"des":"MA-1150303STG",</v>
      </c>
      <c r="AFA13" t="str">
        <f t="shared" si="37"/>
        <v>"des":"RST 90K9 0,1W1%603A",</v>
      </c>
      <c r="AFB13" t="str">
        <f t="shared" si="37"/>
        <v>"des":"RST 90K9 0,1W1%603A",</v>
      </c>
      <c r="AFC13" t="str">
        <f t="shared" si="37"/>
        <v>"des":"RST 90K9 0,1W1%603A",</v>
      </c>
      <c r="AFD13" t="str">
        <f t="shared" si="37"/>
        <v>"des":"RST 90K9 0,1W1%603A",</v>
      </c>
      <c r="AFE13" t="str">
        <f t="shared" si="37"/>
        <v>"des":"RST 90K9 0,1W1%603A",</v>
      </c>
      <c r="AFF13" t="str">
        <f t="shared" si="37"/>
        <v>"des":"CRYSTAL 20MHZ 18PF",</v>
      </c>
      <c r="AFG13" t="str">
        <f t="shared" si="37"/>
        <v>"des":"CRYSTAL 20MHZ 18PF",</v>
      </c>
      <c r="AFH13" t="str">
        <f t="shared" si="37"/>
        <v>"des":"CRYSTAL 20MHZ 18PF",</v>
      </c>
      <c r="AFI13" t="str">
        <f t="shared" si="37"/>
        <v>"des":"CRYSTAL 20MHZ 18PF",</v>
      </c>
      <c r="AFJ13" t="str">
        <f t="shared" si="37"/>
        <v>"des":"CRYSTAL 20MHZ 18PF",</v>
      </c>
      <c r="AFK13" t="str">
        <f t="shared" si="37"/>
        <v>"des":"CRYSTAL 20MHZ 18PF",</v>
      </c>
      <c r="AFL13" t="str">
        <f t="shared" si="37"/>
        <v>"des":"RST 7K5 1/4W 1%1206",</v>
      </c>
      <c r="AFM13" t="str">
        <f t="shared" si="37"/>
        <v>"des":"Capacitor 22PF/16V 10%",</v>
      </c>
      <c r="AFN13" t="str">
        <f t="shared" ref="AFN13:AHY13" si="38">_xlfn.CONCAT("""",$L$7,"""",":","""",AFN7,"""",",")</f>
        <v>"des":"SENSOR BH1726NUC-E2",</v>
      </c>
      <c r="AFO13" t="str">
        <f t="shared" si="38"/>
        <v>"des":"RST 0,002 6W 1%2512",</v>
      </c>
      <c r="AFP13" t="str">
        <f t="shared" si="38"/>
        <v>"des":"RST 0,002 6W 1%2512",</v>
      </c>
      <c r="AFQ13" t="str">
        <f t="shared" si="38"/>
        <v>"des":"SW B3U1000PB",</v>
      </c>
      <c r="AFR13" t="str">
        <f t="shared" si="38"/>
        <v>"des":"RST 0R 1/8W 0805-T",</v>
      </c>
      <c r="AFS13" t="str">
        <f t="shared" si="38"/>
        <v>"des":"RST 0R 1/8W 0805-T",</v>
      </c>
      <c r="AFT13" t="str">
        <f t="shared" si="38"/>
        <v>"des":"TRAN 300V 0,5A",</v>
      </c>
      <c r="AFU13" t="str">
        <f t="shared" si="38"/>
        <v>"des":"TRAN 300V 0,5A",</v>
      </c>
      <c r="AFV13" t="str">
        <f t="shared" si="38"/>
        <v>"des":"TRAN 300V 0,5A",</v>
      </c>
      <c r="AFW13" t="str">
        <f t="shared" si="38"/>
        <v>"des":"TRAN 300V 0,5A",</v>
      </c>
      <c r="AFX13" t="str">
        <f t="shared" si="38"/>
        <v>"des":"TRAN 300V 0,5A",</v>
      </c>
      <c r="AFY13" t="str">
        <f t="shared" si="38"/>
        <v>"des":"TRAN 300V 0,5A",</v>
      </c>
      <c r="AFZ13" t="str">
        <f t="shared" si="38"/>
        <v>"des":"TRAN 300V 0,5A",</v>
      </c>
      <c r="AGA13" t="str">
        <f t="shared" si="38"/>
        <v>"des":"RST 1K82 1/4W1%1206",</v>
      </c>
      <c r="AGB13" t="str">
        <f t="shared" si="38"/>
        <v>"des":"RST 1K82 1/4W1%1206",</v>
      </c>
      <c r="AGC13" t="str">
        <f t="shared" si="38"/>
        <v>"des":"RST 1K82 1/4W1%1206",</v>
      </c>
      <c r="AGD13" t="str">
        <f t="shared" si="38"/>
        <v>"des":"COPPER TAPE 25 MM",</v>
      </c>
      <c r="AGE13" t="str">
        <f t="shared" si="38"/>
        <v>"des":"CTM 02062101",</v>
      </c>
      <c r="AGF13" t="str">
        <f t="shared" si="38"/>
        <v>"des":"RST 221R 0,1W1%603A",</v>
      </c>
      <c r="AGG13" t="str">
        <f t="shared" si="38"/>
        <v>"des":"RST 221R 0,1W1%603A",</v>
      </c>
      <c r="AGH13" t="str">
        <f t="shared" si="38"/>
        <v>"des":"RST 221R 0,1W1%603A",</v>
      </c>
      <c r="AGI13" t="str">
        <f t="shared" si="38"/>
        <v>"des":"RST 221R 0,1W1%603A",</v>
      </c>
      <c r="AGJ13" t="str">
        <f t="shared" si="38"/>
        <v>"des":"RST 220 1/4W 5%206A",</v>
      </c>
      <c r="AGK13" t="str">
        <f t="shared" si="38"/>
        <v>"des":"RST 220 1/4W 5%206A",</v>
      </c>
      <c r="AGL13" t="str">
        <f t="shared" si="38"/>
        <v>"des":"MOS 600V 0,4A N SMT",</v>
      </c>
      <c r="AGM13" t="str">
        <f t="shared" si="38"/>
        <v>"des":"IC VIPER26HD",</v>
      </c>
      <c r="AGN13" t="str">
        <f t="shared" si="38"/>
        <v>"des":"Capacitor 470UF 80V TH",</v>
      </c>
      <c r="AGO13" t="str">
        <f t="shared" si="38"/>
        <v>"des":"Capacitor 470UF 80V TH",</v>
      </c>
      <c r="AGP13" t="str">
        <f t="shared" si="38"/>
        <v>"des":"Capacitor 470UF 80V TH",</v>
      </c>
      <c r="AGQ13" t="str">
        <f t="shared" si="38"/>
        <v>"des":"Capacitor 470UF 80V TH",</v>
      </c>
      <c r="AGR13" t="str">
        <f t="shared" si="38"/>
        <v>"des":"Capacitor 470UF 80V TH",</v>
      </c>
      <c r="AGS13" t="str">
        <f t="shared" si="38"/>
        <v>"des":"Capacitor 470UF 80V TH",</v>
      </c>
      <c r="AGT13" t="str">
        <f t="shared" si="38"/>
        <v>"des":"CTF 02061101",</v>
      </c>
      <c r="AGU13" t="str">
        <f t="shared" si="38"/>
        <v>"des":"Capacitor 1NF 100V 1206",</v>
      </c>
      <c r="AGV13" t="str">
        <f t="shared" si="38"/>
        <v>"des":"Capacitor 1NF 100V 1206",</v>
      </c>
      <c r="AGW13" t="str">
        <f t="shared" si="38"/>
        <v>"des":"IND 51UH 0,5A SMD",</v>
      </c>
      <c r="AGX13" t="str">
        <f t="shared" si="38"/>
        <v>"des":"IND 51UH 0,5A SMD",</v>
      </c>
      <c r="AGY13" t="str">
        <f t="shared" si="38"/>
        <v>"des":"IND 51UH 0,5A SMD",</v>
      </c>
      <c r="AGZ13" t="str">
        <f t="shared" si="38"/>
        <v>"des":"DiodeE 1A 1000V",</v>
      </c>
      <c r="AHA13" t="str">
        <f t="shared" si="38"/>
        <v>"des":"DiodeE 8A/400V",</v>
      </c>
      <c r="AHB13" t="str">
        <f t="shared" si="38"/>
        <v>"des":"DiodeE 8A/400V",</v>
      </c>
      <c r="AHC13" t="str">
        <f t="shared" si="38"/>
        <v>"des":"DiodeE 8A/400V",</v>
      </c>
      <c r="AHD13" t="str">
        <f t="shared" si="38"/>
        <v>"des":"IC 24LC512-I/ST",</v>
      </c>
      <c r="AHE13" t="str">
        <f t="shared" si="38"/>
        <v>"des":"IC 24LC512-I/ST",</v>
      </c>
      <c r="AHF13" t="str">
        <f t="shared" si="38"/>
        <v>"des":"LED RGB 0606 SMD",</v>
      </c>
      <c r="AHG13" t="str">
        <f t="shared" si="38"/>
        <v>"des":"TRAN 40V 3A",</v>
      </c>
      <c r="AHH13" t="str">
        <f t="shared" si="38"/>
        <v>"des":"TRAN 40V 3A",</v>
      </c>
      <c r="AHI13" t="str">
        <f t="shared" si="38"/>
        <v>"des":"DiodeE 1A 600V SMA",</v>
      </c>
      <c r="AHJ13" t="str">
        <f t="shared" si="38"/>
        <v>"des":"DiodeE 1A 600V SMA",</v>
      </c>
      <c r="AHK13" t="str">
        <f t="shared" si="38"/>
        <v>"des":"CNT H3163-01",</v>
      </c>
      <c r="AHL13" t="str">
        <f t="shared" si="38"/>
        <v>"des":"Capacitor 47PF50V 5%603B",</v>
      </c>
      <c r="AHM13" t="str">
        <f t="shared" si="38"/>
        <v>"des":"Capacitor 47PF50V 5%603B",</v>
      </c>
      <c r="AHN13" t="str">
        <f t="shared" si="38"/>
        <v>"des":"Capacitor 47PF50V 5%603B",</v>
      </c>
      <c r="AHO13" t="str">
        <f t="shared" si="38"/>
        <v>"des":"Capacitor 47PF50V 5%603B",</v>
      </c>
      <c r="AHP13" t="str">
        <f t="shared" si="38"/>
        <v>"des":"Capacitor 47PF50V 5%603B",</v>
      </c>
      <c r="AHQ13" t="str">
        <f t="shared" si="38"/>
        <v>"des":"Capacitor 47PF50V 5%603B",</v>
      </c>
      <c r="AHR13" t="str">
        <f t="shared" si="38"/>
        <v>"des":"Capacitor 10PF J50V 0805",</v>
      </c>
      <c r="AHS13" t="str">
        <f t="shared" si="38"/>
        <v>"des":"Capacitor 10PF J50V 0805",</v>
      </c>
      <c r="AHT13" t="str">
        <f t="shared" si="38"/>
        <v>"des":"Capacitor 10PF J50V 0805",</v>
      </c>
      <c r="AHU13" t="str">
        <f t="shared" si="38"/>
        <v>"des":"Capacitor 10PF J50V 0805",</v>
      </c>
      <c r="AHV13" t="str">
        <f t="shared" si="38"/>
        <v>"des":"Capacitor 10PF J50V 0805",</v>
      </c>
      <c r="AHW13" t="str">
        <f t="shared" si="38"/>
        <v>"des":"Capacitor 1NF/50V 5%",</v>
      </c>
      <c r="AHX13" t="str">
        <f t="shared" si="38"/>
        <v>"des":"Capacitor 1NF/50V 5%",</v>
      </c>
      <c r="AHY13" t="str">
        <f t="shared" si="38"/>
        <v>"des":"Capacitor 1NF/50V 5%",</v>
      </c>
      <c r="AHZ13" t="str">
        <f t="shared" ref="AHZ13:AKK13" si="39">_xlfn.CONCAT("""",$L$7,"""",":","""",AHZ7,"""",",")</f>
        <v>"des":"Capacitor 1NF/50V 5%",</v>
      </c>
      <c r="AIA13" t="str">
        <f t="shared" si="39"/>
        <v>"des":"MOSFETET 20V 9A SC70",</v>
      </c>
      <c r="AIB13" t="str">
        <f t="shared" si="39"/>
        <v>"des":"Capacitor 68PF/630V 805",</v>
      </c>
      <c r="AIC13" t="str">
        <f t="shared" si="39"/>
        <v>"des":"Capacitor 68PF/630V 805",</v>
      </c>
      <c r="AID13" t="str">
        <f t="shared" si="39"/>
        <v>"des":"IC AT25DF041B-SSHN",</v>
      </c>
      <c r="AIE13" t="str">
        <f t="shared" si="39"/>
        <v>"des":"IC AT25DF041B-SSHN",</v>
      </c>
      <c r="AIF13" t="str">
        <f t="shared" si="39"/>
        <v>"des":"RST 20K 1/4W 1%1206",</v>
      </c>
      <c r="AIG13" t="str">
        <f t="shared" si="39"/>
        <v>"des":"RST 43K2 1/4W1%1206",</v>
      </c>
      <c r="AIH13" t="str">
        <f t="shared" si="39"/>
        <v>"des":"MOS 60V 0,3A SOT23",</v>
      </c>
      <c r="AII13" t="str">
        <f t="shared" si="39"/>
        <v>"des":"MOS 60V 0,3A SOT23",</v>
      </c>
      <c r="AIJ13" t="str">
        <f t="shared" si="39"/>
        <v>"des":"CRYSTAL 4MHZ 16PF",</v>
      </c>
      <c r="AIK13" t="str">
        <f t="shared" si="39"/>
        <v>"des":"LED YEL DIA 5 MM-2",</v>
      </c>
      <c r="AIL13" t="str">
        <f t="shared" si="39"/>
        <v>"des":"RST 60,4 1/4W 1%206",</v>
      </c>
      <c r="AIM13" t="str">
        <f t="shared" si="39"/>
        <v>"des":"RST 60,4 1/4W 1%206",</v>
      </c>
      <c r="AIN13" t="str">
        <f t="shared" si="39"/>
        <v>"des":"RST 4K75 0,1W1%0603",</v>
      </c>
      <c r="AIO13" t="str">
        <f t="shared" si="39"/>
        <v>"des":"IC LM1117DT50",</v>
      </c>
      <c r="AIP13" t="str">
        <f t="shared" si="39"/>
        <v>"des":"IC LM1117DT50",</v>
      </c>
      <c r="AIQ13" t="str">
        <f t="shared" si="39"/>
        <v>"des":"IC LM1117DT50",</v>
      </c>
      <c r="AIR13" t="str">
        <f t="shared" si="39"/>
        <v>"des":"Capacitor 56PF/16V 10%",</v>
      </c>
      <c r="AIS13" t="str">
        <f t="shared" si="39"/>
        <v>"des":"Capacitor 56PF/16V 10%",</v>
      </c>
      <c r="AIT13" t="str">
        <f t="shared" si="39"/>
        <v>"des":"RST 4,7K 1/4W 1% MF",</v>
      </c>
      <c r="AIU13" t="str">
        <f t="shared" si="39"/>
        <v>"des":"DiodeE 4A 40V",</v>
      </c>
      <c r="AIV13" t="str">
        <f t="shared" si="39"/>
        <v>"des":"DiodeE 4A 40V",</v>
      </c>
      <c r="AIW13" t="str">
        <f t="shared" si="39"/>
        <v>"des":"Capacitor 330PF/25V 0603",</v>
      </c>
      <c r="AIX13" t="str">
        <f t="shared" si="39"/>
        <v>"des":"RST 10K 1/16W5%402T",</v>
      </c>
      <c r="AIY13" t="str">
        <f t="shared" si="39"/>
        <v>"des":"RST 475 1/8W 1%0805",</v>
      </c>
      <c r="AIZ13" t="str">
        <f t="shared" si="39"/>
        <v>"des":"RST 20K 1/16W 1%402",</v>
      </c>
      <c r="AJA13" t="str">
        <f t="shared" si="39"/>
        <v>"des":"DiodeE TVS 200V SMT",</v>
      </c>
      <c r="AJB13" t="str">
        <f t="shared" si="39"/>
        <v>"des":"DiodeE TVS 200V SMT",</v>
      </c>
      <c r="AJC13" t="str">
        <f t="shared" si="39"/>
        <v>"des":"DiodeE TVS 200V SMT",</v>
      </c>
      <c r="AJD13" t="str">
        <f t="shared" si="39"/>
        <v>"des":"DiodeE TVS 200V SMT",</v>
      </c>
      <c r="AJE13" t="str">
        <f t="shared" si="39"/>
        <v>"des":"RST 5K62 0,1W1%0603",</v>
      </c>
      <c r="AJF13" t="str">
        <f t="shared" si="39"/>
        <v>"des":"RST 100K 1/16W 1%-A",</v>
      </c>
      <c r="AJG13" t="str">
        <f t="shared" si="39"/>
        <v>"des":"Capacitor 0,1UF/100V 805",</v>
      </c>
      <c r="AJH13" t="str">
        <f t="shared" si="39"/>
        <v>"des":"Capacitor 0,1UF/100V 805",</v>
      </c>
      <c r="AJI13" t="str">
        <f t="shared" si="39"/>
        <v>"des":"ICMD UCC25600DR",</v>
      </c>
      <c r="AJJ13" t="str">
        <f t="shared" si="39"/>
        <v>"des":"ICMD UCC25600DR",</v>
      </c>
      <c r="AJK13" t="str">
        <f t="shared" si="39"/>
        <v>"des":"IC LM258DT",</v>
      </c>
      <c r="AJL13" t="str">
        <f t="shared" si="39"/>
        <v>"des":"RST 9K53 1/4W1%1206",</v>
      </c>
      <c r="AJM13" t="str">
        <f t="shared" si="39"/>
        <v>"des":"RST 1M 0,1W 5% 0603",</v>
      </c>
      <c r="AJN13" t="str">
        <f t="shared" si="39"/>
        <v>"des":"RST 10K7 0,1W 1%603",</v>
      </c>
      <c r="AJO13" t="str">
        <f t="shared" si="39"/>
        <v>"des":"RST 10K7 0,1W 1%603",</v>
      </c>
      <c r="AJP13" t="str">
        <f t="shared" si="39"/>
        <v>"des":"BASE T 4X2,4X1,8",</v>
      </c>
      <c r="AJQ13" t="str">
        <f t="shared" si="39"/>
        <v>"des":"RST 22 1/16W 1%0402",</v>
      </c>
      <c r="AJR13" t="str">
        <f t="shared" si="39"/>
        <v>"des":"RST 27K 1/8W 1% 805",</v>
      </c>
      <c r="AJS13" t="str">
        <f t="shared" si="39"/>
        <v>"des":"RST 27K 1/8W 1% 805",</v>
      </c>
      <c r="AJT13" t="str">
        <f t="shared" si="39"/>
        <v>"des":"Capacitor 1NF/50V 0805B",</v>
      </c>
      <c r="AJU13" t="str">
        <f t="shared" si="39"/>
        <v>"des":"Capacitor 1UF/16V 0603",</v>
      </c>
      <c r="AJV13" t="str">
        <f t="shared" si="39"/>
        <v>"des":"Capacitor 1UF/16V 0603",</v>
      </c>
      <c r="AJW13" t="str">
        <f t="shared" si="39"/>
        <v>"des":"Capacitor 1UF/16V 0603",</v>
      </c>
      <c r="AJX13" t="str">
        <f t="shared" si="39"/>
        <v>"des":"RST 220 1% 1206-T",</v>
      </c>
      <c r="AJY13" t="str">
        <f t="shared" si="39"/>
        <v>"des":"RST 220 1% 1206-T",</v>
      </c>
      <c r="AJZ13" t="str">
        <f t="shared" si="39"/>
        <v>"des":"CNTF-MAT-350778-1",</v>
      </c>
      <c r="AKA13" t="str">
        <f t="shared" si="39"/>
        <v>"des":"MOS 60V 0,3A SOT23A",</v>
      </c>
      <c r="AKB13" t="str">
        <f t="shared" si="39"/>
        <v>"des":"MOS 60V 0,3A SOT23A",</v>
      </c>
      <c r="AKC13" t="str">
        <f t="shared" si="39"/>
        <v>"des":"MOS 60V 0,3A SOT23A",</v>
      </c>
      <c r="AKD13" t="str">
        <f t="shared" si="39"/>
        <v>"des":"MOS 60V 0,3A SOT23A",</v>
      </c>
      <c r="AKE13" t="str">
        <f t="shared" si="39"/>
        <v>"des":"VAR 175V DIA 14MM",</v>
      </c>
      <c r="AKF13" t="str">
        <f t="shared" si="39"/>
        <v>"des":"VAR 175V DIA 14MM",</v>
      </c>
      <c r="AKG13" t="str">
        <f t="shared" si="39"/>
        <v>"des":"Capacitor 4,7UF K16V1206",</v>
      </c>
      <c r="AKH13" t="str">
        <f t="shared" si="39"/>
        <v>"des":"Capacitor 4,7UF K16V1206",</v>
      </c>
      <c r="AKI13" t="str">
        <f t="shared" si="39"/>
        <v>"des":"Capacitor 4,7UF K16V1206",</v>
      </c>
      <c r="AKJ13" t="str">
        <f t="shared" si="39"/>
        <v>"des":"Capacitor 4,7UF K16V1206",</v>
      </c>
      <c r="AKK13" t="str">
        <f t="shared" si="39"/>
        <v>"des":"Capacitor 4,7UF K16V1206",</v>
      </c>
      <c r="AKL13" t="str">
        <f t="shared" ref="AKL13:AMW13" si="40">_xlfn.CONCAT("""",$L$7,"""",":","""",AKL7,"""",",")</f>
        <v>"des":"Capacitor 10NF 250V TH",</v>
      </c>
      <c r="AKM13" t="str">
        <f t="shared" si="40"/>
        <v>"des":"Capacitor 10NF 250V TH",</v>
      </c>
      <c r="AKN13" t="str">
        <f t="shared" si="40"/>
        <v>"des":"Capacitor 10NF 250V TH",</v>
      </c>
      <c r="AKO13" t="str">
        <f t="shared" si="40"/>
        <v>"des":"MOS 600V 47A TH",</v>
      </c>
      <c r="AKP13" t="str">
        <f t="shared" si="40"/>
        <v>"des":"IC LM2664M6/NOPB",</v>
      </c>
      <c r="AKQ13" t="str">
        <f t="shared" si="40"/>
        <v>"des":"Capacitor 10UF 16V 1206",</v>
      </c>
      <c r="AKR13" t="str">
        <f t="shared" si="40"/>
        <v>"des":"Capacitor 10UF 16V 1206",</v>
      </c>
      <c r="AKS13" t="str">
        <f t="shared" si="40"/>
        <v>"des":"Capacitor 10UF 16V 1206",</v>
      </c>
      <c r="AKT13" t="str">
        <f t="shared" si="40"/>
        <v>"des":"Capacitor 10UF 16V 1206",</v>
      </c>
      <c r="AKU13" t="str">
        <f t="shared" si="40"/>
        <v>"des":"Capacitor 0,1UF/25V 0402",</v>
      </c>
      <c r="AKV13" t="str">
        <f t="shared" si="40"/>
        <v>"des":"Capacitor 0,1UF/25V 0402",</v>
      </c>
      <c r="AKW13" t="str">
        <f t="shared" si="40"/>
        <v>"des":"ICTMPS2141STR",</v>
      </c>
      <c r="AKX13" t="str">
        <f t="shared" si="40"/>
        <v>"des":"CNT 39000061",</v>
      </c>
      <c r="AKY13" t="str">
        <f t="shared" si="40"/>
        <v>"des":"Capacitor 22PF/50V5% 402",</v>
      </c>
      <c r="AKZ13" t="str">
        <f t="shared" si="40"/>
        <v>"des":"Capacitor 22PF/50V5% 402",</v>
      </c>
      <c r="ALA13" t="str">
        <f t="shared" si="40"/>
        <v>"des":"TRAN TCLT1012",</v>
      </c>
      <c r="ALB13" t="str">
        <f t="shared" si="40"/>
        <v>"des":"TRAN TCLT1012",</v>
      </c>
      <c r="ALC13" t="str">
        <f t="shared" si="40"/>
        <v>"des":"Capacitor 2,7PF/25V 0402",</v>
      </c>
      <c r="ALD13" t="str">
        <f t="shared" si="40"/>
        <v>"des":"Capacitor 1NF/500V 1206",</v>
      </c>
      <c r="ALE13" t="str">
        <f t="shared" si="40"/>
        <v>"des":"Capacitor 1NF/500V 1206",</v>
      </c>
      <c r="ALF13" t="str">
        <f t="shared" si="40"/>
        <v>"des":"RST 15K 1/4W1%1206A",</v>
      </c>
      <c r="ALG13" t="str">
        <f t="shared" si="40"/>
        <v>"des":"RST 15K 1/4W1%1206A",</v>
      </c>
      <c r="ALH13" t="str">
        <f t="shared" si="40"/>
        <v>"des":"RST 0,001 6W 1%2512",</v>
      </c>
      <c r="ALI13" t="str">
        <f t="shared" si="40"/>
        <v>"des":"RST 0,001 6W 1%2512",</v>
      </c>
      <c r="ALJ13" t="str">
        <f t="shared" si="40"/>
        <v>"des":"RST 0,001 6W 1%2512",</v>
      </c>
      <c r="ALK13" t="str">
        <f t="shared" si="40"/>
        <v>"des":"ICMD ICM7555CBA",</v>
      </c>
      <c r="ALL13" t="str">
        <f t="shared" si="40"/>
        <v>"des":"ICMD ICM7555CBA",</v>
      </c>
      <c r="ALM13" t="str">
        <f t="shared" si="40"/>
        <v>"des":"ICMD ICM7555CBA",</v>
      </c>
      <c r="ALN13" t="str">
        <f t="shared" si="40"/>
        <v>"des":"ICMD ICM7555CBA",</v>
      </c>
      <c r="ALO13" t="str">
        <f t="shared" si="40"/>
        <v>"des":"Capacitor 10PF/50V 0805",</v>
      </c>
      <c r="ALP13" t="str">
        <f t="shared" si="40"/>
        <v>"des":"Capacitor 10PF/50V 0805",</v>
      </c>
      <c r="ALQ13" t="str">
        <f t="shared" si="40"/>
        <v>"des":"Capacitor 10PF/50V 0805",</v>
      </c>
      <c r="ALR13" t="str">
        <f t="shared" si="40"/>
        <v>"des":"Capacitor 10PF/50V 0805",</v>
      </c>
      <c r="ALS13" t="str">
        <f t="shared" si="40"/>
        <v>"des":"Capacitor 10NF 1000V1812",</v>
      </c>
      <c r="ALT13" t="str">
        <f t="shared" si="40"/>
        <v>"des":"Capacitor 10NF 1000V1812",</v>
      </c>
      <c r="ALU13" t="str">
        <f t="shared" si="40"/>
        <v>"des":"SPACER 09 MM",</v>
      </c>
      <c r="ALV13" t="str">
        <f t="shared" si="40"/>
        <v>"des":"DiodeE 40V 0,35A SOD",</v>
      </c>
      <c r="ALW13" t="str">
        <f t="shared" si="40"/>
        <v>"des":"RST 20R 1/8W1%0805A",</v>
      </c>
      <c r="ALX13" t="str">
        <f t="shared" si="40"/>
        <v>"des":"RST 20R 1/8W1%0805A",</v>
      </c>
      <c r="ALY13" t="str">
        <f t="shared" si="40"/>
        <v>"des":"RST 20R 1/8W1%0805A",</v>
      </c>
      <c r="ALZ13" t="str">
        <f t="shared" si="40"/>
        <v>"des":"RST 20R 1/8W1%0805A",</v>
      </c>
      <c r="AMA13" t="str">
        <f t="shared" si="40"/>
        <v>"des":"RST 62K 1W 5% 2512",</v>
      </c>
      <c r="AMB13" t="str">
        <f t="shared" si="40"/>
        <v>"des":"RST 62K 1W 5% 2512",</v>
      </c>
      <c r="AMC13" t="str">
        <f t="shared" si="40"/>
        <v>"des":"RST 62K 1W 5% 2512",</v>
      </c>
      <c r="AMD13" t="str">
        <f t="shared" si="40"/>
        <v>"des":"RST 62K 1W 5% 2512",</v>
      </c>
      <c r="AME13" t="str">
        <f t="shared" si="40"/>
        <v>"des":"RST 4K32 1/8W1%805A",</v>
      </c>
      <c r="AMF13" t="str">
        <f t="shared" si="40"/>
        <v>"des":"RST 4K32 1/8W1%805A",</v>
      </c>
      <c r="AMG13" t="str">
        <f t="shared" si="40"/>
        <v>"des":"Capacitor 1UF/50V 20%",</v>
      </c>
      <c r="AMH13" t="str">
        <f t="shared" si="40"/>
        <v>"des":"RST 47K 2W 5%",</v>
      </c>
      <c r="AMI13" t="str">
        <f t="shared" si="40"/>
        <v>"des":"RST 47K 2W 5%",</v>
      </c>
      <c r="AMJ13" t="str">
        <f t="shared" si="40"/>
        <v>"des":"IND 4,7UH SMD SHLD",</v>
      </c>
      <c r="AMK13" t="str">
        <f t="shared" si="40"/>
        <v>"des":"TRAN NPN 40V 600MA",</v>
      </c>
      <c r="AML13" t="str">
        <f t="shared" si="40"/>
        <v>"des":"TRAN NPN 40V 600MA",</v>
      </c>
      <c r="AMM13" t="str">
        <f t="shared" si="40"/>
        <v>"des":"DiodeE 3A 40V SOD123",</v>
      </c>
      <c r="AMN13" t="str">
        <f t="shared" si="40"/>
        <v>"des":"DiodeE 3A 40V SOD123",</v>
      </c>
      <c r="AMO13" t="str">
        <f t="shared" si="40"/>
        <v>"des":"RST 47K5 1/4W1%1206",</v>
      </c>
      <c r="AMP13" t="str">
        <f t="shared" si="40"/>
        <v>"des":"Capacitor 4,7NF/480V-TH",</v>
      </c>
      <c r="AMQ13" t="str">
        <f t="shared" si="40"/>
        <v>"des":"Capacitor 4,7NF/480V-TH",</v>
      </c>
      <c r="AMR13" t="str">
        <f t="shared" si="40"/>
        <v>"des":"Capacitor 4,7NF/480V-TH",</v>
      </c>
      <c r="AMS13" t="str">
        <f t="shared" si="40"/>
        <v>"des":"RST 180K 1/4W1%1206",</v>
      </c>
      <c r="AMT13" t="str">
        <f t="shared" si="40"/>
        <v>"des":"RST 200 0,1W 1%603",</v>
      </c>
      <c r="AMU13" t="str">
        <f t="shared" si="40"/>
        <v>"des":"Capacitor 220NF 50V 805B",</v>
      </c>
      <c r="AMV13" t="str">
        <f t="shared" si="40"/>
        <v>"des":"DiodeE 0,5A 30V SOD",</v>
      </c>
      <c r="AMW13" t="str">
        <f t="shared" si="40"/>
        <v>"des":"DiodeE ZE 5V SOD882",</v>
      </c>
      <c r="AMX13" t="str">
        <f t="shared" ref="AMX13:API13" si="41">_xlfn.CONCAT("""",$L$7,"""",":","""",AMX7,"""",",")</f>
        <v>"des":"Capacitor Y2 2,2NF/250V",</v>
      </c>
      <c r="AMY13" t="str">
        <f t="shared" si="41"/>
        <v>"des":"Capacitor Y2 2,2NF/250V",</v>
      </c>
      <c r="AMZ13" t="str">
        <f t="shared" si="41"/>
        <v>"des":"Capacitor Y2 2,2NF/250V",</v>
      </c>
      <c r="ANA13" t="str">
        <f t="shared" si="41"/>
        <v>"des":"LED RED DIA 5 MM-2",</v>
      </c>
      <c r="ANB13" t="str">
        <f t="shared" si="41"/>
        <v>"des":"DiodeE 1A 200V SMT",</v>
      </c>
      <c r="ANC13" t="str">
        <f t="shared" si="41"/>
        <v>"des":"RST 2K7 0,1W 1% 603",</v>
      </c>
      <c r="AND13" t="str">
        <f t="shared" si="41"/>
        <v>"des":"RST 2K7 0,1W 1% 603",</v>
      </c>
      <c r="ANE13" t="str">
        <f t="shared" si="41"/>
        <v>"des":"RST 5,6K 1/8W 5%805",</v>
      </c>
      <c r="ANF13" t="str">
        <f t="shared" si="41"/>
        <v>"des":"RST 5,6K 1/8W 5%805",</v>
      </c>
      <c r="ANG13" t="str">
        <f t="shared" si="41"/>
        <v>"des":"RST 5,6K 1/8W 5%805",</v>
      </c>
      <c r="ANH13" t="str">
        <f t="shared" si="41"/>
        <v>"des":"RST 1K1 0,1W 1%603",</v>
      </c>
      <c r="ANI13" t="str">
        <f t="shared" si="41"/>
        <v>"des":"RST 294K 0,1W 1%603",</v>
      </c>
      <c r="ANJ13" t="str">
        <f t="shared" si="41"/>
        <v>"des":"DiodeE 400V 1A 14NS",</v>
      </c>
      <c r="ANK13" t="str">
        <f t="shared" si="41"/>
        <v>"des":"RST 1K 1/8W 1% 603A",</v>
      </c>
      <c r="ANL13" t="str">
        <f t="shared" si="41"/>
        <v>"des":"Capacitor 470PF/25V 5%",</v>
      </c>
      <c r="ANM13" t="str">
        <f t="shared" si="41"/>
        <v>"des":"Capacitor 470PF/25V 5%",</v>
      </c>
      <c r="ANN13" t="str">
        <f t="shared" si="41"/>
        <v>"des":"Capacitor 470PF/25V 5%",</v>
      </c>
      <c r="ANO13" t="str">
        <f t="shared" si="41"/>
        <v>"des":"Capacitor 2,2UF/25V 10%",</v>
      </c>
      <c r="ANP13" t="str">
        <f t="shared" si="41"/>
        <v>"des":"Capacitor 2,2UF/25V 10%",</v>
      </c>
      <c r="ANQ13" t="str">
        <f t="shared" si="41"/>
        <v>"des":"Capacitor 10NF/25V 10%",</v>
      </c>
      <c r="ANR13" t="str">
        <f t="shared" si="41"/>
        <v>"des":"Capacitor 10NF/25V 10%",</v>
      </c>
      <c r="ANS13" t="str">
        <f t="shared" si="41"/>
        <v>"des":"Capacitor 10NF/25V 10%",</v>
      </c>
      <c r="ANT13" t="str">
        <f t="shared" si="41"/>
        <v>"des":"DiodeE 4A 200V SMD-2",</v>
      </c>
      <c r="ANU13" t="str">
        <f t="shared" si="41"/>
        <v>"des":"DiodeE 4A 200V SMD-2",</v>
      </c>
      <c r="ANV13" t="str">
        <f t="shared" si="41"/>
        <v>"des":"DiodeE 4A 200V SMD-2",</v>
      </c>
      <c r="ANW13" t="str">
        <f t="shared" si="41"/>
        <v>"des":"LED SMD CL-RD 3528",</v>
      </c>
      <c r="ANX13" t="str">
        <f t="shared" si="41"/>
        <v>"des":"Capacitor 1NF/16V 10%402",</v>
      </c>
      <c r="ANY13" t="str">
        <f t="shared" si="41"/>
        <v>"des":"Capacitor 1NF/16V 10%402",</v>
      </c>
      <c r="ANZ13" t="str">
        <f t="shared" si="41"/>
        <v>"des":"DiodeE 100V 0,2A",</v>
      </c>
      <c r="AOA13" t="str">
        <f t="shared" si="41"/>
        <v>"des":"DiodeE ZE 3V3 SOD123",</v>
      </c>
      <c r="AOB13" t="str">
        <f t="shared" si="41"/>
        <v>"des":"RST 51K 1% 1/8W 805",</v>
      </c>
      <c r="AOC13" t="str">
        <f t="shared" si="41"/>
        <v>"des":"RST 51K 1% 1/8W 805",</v>
      </c>
      <c r="AOD13" t="str">
        <f t="shared" si="41"/>
        <v>"des":"RST 68K 1/8W 5% 805",</v>
      </c>
      <c r="AOE13" t="str">
        <f t="shared" si="41"/>
        <v>"des":"RST 4K7 1/16W1% 402",</v>
      </c>
      <c r="AOF13" t="str">
        <f t="shared" si="41"/>
        <v>"des":"RST 4K7 1/16W1% 402",</v>
      </c>
      <c r="AOG13" t="str">
        <f t="shared" si="41"/>
        <v>"des":"DiodeE 1A 60V SMD-01",</v>
      </c>
      <c r="AOH13" t="str">
        <f t="shared" si="41"/>
        <v>"des":"Capacitor 2200UF/25V 20%",</v>
      </c>
      <c r="AOI13" t="str">
        <f t="shared" si="41"/>
        <v>"des":"Capacitor 2200UF/25V 20%",</v>
      </c>
      <c r="AOJ13" t="str">
        <f t="shared" si="41"/>
        <v>"des":"RST 47K 1/8W 5% 805",</v>
      </c>
      <c r="AOK13" t="str">
        <f t="shared" si="41"/>
        <v>"des":"NTC 10R 3A TH",</v>
      </c>
      <c r="AOL13" t="str">
        <f t="shared" si="41"/>
        <v>"des":"NTC 10R 3A TH",</v>
      </c>
      <c r="AOM13" t="str">
        <f t="shared" si="41"/>
        <v>"des":"NTC 10R 3A TH",</v>
      </c>
      <c r="AON13" t="str">
        <f t="shared" si="41"/>
        <v>"des":"RST 2,2 1/4W 5%1206",</v>
      </c>
      <c r="AOO13" t="str">
        <f t="shared" si="41"/>
        <v>"des":"Capacitor 470NF 275V TH",</v>
      </c>
      <c r="AOP13" t="str">
        <f t="shared" si="41"/>
        <v>"des":"Capacitor 470NF 275V TH",</v>
      </c>
      <c r="AOQ13" t="str">
        <f t="shared" si="41"/>
        <v>"des":"Capacitor 470NF 275V TH",</v>
      </c>
      <c r="AOR13" t="str">
        <f t="shared" si="41"/>
        <v>"des":"Capacitor 470NF 275V TH",</v>
      </c>
      <c r="AOS13" t="str">
        <f t="shared" si="41"/>
        <v>"des":"DiodeE TVS 14V 25,9A",</v>
      </c>
      <c r="AOT13" t="str">
        <f t="shared" si="41"/>
        <v>"des":"DiodeE TVS 14V 25,9A",</v>
      </c>
      <c r="AOU13" t="str">
        <f t="shared" si="41"/>
        <v>"des":"Capacitor 10NF/1500V20%",</v>
      </c>
      <c r="AOV13" t="str">
        <f t="shared" si="41"/>
        <v>"des":"TRAN S8550-H",</v>
      </c>
      <c r="AOW13" t="str">
        <f t="shared" si="41"/>
        <v>"des":"TRAN S8550-H",</v>
      </c>
      <c r="AOX13" t="str">
        <f t="shared" si="41"/>
        <v>"des":"Capacitor 15NF/2000V",</v>
      </c>
      <c r="AOY13" t="str">
        <f t="shared" si="41"/>
        <v>"des":"IC MIC4422YM",</v>
      </c>
      <c r="AOZ13" t="str">
        <f t="shared" si="41"/>
        <v>"des":"RST 182 1/4W 1%1206",</v>
      </c>
      <c r="APA13" t="str">
        <f t="shared" si="41"/>
        <v>"des":"RST 182 1/4W 1%1206",</v>
      </c>
      <c r="APB13" t="str">
        <f t="shared" si="41"/>
        <v>"des":"RST 182 1/4W 1%1206",</v>
      </c>
      <c r="APC13" t="str">
        <f t="shared" si="41"/>
        <v>"des":"R10K-1/16W1%04D",</v>
      </c>
      <c r="APD13" t="str">
        <f t="shared" si="41"/>
        <v>"des":"SPACER M05X12",</v>
      </c>
      <c r="APE13" t="str">
        <f t="shared" si="41"/>
        <v>"des":"BOB EFD20/10/7-8P",</v>
      </c>
      <c r="APF13" t="str">
        <f t="shared" si="41"/>
        <v>"des":"BOB EFD20/10/7-8P",</v>
      </c>
      <c r="APG13" t="str">
        <f t="shared" si="41"/>
        <v>"des":"BOB EFD20/10/7-8P",</v>
      </c>
      <c r="APH13" t="str">
        <f t="shared" si="41"/>
        <v>"des":"FUSE 6A690V 10X38MM",</v>
      </c>
      <c r="API13" t="str">
        <f t="shared" si="41"/>
        <v>"des":"FUSE 6A690V 10X38MM",</v>
      </c>
      <c r="APJ13" t="str">
        <f t="shared" ref="APJ13:ARU13" si="42">_xlfn.CONCAT("""",$L$7,"""",":","""",APJ7,"""",",")</f>
        <v>"des":"IC LM2901D",</v>
      </c>
      <c r="APK13" t="str">
        <f t="shared" si="42"/>
        <v>"des":"IC LM2901D",</v>
      </c>
      <c r="APL13" t="str">
        <f t="shared" si="42"/>
        <v>"des":"Capacitor 100UF 6,3V1210",</v>
      </c>
      <c r="APM13" t="str">
        <f t="shared" si="42"/>
        <v>"des":"Capacitor 100UF 6,3V1210",</v>
      </c>
      <c r="APN13" t="str">
        <f t="shared" si="42"/>
        <v>"des":"Capacitor 100UF 6,3V1210",</v>
      </c>
      <c r="APO13" t="str">
        <f t="shared" si="42"/>
        <v>"des":"IC LMV797MM",</v>
      </c>
      <c r="APP13" t="str">
        <f t="shared" si="42"/>
        <v>"des":"RST 11K ,1W ,1% 603",</v>
      </c>
      <c r="APQ13" t="str">
        <f t="shared" si="42"/>
        <v>"des":"RST 11K ,1W ,1% 603",</v>
      </c>
      <c r="APR13" t="str">
        <f t="shared" si="42"/>
        <v>"des":"RST 11K ,1W ,1% 603",</v>
      </c>
      <c r="APS13" t="str">
        <f t="shared" si="42"/>
        <v>"des":"RST 11K ,1W ,1% 603",</v>
      </c>
      <c r="APT13" t="str">
        <f t="shared" si="42"/>
        <v>"des":"DiodeE TVS 100V SMB",</v>
      </c>
      <c r="APU13" t="str">
        <f t="shared" si="42"/>
        <v>"des":"DiodeE TVS 100V SMB",</v>
      </c>
      <c r="APV13" t="str">
        <f t="shared" si="42"/>
        <v>"des":"DiodeE TVS 100V SMB",</v>
      </c>
      <c r="APW13" t="str">
        <f t="shared" si="42"/>
        <v>"des":"DiodeE TVS 100V SMB",</v>
      </c>
      <c r="APX13" t="str">
        <f t="shared" si="42"/>
        <v>"des":"NTC 40R 4,1A 25% TH",</v>
      </c>
      <c r="APY13" t="str">
        <f t="shared" si="42"/>
        <v>"des":"RST 120 1/4W 5%1206",</v>
      </c>
      <c r="APZ13" t="str">
        <f t="shared" si="42"/>
        <v>"des":"Capacitor 2,2UF 50V 1206",</v>
      </c>
      <c r="AQA13" t="str">
        <f t="shared" si="42"/>
        <v>"des":"Capacitor 2,2UF 50V 1206",</v>
      </c>
      <c r="AQB13" t="str">
        <f t="shared" si="42"/>
        <v>"des":"IC AP63200WU-7",</v>
      </c>
      <c r="AQC13" t="str">
        <f t="shared" si="42"/>
        <v>"des":"RST 15K 1/8W 1%805B",</v>
      </c>
      <c r="AQD13" t="str">
        <f t="shared" si="42"/>
        <v>"des":"RST 15K 1/8W 1%805B",</v>
      </c>
      <c r="AQE13" t="str">
        <f t="shared" si="42"/>
        <v>"des":"RST 15K 1/8W 1%805B",</v>
      </c>
      <c r="AQF13" t="str">
        <f t="shared" si="42"/>
        <v>"des":"RST 100K 1/8W 5%805",</v>
      </c>
      <c r="AQG13" t="str">
        <f t="shared" si="42"/>
        <v>"des":"MA-1150449STG",</v>
      </c>
      <c r="AQH13" t="str">
        <f t="shared" si="42"/>
        <v>"des":"MA-1150449STG",</v>
      </c>
      <c r="AQI13" t="str">
        <f t="shared" si="42"/>
        <v>"des":"MA-1150449STG",</v>
      </c>
      <c r="AQJ13" t="str">
        <f t="shared" si="42"/>
        <v>"des":"IND 10UH 0,25A 0805",</v>
      </c>
      <c r="AQK13" t="str">
        <f t="shared" si="42"/>
        <v>"des":"RST 33K 0,1W1% 0603",</v>
      </c>
      <c r="AQL13" t="str">
        <f t="shared" si="42"/>
        <v>"des":"RST 33K 0,1W1% 0603",</v>
      </c>
      <c r="AQM13" t="str">
        <f t="shared" si="42"/>
        <v>"des":"IC MAX1719EUT",</v>
      </c>
      <c r="AQN13" t="str">
        <f t="shared" si="42"/>
        <v>"des":"IC MAX1719EUT",</v>
      </c>
      <c r="AQO13" t="str">
        <f t="shared" si="42"/>
        <v>"des":"HEADER 1X34C 2MM",</v>
      </c>
      <c r="AQP13" t="str">
        <f t="shared" si="42"/>
        <v>"des":"HEADER 1X34C 2MM",</v>
      </c>
      <c r="AQQ13" t="str">
        <f t="shared" si="42"/>
        <v>"des":"HEADER 1X34C 2MM",</v>
      </c>
      <c r="AQR13" t="str">
        <f t="shared" si="42"/>
        <v>"des":"HEADER 1X34C 2MM",</v>
      </c>
      <c r="AQS13" t="str">
        <f t="shared" si="42"/>
        <v>"des":"HEADER 1X34C 2MM",</v>
      </c>
      <c r="AQT13" t="str">
        <f t="shared" si="42"/>
        <v>"des":"HEADER 1X34C 2MM",</v>
      </c>
      <c r="AQU13" t="str">
        <f t="shared" si="42"/>
        <v>"des":"DiodeE 1A 200V SMB",</v>
      </c>
      <c r="AQV13" t="str">
        <f t="shared" si="42"/>
        <v>"des":"DiodeE 1A 200V SMB",</v>
      </c>
      <c r="AQW13" t="str">
        <f t="shared" si="42"/>
        <v>"des":"DiodeE 1A 200V SMB",</v>
      </c>
      <c r="AQX13" t="str">
        <f t="shared" si="42"/>
        <v>"des":"Capacitor 220NF/200V1210",</v>
      </c>
      <c r="AQY13" t="str">
        <f t="shared" si="42"/>
        <v>"des":"Capacitor 220NF/200V1210",</v>
      </c>
      <c r="AQZ13" t="str">
        <f t="shared" si="42"/>
        <v>"des":"Capacitor 220NF/200V1210",</v>
      </c>
      <c r="ARA13" t="str">
        <f t="shared" si="42"/>
        <v>"des":"DiodeE 0,2A 100V SMT",</v>
      </c>
      <c r="ARB13" t="str">
        <f t="shared" si="42"/>
        <v>"des":"RST 470R 1/8W1%0805",</v>
      </c>
      <c r="ARC13" t="str">
        <f t="shared" si="42"/>
        <v>"des":"RST 470R 1/8W1%0805",</v>
      </c>
      <c r="ARD13" t="str">
        <f t="shared" si="42"/>
        <v>"des":"DiodeE 0,25A 100V SM",</v>
      </c>
      <c r="ARE13" t="str">
        <f t="shared" si="42"/>
        <v>"des":"DiodeE 0,25A 100V SM",</v>
      </c>
      <c r="ARF13" t="str">
        <f t="shared" si="42"/>
        <v>"des":"DiodeE 0,25A 100V SM",</v>
      </c>
      <c r="ARG13" t="str">
        <f t="shared" si="42"/>
        <v>"des":"DiodeE 0,25A 100V SM",</v>
      </c>
      <c r="ARH13" t="str">
        <f t="shared" si="42"/>
        <v>"des":"IC MLR24C64",</v>
      </c>
      <c r="ARI13" t="str">
        <f t="shared" si="42"/>
        <v>"des":"IC MLR24C64",</v>
      </c>
      <c r="ARJ13" t="str">
        <f t="shared" si="42"/>
        <v>"des":"IC MLR24C64",</v>
      </c>
      <c r="ARK13" t="str">
        <f t="shared" si="42"/>
        <v>"des":"Capacitor 22UF/6,3V 20%A",</v>
      </c>
      <c r="ARL13" t="str">
        <f t="shared" si="42"/>
        <v>"des":"RST 22K 1/8W 0805",</v>
      </c>
      <c r="ARM13" t="str">
        <f t="shared" si="42"/>
        <v>"des":"RST 22K 1/8W 0805",</v>
      </c>
      <c r="ARN13" t="str">
        <f t="shared" si="42"/>
        <v>"des":"RST 22K 1/8W 0805",</v>
      </c>
      <c r="ARO13" t="str">
        <f t="shared" si="42"/>
        <v>"des":"RST 22K 1/8W 0805",</v>
      </c>
      <c r="ARP13" t="str">
        <f t="shared" si="42"/>
        <v>"des":"RST 1K 1/4W 5%0805",</v>
      </c>
      <c r="ARQ13" t="str">
        <f t="shared" si="42"/>
        <v>"des":"RST 1K 1/4W 5%0805",</v>
      </c>
      <c r="ARR13" t="str">
        <f t="shared" si="42"/>
        <v>"des":"RST 1K 1/4W 5%0805",</v>
      </c>
      <c r="ARS13" t="str">
        <f t="shared" si="42"/>
        <v>"des":"LED SMD CL-GR 603",</v>
      </c>
      <c r="ART13" t="str">
        <f t="shared" si="42"/>
        <v>"des":"NTC 10 K 1%-02",</v>
      </c>
      <c r="ARU13" t="str">
        <f t="shared" si="42"/>
        <v>"des":"NTC 10 K 1%-02",</v>
      </c>
      <c r="ARV13" t="str">
        <f t="shared" ref="ARV13:AUG13" si="43">_xlfn.CONCAT("""",$L$7,"""",":","""",ARV7,"""",",")</f>
        <v>"des":"Capacitor 680UF/25V TH-1",</v>
      </c>
      <c r="ARW13" t="str">
        <f t="shared" si="43"/>
        <v>"des":"RST 22K 62MW 5%1206",</v>
      </c>
      <c r="ARX13" t="str">
        <f t="shared" si="43"/>
        <v>"des":"Capacitor 4,7NF250V20%TH",</v>
      </c>
      <c r="ARY13" t="str">
        <f t="shared" si="43"/>
        <v>"des":"Capacitor 4,7NF250V20%TH",</v>
      </c>
      <c r="ARZ13" t="str">
        <f t="shared" si="43"/>
        <v>"des":"RST 220 1/4W 5%206B",</v>
      </c>
      <c r="ASA13" t="str">
        <f t="shared" si="43"/>
        <v>"des":"RST 220 1/4W 5%206B",</v>
      </c>
      <c r="ASB13" t="str">
        <f t="shared" si="43"/>
        <v>"des":"RST 220 1/4W 5%206B",</v>
      </c>
      <c r="ASC13" t="str">
        <f t="shared" si="43"/>
        <v>"des":"IC XC6215B302NR",</v>
      </c>
      <c r="ASD13" t="str">
        <f t="shared" si="43"/>
        <v>"des":"IC XC6215B302NR",</v>
      </c>
      <c r="ASE13" t="str">
        <f t="shared" si="43"/>
        <v>"des":"Capacitor 4,7NF/250V 20%",</v>
      </c>
      <c r="ASF13" t="str">
        <f t="shared" si="43"/>
        <v>"des":"Capacitor 4,7NF/250V 20%",</v>
      </c>
      <c r="ASG13" t="str">
        <f t="shared" si="43"/>
        <v>"des":"DiodeE ZE 3V/0,5W 5%",</v>
      </c>
      <c r="ASH13" t="str">
        <f t="shared" si="43"/>
        <v>"des":"DiodeE ZE 3V/0,5W 5%",</v>
      </c>
      <c r="ASI13" t="str">
        <f t="shared" si="43"/>
        <v>"des":"DiodeE ZE 3V/0,5W 5%",</v>
      </c>
      <c r="ASJ13" t="str">
        <f t="shared" si="43"/>
        <v>"des":"Capacitor 27PF/50V 1%",</v>
      </c>
      <c r="ASK13" t="str">
        <f t="shared" si="43"/>
        <v>"des":"IND 3,3UH 58MR 2,4A",</v>
      </c>
      <c r="ASL13" t="str">
        <f t="shared" si="43"/>
        <v>"des":"IND 3,3UH 58MR 2,4A",</v>
      </c>
      <c r="ASM13" t="str">
        <f t="shared" si="43"/>
        <v>"des":"IND 3,3UH 58MR 2,4A",</v>
      </c>
      <c r="ASN13" t="str">
        <f t="shared" si="43"/>
        <v>"des":"RST 47,5K 1/8W1%805",</v>
      </c>
      <c r="ASO13" t="str">
        <f t="shared" si="43"/>
        <v>"des":"Capacitor 15NF/50V 1%805",</v>
      </c>
      <c r="ASP13" t="str">
        <f t="shared" si="43"/>
        <v>"des":"Capacitor 15NF/50V 1%805",</v>
      </c>
      <c r="ASQ13" t="str">
        <f t="shared" si="43"/>
        <v>"des":"Capacitor 15NF/50V 1%805",</v>
      </c>
      <c r="ASR13" t="str">
        <f t="shared" si="43"/>
        <v>"des":"Capacitor 15NF/50V 1%805",</v>
      </c>
      <c r="ASS13" t="str">
        <f t="shared" si="43"/>
        <v>"des":"Capacitor 220NF 16V0603",</v>
      </c>
      <c r="AST13" t="str">
        <f t="shared" si="43"/>
        <v>"des":"MOS 25V 0,22A DUALN",</v>
      </c>
      <c r="ASU13" t="str">
        <f t="shared" si="43"/>
        <v>"des":"MOS 25V 0,22A DUALN",</v>
      </c>
      <c r="ASV13" t="str">
        <f t="shared" si="43"/>
        <v>"des":"Choke CoilE SMD 33UH 3,5A",</v>
      </c>
      <c r="ASW13" t="str">
        <f t="shared" si="43"/>
        <v>"des":"Choke CoilE SMD 33UH 3,5A",</v>
      </c>
      <c r="ASX13" t="str">
        <f t="shared" si="43"/>
        <v>"des":"RST 330R 1/8W 1%805",</v>
      </c>
      <c r="ASY13" t="str">
        <f t="shared" si="43"/>
        <v>"des":"RST 330R 1/8W 1%805",</v>
      </c>
      <c r="ASZ13" t="str">
        <f t="shared" si="43"/>
        <v>"des":"RST 330R 1/8W 1%805",</v>
      </c>
      <c r="ATA13" t="str">
        <f t="shared" si="43"/>
        <v>"des":"RST 470R 0,1W 1%603",</v>
      </c>
      <c r="ATB13" t="str">
        <f t="shared" si="43"/>
        <v>"des":"RST 470R 0,1W 1%603",</v>
      </c>
      <c r="ATC13" t="str">
        <f t="shared" si="43"/>
        <v>"des":"Capacitor 100NF/25V 603",</v>
      </c>
      <c r="ATD13" t="str">
        <f t="shared" si="43"/>
        <v>"des":"Capacitor 4,7UF/25V 1210",</v>
      </c>
      <c r="ATE13" t="str">
        <f t="shared" si="43"/>
        <v>"des":"Capacitor 4,7UF/25V 1210",</v>
      </c>
      <c r="ATF13" t="str">
        <f t="shared" si="43"/>
        <v>"des":"Capacitor 4,7UF/25V 1210",</v>
      </c>
      <c r="ATG13" t="str">
        <f t="shared" si="43"/>
        <v>"des":"Capacitor 4,7UF/25V 1210",</v>
      </c>
      <c r="ATH13" t="str">
        <f t="shared" si="43"/>
        <v>"des":"Capacitor 4,7UF/25V 1210",</v>
      </c>
      <c r="ATI13" t="str">
        <f t="shared" si="43"/>
        <v>"des":"Capacitor 1NF/100V 10%",</v>
      </c>
      <c r="ATJ13" t="str">
        <f t="shared" si="43"/>
        <v>"des":"Capacitor 1NF/100V 10%",</v>
      </c>
      <c r="ATK13" t="str">
        <f t="shared" si="43"/>
        <v>"des":"MOS 20V 1A SOT323",</v>
      </c>
      <c r="ATL13" t="str">
        <f t="shared" si="43"/>
        <v>"des":"Capacitor 100NF K16V603A",</v>
      </c>
      <c r="ATM13" t="str">
        <f t="shared" si="43"/>
        <v>"des":"Capacitor 100NF K16V603A",</v>
      </c>
      <c r="ATN13" t="str">
        <f t="shared" si="43"/>
        <v>"des":"Capacitor 100NF K16V603A",</v>
      </c>
      <c r="ATO13" t="str">
        <f t="shared" si="43"/>
        <v>"des":"Capacitor 4,7UF/25V 0805",</v>
      </c>
      <c r="ATP13" t="str">
        <f t="shared" si="43"/>
        <v>"des":"HEADER 1X2C-2,54MM2",</v>
      </c>
      <c r="ATQ13" t="str">
        <f t="shared" si="43"/>
        <v>"des":"HEADER 1X2C-2,54MM2",</v>
      </c>
      <c r="ATR13" t="str">
        <f t="shared" si="43"/>
        <v>"des":"COVER TAPE 21.3MM",</v>
      </c>
      <c r="ATS13" t="str">
        <f t="shared" si="43"/>
        <v>"des":"Capacitor 10UF 25V 1206",</v>
      </c>
      <c r="ATT13" t="str">
        <f t="shared" si="43"/>
        <v>"des":"Capacitor 10UF 25V 1206",</v>
      </c>
      <c r="ATU13" t="str">
        <f t="shared" si="43"/>
        <v>"des":"Capacitor 10UF 25V 1206",</v>
      </c>
      <c r="ATV13" t="str">
        <f t="shared" si="43"/>
        <v>"des":"Capacitor 10UF 25V 1206",</v>
      </c>
      <c r="ATW13" t="str">
        <f t="shared" si="43"/>
        <v>"des":"DIO 0,2A 30V BAT54S",</v>
      </c>
      <c r="ATX13" t="str">
        <f t="shared" si="43"/>
        <v>"des":"DIO 0,2A 30V BAT54S",</v>
      </c>
      <c r="ATY13" t="str">
        <f t="shared" si="43"/>
        <v>"des":"DIO 0,2A 30V BAT54S",</v>
      </c>
      <c r="ATZ13" t="str">
        <f t="shared" si="43"/>
        <v>"des":"DIO 0,2A 30V BAT54S",</v>
      </c>
      <c r="AUA13" t="str">
        <f t="shared" si="43"/>
        <v>"des":"Capacitor 1UF/25V 0805",</v>
      </c>
      <c r="AUB13" t="str">
        <f t="shared" si="43"/>
        <v>"des":"Capacitor 1UF/25V 0805",</v>
      </c>
      <c r="AUC13" t="str">
        <f t="shared" si="43"/>
        <v>"des":"IC TLV70033DBVR",</v>
      </c>
      <c r="AUD13" t="str">
        <f t="shared" si="43"/>
        <v>"des":"IC TLV70033DBVR",</v>
      </c>
      <c r="AUE13" t="str">
        <f t="shared" si="43"/>
        <v>"des":"IC TLV70033DBVR",</v>
      </c>
      <c r="AUF13" t="str">
        <f t="shared" si="43"/>
        <v>"des":"FUSE 1,1A 16V SMD",</v>
      </c>
      <c r="AUG13" t="str">
        <f t="shared" si="43"/>
        <v>"des":"RST 10K 1/8W1%805-2",</v>
      </c>
      <c r="AUH13" t="str">
        <f t="shared" ref="AUH13:AWS13" si="44">_xlfn.CONCAT("""",$L$7,"""",":","""",AUH7,"""",",")</f>
        <v>"des":"DiodeE 5A 1000V SMC",</v>
      </c>
      <c r="AUI13" t="str">
        <f t="shared" si="44"/>
        <v>"des":"DiodeE 5A 1000V SMC",</v>
      </c>
      <c r="AUJ13" t="str">
        <f t="shared" si="44"/>
        <v>"des":"DiodeE 5A 1000V SMC",</v>
      </c>
      <c r="AUK13" t="str">
        <f t="shared" si="44"/>
        <v>"des":"RST 60,4 0,1W 1%603",</v>
      </c>
      <c r="AUL13" t="str">
        <f t="shared" si="44"/>
        <v>"des":"RST 60,4 0,1W 1%603",</v>
      </c>
      <c r="AUM13" t="str">
        <f t="shared" si="44"/>
        <v>"des":"RST 60,4 0,1W 1%603",</v>
      </c>
      <c r="AUN13" t="str">
        <f t="shared" si="44"/>
        <v>"des":"RST 60,4 0,1W 1%603",</v>
      </c>
      <c r="AUO13" t="str">
        <f t="shared" si="44"/>
        <v>"des":"Capacitor 220UF/35V20%-2",</v>
      </c>
      <c r="AUP13" t="str">
        <f t="shared" si="44"/>
        <v>"des":"Capacitor 220UF/35V20%-2",</v>
      </c>
      <c r="AUQ13" t="str">
        <f t="shared" si="44"/>
        <v>"des":"Capacitor 220UF/35V20%-2",</v>
      </c>
      <c r="AUR13" t="str">
        <f t="shared" si="44"/>
        <v>"des":"Capacitor 220UF/35V20%-2",</v>
      </c>
      <c r="AUS13" t="str">
        <f t="shared" si="44"/>
        <v>"des":"Capacitor 220UF/35V20%-2",</v>
      </c>
      <c r="AUT13" t="str">
        <f t="shared" si="44"/>
        <v>"des":"Capacitor 220UF/35V20%-2",</v>
      </c>
      <c r="AUU13" t="str">
        <f t="shared" si="44"/>
        <v>"des":"Capacitor 220UF/35V20%-2",</v>
      </c>
      <c r="AUV13" t="str">
        <f t="shared" si="44"/>
        <v>"des":"Capacitor 220UF/35V20%-2",</v>
      </c>
      <c r="AUW13" t="str">
        <f t="shared" si="44"/>
        <v>"des":"Capacitor 220UF/35V20%-2",</v>
      </c>
      <c r="AUX13" t="str">
        <f t="shared" si="44"/>
        <v>"des":"GLOVE PU PLAM FIT",</v>
      </c>
      <c r="AUY13" t="str">
        <f t="shared" si="44"/>
        <v>"des":"RST 1K 5% 1/4W 0603",</v>
      </c>
      <c r="AUZ13" t="str">
        <f t="shared" si="44"/>
        <v>"des":"RST 1K 5% 1/4W 0603",</v>
      </c>
      <c r="AVA13" t="str">
        <f t="shared" si="44"/>
        <v>"des":"Capacitor 10UF/10V 0805C",</v>
      </c>
      <c r="AVB13" t="str">
        <f t="shared" si="44"/>
        <v>"des":"FUSE 12A 450V",</v>
      </c>
      <c r="AVC13" t="str">
        <f t="shared" si="44"/>
        <v>"des":"ICMD M25P16-VMW6G",</v>
      </c>
      <c r="AVD13" t="str">
        <f t="shared" si="44"/>
        <v>"des":"ICMD M25P16-VMW6G",</v>
      </c>
      <c r="AVE13" t="str">
        <f t="shared" si="44"/>
        <v>"des":"ICMD M25P16-VMW6G",</v>
      </c>
      <c r="AVF13" t="str">
        <f t="shared" si="44"/>
        <v>"des":"RST 681 1/4W 1%1206",</v>
      </c>
      <c r="AVG13" t="str">
        <f t="shared" si="44"/>
        <v>"des":"RST 2M2 1W 5% 2512",</v>
      </c>
      <c r="AVH13" t="str">
        <f t="shared" si="44"/>
        <v>"des":"RST 2M2 1W 5% 2512",</v>
      </c>
      <c r="AVI13" t="str">
        <f t="shared" si="44"/>
        <v>"des":"RST 8,45K 1/8W 1%SM",</v>
      </c>
      <c r="AVJ13" t="str">
        <f t="shared" si="44"/>
        <v>"des":"RST 8,45K 1/8W 1%SM",</v>
      </c>
      <c r="AVK13" t="str">
        <f t="shared" si="44"/>
        <v>"des":"RST 8,45K 1/8W 1%SM",</v>
      </c>
      <c r="AVL13" t="str">
        <f t="shared" si="44"/>
        <v>"des":"RST 8,45K 1/8W 1%SM",</v>
      </c>
      <c r="AVM13" t="str">
        <f t="shared" si="44"/>
        <v>"des":"RST 8,45K 1/8W 1%SM",</v>
      </c>
      <c r="AVN13" t="str">
        <f t="shared" si="44"/>
        <v>"des":"RST 8,45K 1/8W 1%SM",</v>
      </c>
      <c r="AVO13" t="str">
        <f t="shared" si="44"/>
        <v>"des":"Capacitor 82PF/50V 0402",</v>
      </c>
      <c r="AVP13" t="str">
        <f t="shared" si="44"/>
        <v>"des":"Capacitor 82PF/50V 0402",</v>
      </c>
      <c r="AVQ13" t="str">
        <f t="shared" si="44"/>
        <v>"des":"DiodeE 4A 200V DPAK",</v>
      </c>
      <c r="AVR13" t="str">
        <f t="shared" si="44"/>
        <v>"des":"NTC 1R 9A 3,1W TH",</v>
      </c>
      <c r="AVS13" t="str">
        <f t="shared" si="44"/>
        <v>"des":"RST 47K 1/8W 1%0805",</v>
      </c>
      <c r="AVT13" t="str">
        <f t="shared" si="44"/>
        <v>"des":"RST 47K 1/8W 1%0805",</v>
      </c>
      <c r="AVU13" t="str">
        <f t="shared" si="44"/>
        <v>"des":"MA-1150498STG",</v>
      </c>
      <c r="AVV13" t="str">
        <f t="shared" si="44"/>
        <v>"des":"MA-1150498STG",</v>
      </c>
      <c r="AVW13" t="str">
        <f t="shared" si="44"/>
        <v>"des":"OPT DRIVER 5KV-03",</v>
      </c>
      <c r="AVX13" t="str">
        <f t="shared" si="44"/>
        <v>"des":"OPT DRIVER 5KV-03",</v>
      </c>
      <c r="AVY13" t="str">
        <f t="shared" si="44"/>
        <v>"des":"OPT DRIVER 5KV-03",</v>
      </c>
      <c r="AVZ13" t="str">
        <f t="shared" si="44"/>
        <v>"des":"OPT DRIVER 5KV-03",</v>
      </c>
      <c r="AWA13" t="str">
        <f t="shared" si="44"/>
        <v>"des":"DiodeE 60A 600V-03",</v>
      </c>
      <c r="AWB13" t="str">
        <f t="shared" si="44"/>
        <v>"des":"DiodeE 60A 600V-03",</v>
      </c>
      <c r="AWC13" t="str">
        <f t="shared" si="44"/>
        <v>"des":"Capacitor 22NF/300VAC",</v>
      </c>
      <c r="AWD13" t="str">
        <f t="shared" si="44"/>
        <v>"des":"Capacitor 22NF/300VAC",</v>
      </c>
      <c r="AWE13" t="str">
        <f t="shared" si="44"/>
        <v>"des":"MOS 20V 2,4A SMD",</v>
      </c>
      <c r="AWF13" t="str">
        <f t="shared" si="44"/>
        <v>"des":"Capacitor 47UF/6,3V TANT",</v>
      </c>
      <c r="AWG13" t="str">
        <f t="shared" si="44"/>
        <v>"des":"Capacitor 4,7NF/50V 0805",</v>
      </c>
      <c r="AWH13" t="str">
        <f t="shared" si="44"/>
        <v>"des":"FUSE 30A 500V",</v>
      </c>
      <c r="AWI13" t="str">
        <f t="shared" si="44"/>
        <v>"des":"FUSE 30A 500V",</v>
      </c>
      <c r="AWJ13" t="str">
        <f t="shared" si="44"/>
        <v>"des":"FUSE 30A 500V",</v>
      </c>
      <c r="AWK13" t="str">
        <f t="shared" si="44"/>
        <v>"des":"Capacitor 0,1UF/100V 206",</v>
      </c>
      <c r="AWL13" t="str">
        <f t="shared" si="44"/>
        <v>"des":"Capacitor 0,1UF/100V 206",</v>
      </c>
      <c r="AWM13" t="str">
        <f t="shared" si="44"/>
        <v>"des":"RST 680 1W 5% 2512",</v>
      </c>
      <c r="AWN13" t="str">
        <f t="shared" si="44"/>
        <v>"des":"RST 12R 3/4W5%206-T",</v>
      </c>
      <c r="AWO13" t="str">
        <f t="shared" si="44"/>
        <v>"des":"RST 12R 3/4W5%206-T",</v>
      </c>
      <c r="AWP13" t="str">
        <f t="shared" si="44"/>
        <v>"des":"XTAL 25MHZ 8PF2X1,6",</v>
      </c>
      <c r="AWQ13" t="str">
        <f t="shared" si="44"/>
        <v>"des":"MOS 25V 0,41A DUALP",</v>
      </c>
      <c r="AWR13" t="str">
        <f t="shared" si="44"/>
        <v>"des":"MOS 25V 0,41A DUALP",</v>
      </c>
      <c r="AWS13" t="str">
        <f t="shared" si="44"/>
        <v>"des":"Capacitor 47NF/350V Y2",</v>
      </c>
      <c r="AWT13" t="str">
        <f t="shared" ref="AWT13:AZE13" si="45">_xlfn.CONCAT("""",$L$7,"""",":","""",AWT7,"""",",")</f>
        <v>"des":"RST 2,43K 0,1W1%603",</v>
      </c>
      <c r="AWU13" t="str">
        <f t="shared" si="45"/>
        <v>"des":"RST 2,43K 0,1W1%603",</v>
      </c>
      <c r="AWV13" t="str">
        <f t="shared" si="45"/>
        <v>"des":"RST 2,43K 0,1W1%603",</v>
      </c>
      <c r="AWW13" t="str">
        <f t="shared" si="45"/>
        <v>"des":"RST 2,43K 0,1W1%603",</v>
      </c>
      <c r="AWX13" t="str">
        <f t="shared" si="45"/>
        <v>"des":"JUMPER 6,35 MM",</v>
      </c>
      <c r="AWY13" t="str">
        <f t="shared" si="45"/>
        <v>"des":"Capacitor 100NF M300V Y2",</v>
      </c>
      <c r="AWZ13" t="str">
        <f t="shared" si="45"/>
        <v>"des":"IC ISO7521CDW",</v>
      </c>
      <c r="AXA13" t="str">
        <f t="shared" si="45"/>
        <v>"des":"IC ISO7521CDW",</v>
      </c>
      <c r="AXB13" t="str">
        <f t="shared" si="45"/>
        <v>"des":"RST 0 1/4W 5% MF",</v>
      </c>
      <c r="AXC13" t="str">
        <f t="shared" si="45"/>
        <v>"des":"GLUE 3M 8910NS",</v>
      </c>
      <c r="AXD13" t="str">
        <f t="shared" si="45"/>
        <v>"des":"RST 7,5K 1/8W 1%805",</v>
      </c>
      <c r="AXE13" t="str">
        <f t="shared" si="45"/>
        <v>"des":"RST 7,5K 1/8W 1%805",</v>
      </c>
      <c r="AXF13" t="str">
        <f t="shared" si="45"/>
        <v>"des":"RST 7,5K 1/8W 1%805",</v>
      </c>
      <c r="AXG13" t="str">
        <f t="shared" si="45"/>
        <v>"des":"Capacitor 3,3UF 300V TH",</v>
      </c>
      <c r="AXH13" t="str">
        <f t="shared" si="45"/>
        <v>"des":"Capacitor 3,3UF 300V TH",</v>
      </c>
      <c r="AXI13" t="str">
        <f t="shared" si="45"/>
        <v>"des":"Capacitor 3,3UF 300V TH",</v>
      </c>
      <c r="AXJ13" t="str">
        <f t="shared" si="45"/>
        <v>"des":"DUST  MASK",</v>
      </c>
      <c r="AXK13" t="str">
        <f t="shared" si="45"/>
        <v>"des":"Capacitor 100NF 25V 0805",</v>
      </c>
      <c r="AXL13" t="str">
        <f t="shared" si="45"/>
        <v>"des":"IC MC74VHCT02ADR2G",</v>
      </c>
      <c r="AXM13" t="str">
        <f t="shared" si="45"/>
        <v>"des":"IC BAS3007A",</v>
      </c>
      <c r="AXN13" t="str">
        <f t="shared" si="45"/>
        <v>"des":"IC BAS3007A",</v>
      </c>
      <c r="AXO13" t="str">
        <f t="shared" si="45"/>
        <v>"des":"ICX9211IULTRT",</v>
      </c>
      <c r="AXP13" t="str">
        <f t="shared" si="45"/>
        <v>"des":"RST 62 1/16W1% 402",</v>
      </c>
      <c r="AXQ13" t="str">
        <f t="shared" si="45"/>
        <v>"des":"RST 22K 1/16W 1%402",</v>
      </c>
      <c r="AXR13" t="str">
        <f t="shared" si="45"/>
        <v>"des":"RST 22K 1/16W 1%402",</v>
      </c>
      <c r="AXS13" t="str">
        <f t="shared" si="45"/>
        <v>"des":"MOS 30V 3,4A SOT23",</v>
      </c>
      <c r="AXT13" t="str">
        <f t="shared" si="45"/>
        <v>"des":"MOS 30V 3,4A SOT23",</v>
      </c>
      <c r="AXU13" t="str">
        <f t="shared" si="45"/>
        <v>"des":"Capacitor 1UF 16V 1206",</v>
      </c>
      <c r="AXV13" t="str">
        <f t="shared" si="45"/>
        <v>"des":"RST 330 1/4W 5% CF",</v>
      </c>
      <c r="AXW13" t="str">
        <f t="shared" si="45"/>
        <v>"des":"RST 330 1/4W 5% CF",</v>
      </c>
      <c r="AXX13" t="str">
        <f t="shared" si="45"/>
        <v>"des":"Capacitor 2,2NF 63V TH",</v>
      </c>
      <c r="AXY13" t="str">
        <f t="shared" si="45"/>
        <v>"des":"Capacitor 2,2NF 63V TH",</v>
      </c>
      <c r="AXZ13" t="str">
        <f t="shared" si="45"/>
        <v>"des":"RST 2K74 0,1W1%0603",</v>
      </c>
      <c r="AYA13" t="str">
        <f t="shared" si="45"/>
        <v>"des":"Capacitor 33PF 25V 0805",</v>
      </c>
      <c r="AYB13" t="str">
        <f t="shared" si="45"/>
        <v>"des":"RST 47K 0,1W 1% 603",</v>
      </c>
      <c r="AYC13" t="str">
        <f t="shared" si="45"/>
        <v>"des":"RST 47K 0,1W 1% 603",</v>
      </c>
      <c r="AYD13" t="str">
        <f t="shared" si="45"/>
        <v>"des":"RST 47K 0,1W 1% 603",</v>
      </c>
      <c r="AYE13" t="str">
        <f t="shared" si="45"/>
        <v>"des":"RM5/I N87 A63",</v>
      </c>
      <c r="AYF13" t="str">
        <f t="shared" si="45"/>
        <v>"des":"IC IP4220CZ6,125",</v>
      </c>
      <c r="AYG13" t="str">
        <f t="shared" si="45"/>
        <v>"des":"CNT 1729144",</v>
      </c>
      <c r="AYH13" t="str">
        <f t="shared" si="45"/>
        <v>"des":"CNT 1729144",</v>
      </c>
      <c r="AYI13" t="str">
        <f t="shared" si="45"/>
        <v>"des":"CNT 1729144",</v>
      </c>
      <c r="AYJ13" t="str">
        <f t="shared" si="45"/>
        <v>"des":"MOSFETET 12,6A 30V",</v>
      </c>
      <c r="AYK13" t="str">
        <f t="shared" si="45"/>
        <v>"des":"MOSFETET 12,6A 30V",</v>
      </c>
      <c r="AYL13" t="str">
        <f t="shared" si="45"/>
        <v>"des":"Capacitor 1NF/25V20% 603",</v>
      </c>
      <c r="AYM13" t="str">
        <f t="shared" si="45"/>
        <v>"des":"Capacitor 1NF/25V20% 603",</v>
      </c>
      <c r="AYN13" t="str">
        <f t="shared" si="45"/>
        <v>"des":"Capacitor 1NF/25V20% 603",</v>
      </c>
      <c r="AYO13" t="str">
        <f t="shared" si="45"/>
        <v>"des":"Capacitor 1NF/25V20% 603",</v>
      </c>
      <c r="AYP13" t="str">
        <f t="shared" si="45"/>
        <v>"des":"Capacitor 120UF 200V TH",</v>
      </c>
      <c r="AYQ13" t="str">
        <f t="shared" si="45"/>
        <v>"des":"Capacitor 120UF 200V TH",</v>
      </c>
      <c r="AYR13" t="str">
        <f t="shared" si="45"/>
        <v>"des":"Capacitor 120UF 200V TH",</v>
      </c>
      <c r="AYS13" t="str">
        <f t="shared" si="45"/>
        <v>"des":"Capacitor 120UF 200V TH",</v>
      </c>
      <c r="AYT13" t="str">
        <f t="shared" si="45"/>
        <v>"des":"Capacitor 120UF 200V TH",</v>
      </c>
      <c r="AYU13" t="str">
        <f t="shared" si="45"/>
        <v>"des":"Capacitor 120UF 200V TH",</v>
      </c>
      <c r="AYV13" t="str">
        <f t="shared" si="45"/>
        <v>"des":"Capacitor 100NF 100V1206",</v>
      </c>
      <c r="AYW13" t="str">
        <f t="shared" si="45"/>
        <v>"des":"RST 20K 1W 5% 2512",</v>
      </c>
      <c r="AYX13" t="str">
        <f t="shared" si="45"/>
        <v>"des":"RST 20K 1W 5% 2512",</v>
      </c>
      <c r="AYY13" t="str">
        <f t="shared" si="45"/>
        <v>"des":"DiodeE ZE 20V SMD",</v>
      </c>
      <c r="AYZ13" t="str">
        <f t="shared" si="45"/>
        <v>"des":"RST 221K 1/4W1%1206",</v>
      </c>
      <c r="AZA13" t="str">
        <f t="shared" si="45"/>
        <v>"des":"RST 221K 1/4W1%1206",</v>
      </c>
      <c r="AZB13" t="str">
        <f t="shared" si="45"/>
        <v>"des":"RST 560 1/2W 5% CF",</v>
      </c>
      <c r="AZC13" t="str">
        <f t="shared" si="45"/>
        <v>"des":"RST 560 1/2W 5% CF",</v>
      </c>
      <c r="AZD13" t="str">
        <f t="shared" si="45"/>
        <v>"des":"RST 560 1/2W 5% CF",</v>
      </c>
      <c r="AZE13" t="str">
        <f t="shared" si="45"/>
        <v>"des":"SPACER 18 MM",</v>
      </c>
      <c r="AZF13" t="str">
        <f t="shared" ref="AZF13:BBQ13" si="46">_xlfn.CONCAT("""",$L$7,"""",":","""",AZF7,"""",",")</f>
        <v>"des":"RST 56K2 1/8W1%805A",</v>
      </c>
      <c r="AZG13" t="str">
        <f t="shared" si="46"/>
        <v>"des":"RST 30,1K 1/4W1%805",</v>
      </c>
      <c r="AZH13" t="str">
        <f t="shared" si="46"/>
        <v>"des":"RST 30,1K 1/4W1%805",</v>
      </c>
      <c r="AZI13" t="str">
        <f t="shared" si="46"/>
        <v>"des":"RST 10K 0,1W1% 603A",</v>
      </c>
      <c r="AZJ13" t="str">
        <f t="shared" si="46"/>
        <v>"des":"RST 10K 0,1W1% 603A",</v>
      </c>
      <c r="AZK13" t="str">
        <f t="shared" si="46"/>
        <v>"des":"RST 10K 0,1W1% 603A",</v>
      </c>
      <c r="AZL13" t="str">
        <f t="shared" si="46"/>
        <v>"des":"IC LM2902DR2G",</v>
      </c>
      <c r="AZM13" t="str">
        <f t="shared" si="46"/>
        <v>"des":"IC LM2902DR2G",</v>
      </c>
      <c r="AZN13" t="str">
        <f t="shared" si="46"/>
        <v>"des":"RST 147K0,1W 1%603A",</v>
      </c>
      <c r="AZO13" t="str">
        <f t="shared" si="46"/>
        <v>"des":"RST 147K0,1W 1%603A",</v>
      </c>
      <c r="AZP13" t="str">
        <f t="shared" si="46"/>
        <v>"des":"CNT 6450851-1",</v>
      </c>
      <c r="AZQ13" t="str">
        <f t="shared" si="46"/>
        <v>"des":"CNT 6450851-1",</v>
      </c>
      <c r="AZR13" t="str">
        <f t="shared" si="46"/>
        <v>"des":"FUSE 40A 500V",</v>
      </c>
      <c r="AZS13" t="str">
        <f t="shared" si="46"/>
        <v>"des":"FUSE 40A 500V",</v>
      </c>
      <c r="AZT13" t="str">
        <f t="shared" si="46"/>
        <v>"des":"POLYSWITCH LVR016S",</v>
      </c>
      <c r="AZU13" t="str">
        <f t="shared" si="46"/>
        <v>"des":"POLYSWITCH LVR016S",</v>
      </c>
      <c r="AZV13" t="str">
        <f t="shared" si="46"/>
        <v>"des":"IC TS2431AILT",</v>
      </c>
      <c r="AZW13" t="str">
        <f t="shared" si="46"/>
        <v>"des":"IC TS2431AILT",</v>
      </c>
      <c r="AZX13" t="str">
        <f t="shared" si="46"/>
        <v>"des":"IC TS2431AILT",</v>
      </c>
      <c r="AZY13" t="str">
        <f t="shared" si="46"/>
        <v>"des":"DiodeE BAT54ALT1G",</v>
      </c>
      <c r="AZZ13" t="str">
        <f t="shared" si="46"/>
        <v>"des":"Capacitor 10UF/16V 10%",</v>
      </c>
      <c r="BAA13" t="str">
        <f t="shared" si="46"/>
        <v>"des":"Capacitor 10UF/16V 10%",</v>
      </c>
      <c r="BAB13" t="str">
        <f t="shared" si="46"/>
        <v>"des":"Capacitor 10UF/16V 10%",</v>
      </c>
      <c r="BAC13" t="str">
        <f t="shared" si="46"/>
        <v>"des":"Capacitor 10UF/16V 10%",</v>
      </c>
      <c r="BAD13" t="str">
        <f t="shared" si="46"/>
        <v>"des":"DiodeE 30A 600V TH",</v>
      </c>
      <c r="BAE13" t="str">
        <f t="shared" si="46"/>
        <v>"des":"DiodeE 30A 600V TH",</v>
      </c>
      <c r="BAF13" t="str">
        <f t="shared" si="46"/>
        <v>"des":"Capacitor 220NF/3000V-2",</v>
      </c>
      <c r="BAG13" t="str">
        <f t="shared" si="46"/>
        <v>"des":"Capacitor 220NF/3000V-2",</v>
      </c>
      <c r="BAH13" t="str">
        <f t="shared" si="46"/>
        <v>"des":"Capacitor 220NF/3000V-2",</v>
      </c>
      <c r="BAI13" t="str">
        <f t="shared" si="46"/>
        <v>"des":"Capacitor 220NF/3000V-2",</v>
      </c>
      <c r="BAJ13" t="str">
        <f t="shared" si="46"/>
        <v>"des":"MOSFETET 60V 0,3A SMD",</v>
      </c>
      <c r="BAK13" t="str">
        <f t="shared" si="46"/>
        <v>"des":"MOSFETET 60V 0,3A SMD",</v>
      </c>
      <c r="BAL13" t="str">
        <f t="shared" si="46"/>
        <v>"des":"RST 1K2 0,1W 1%603",</v>
      </c>
      <c r="BAM13" t="str">
        <f t="shared" si="46"/>
        <v>"des":"Capacitor 470UF 25V TH",</v>
      </c>
      <c r="BAN13" t="str">
        <f t="shared" si="46"/>
        <v>"des":"Capacitor 470UF 25V TH",</v>
      </c>
      <c r="BAO13" t="str">
        <f t="shared" si="46"/>
        <v>"des":"Capacitor 470UF 25V TH",</v>
      </c>
      <c r="BAP13" t="str">
        <f t="shared" si="46"/>
        <v>"des":"Capacitor 330PF/1600VDC",</v>
      </c>
      <c r="BAQ13" t="str">
        <f t="shared" si="46"/>
        <v>"des":"LED GREEN 0805",</v>
      </c>
      <c r="BAR13" t="str">
        <f t="shared" si="46"/>
        <v>"des":"Capacitor 100NF/16V 0402",</v>
      </c>
      <c r="BAS13" t="str">
        <f t="shared" si="46"/>
        <v>"des":"CRYSTAL 32MHZ 6PF",</v>
      </c>
      <c r="BAT13" t="str">
        <f t="shared" si="46"/>
        <v>"des":"CRYSTAL 32MHZ 6PF",</v>
      </c>
      <c r="BAU13" t="str">
        <f t="shared" si="46"/>
        <v>"des":"CRYSTAL 32MHZ 6PF",</v>
      </c>
      <c r="BAV13" t="str">
        <f t="shared" si="46"/>
        <v>"des":"RST 1,8K 0,1W 1%603",</v>
      </c>
      <c r="BAW13" t="str">
        <f t="shared" si="46"/>
        <v>"des":"CNT 85513-5114",</v>
      </c>
      <c r="BAX13" t="str">
        <f t="shared" si="46"/>
        <v>"des":"RELAY 12V HF152 TH",</v>
      </c>
      <c r="BAY13" t="str">
        <f t="shared" si="46"/>
        <v>"des":"RELAY 12V HF152 TH",</v>
      </c>
      <c r="BAZ13" t="str">
        <f t="shared" si="46"/>
        <v>"des":"RELAY 12V HF152 TH",</v>
      </c>
      <c r="BBA13" t="str">
        <f t="shared" si="46"/>
        <v>"des":"CH-15X50-48",</v>
      </c>
      <c r="BBB13" t="str">
        <f t="shared" si="46"/>
        <v>"des":"CH-15X50-48",</v>
      </c>
      <c r="BBC13" t="str">
        <f t="shared" si="46"/>
        <v>"des":"CH-15X50-48",</v>
      </c>
      <c r="BBD13" t="str">
        <f t="shared" si="46"/>
        <v>"des":"LED SMD CL-GR 0603",</v>
      </c>
      <c r="BBE13" t="str">
        <f t="shared" si="46"/>
        <v>"des":"LED SMD CL-GR 0603",</v>
      </c>
      <c r="BBF13" t="str">
        <f t="shared" si="46"/>
        <v>"des":"LED SMD CL-GR 0603",</v>
      </c>
      <c r="BBG13" t="str">
        <f t="shared" si="46"/>
        <v>"des":"LED SMD CL-GR 0603",</v>
      </c>
      <c r="BBH13" t="str">
        <f t="shared" si="46"/>
        <v>"des":"RST 82 1/8W 5% 1206",</v>
      </c>
      <c r="BBI13" t="str">
        <f t="shared" si="46"/>
        <v>"des":"RST 8,25K 1/8W1%805",</v>
      </c>
      <c r="BBJ13" t="str">
        <f t="shared" si="46"/>
        <v>"des":"TRAN NPN 40V SOT223",</v>
      </c>
      <c r="BBK13" t="str">
        <f t="shared" si="46"/>
        <v>"des":"SWT 429-25130120002",</v>
      </c>
      <c r="BBL13" t="str">
        <f t="shared" si="46"/>
        <v>"des":"DiodeE TVS 5V 43,5A2",</v>
      </c>
      <c r="BBM13" t="str">
        <f t="shared" si="46"/>
        <v>"des":"DiodeE TVS 5V 43,5A2",</v>
      </c>
      <c r="BBN13" t="str">
        <f t="shared" si="46"/>
        <v>"des":"Capacitor 82UF/450VDC-TH",</v>
      </c>
      <c r="BBO13" t="str">
        <f t="shared" si="46"/>
        <v>"des":"MA-1300123STG",</v>
      </c>
      <c r="BBP13" t="str">
        <f t="shared" si="46"/>
        <v>"des":"MA-1300123STG",</v>
      </c>
      <c r="BBQ13" t="str">
        <f t="shared" si="46"/>
        <v>"des":"MA-1300123STG",</v>
      </c>
      <c r="BBR13" t="str">
        <f t="shared" ref="BBR13:BEC13" si="47">_xlfn.CONCAT("""",$L$7,"""",":","""",BBR7,"""",",")</f>
        <v>"des":"MA-1300123STG",</v>
      </c>
      <c r="BBS13" t="str">
        <f t="shared" si="47"/>
        <v>"des":"MA-1150571STG",</v>
      </c>
      <c r="BBT13" t="str">
        <f t="shared" si="47"/>
        <v>"des":"MA-1300075STG",</v>
      </c>
      <c r="BBU13" t="str">
        <f t="shared" si="47"/>
        <v>"des":"MA-1300075STG",</v>
      </c>
      <c r="BBV13" t="str">
        <f t="shared" si="47"/>
        <v>"des":"VAR 385V LA20",</v>
      </c>
      <c r="BBW13" t="str">
        <f t="shared" si="47"/>
        <v>"des":"VAR 385V LA20",</v>
      </c>
      <c r="BBX13" t="str">
        <f t="shared" si="47"/>
        <v>"des":"Capacitor 220UF/16V 20%A",</v>
      </c>
      <c r="BBY13" t="str">
        <f t="shared" si="47"/>
        <v>"des":"Capacitor 220UF/16V 20%A",</v>
      </c>
      <c r="BBZ13" t="str">
        <f t="shared" si="47"/>
        <v>"des":"RST 1K 0,1W5% 0603A",</v>
      </c>
      <c r="BCA13" t="str">
        <f t="shared" si="47"/>
        <v>"des":"RST 1K 0,1W5% 0603A",</v>
      </c>
      <c r="BCB13" t="str">
        <f t="shared" si="47"/>
        <v>"des":"Capacitor 1UF50V 10%805A",</v>
      </c>
      <c r="BCC13" t="str">
        <f t="shared" si="47"/>
        <v>"des":"Capacitor 1UF50V 10%805A",</v>
      </c>
      <c r="BCD13" t="str">
        <f t="shared" si="47"/>
        <v>"des":"Capacitor 1UF50V 10%805A",</v>
      </c>
      <c r="BCE13" t="str">
        <f t="shared" si="47"/>
        <v>"des":"RST 8K2 0,1W 1% 603",</v>
      </c>
      <c r="BCF13" t="str">
        <f t="shared" si="47"/>
        <v>"des":"Capacitor 10UF/16V 1206",</v>
      </c>
      <c r="BCG13" t="str">
        <f t="shared" si="47"/>
        <v>"des":"Capacitor 10UF/16V 1206",</v>
      </c>
      <c r="BCH13" t="str">
        <f t="shared" si="47"/>
        <v>"des":"Capacitor 10UF/16V 1206",</v>
      </c>
      <c r="BCI13" t="str">
        <f t="shared" si="47"/>
        <v>"des":"Capacitor 10UF/16V 1206",</v>
      </c>
      <c r="BCJ13" t="str">
        <f t="shared" si="47"/>
        <v>"des":"Capacitor 10UF/16V 1206",</v>
      </c>
      <c r="BCK13" t="str">
        <f t="shared" si="47"/>
        <v>"des":"RST 6,8 0,1W 5% 603",</v>
      </c>
      <c r="BCL13" t="str">
        <f t="shared" si="47"/>
        <v>"des":"RST 68K 0,1W 1%603A",</v>
      </c>
      <c r="BCM13" t="str">
        <f t="shared" si="47"/>
        <v>"des":"Capacitor 4,7UF/50V 1206",</v>
      </c>
      <c r="BCN13" t="str">
        <f t="shared" si="47"/>
        <v>"des":"Capacitor 4,7UF/50V 1206",</v>
      </c>
      <c r="BCO13" t="str">
        <f t="shared" si="47"/>
        <v>"des":"Capacitor 47UF 16V 20%",</v>
      </c>
      <c r="BCP13" t="str">
        <f t="shared" si="47"/>
        <v>"des":"Capacitor 47UF 16V 20%",</v>
      </c>
      <c r="BCQ13" t="str">
        <f t="shared" si="47"/>
        <v>"des":"Capacitor 47UF 16V 20%",</v>
      </c>
      <c r="BCR13" t="str">
        <f t="shared" si="47"/>
        <v>"des":"Capacitor 22UF 16V 1210",</v>
      </c>
      <c r="BCS13" t="str">
        <f t="shared" si="47"/>
        <v>"des":"Capacitor 22UF 16V 1210",</v>
      </c>
      <c r="BCT13" t="str">
        <f t="shared" si="47"/>
        <v>"des":"Capacitor 22UF 16V 1210",</v>
      </c>
      <c r="BCU13" t="str">
        <f t="shared" si="47"/>
        <v>"des":"Capacitor 22UF 16V 1210",</v>
      </c>
      <c r="BCV13" t="str">
        <f t="shared" si="47"/>
        <v>"des":"Capacitor 22UF 16V 1210",</v>
      </c>
      <c r="BCW13" t="str">
        <f t="shared" si="47"/>
        <v>"des":"Capacitor 22UF 16V 1210",</v>
      </c>
      <c r="BCX13" t="str">
        <f t="shared" si="47"/>
        <v>"des":"RST 200K 0,1W1%603A",</v>
      </c>
      <c r="BCY13" t="str">
        <f t="shared" si="47"/>
        <v>"des":"RST 200K 0,1W1%603A",</v>
      </c>
      <c r="BCZ13" t="str">
        <f t="shared" si="47"/>
        <v>"des":"Capacitor 2,2NF/1500V",</v>
      </c>
      <c r="BDA13" t="str">
        <f t="shared" si="47"/>
        <v>"des":"Capacitor 2,2NF/1500V",</v>
      </c>
      <c r="BDB13" t="str">
        <f t="shared" si="47"/>
        <v>"des":"Capacitor 2,2NF/1500V",</v>
      </c>
      <c r="BDC13" t="str">
        <f t="shared" si="47"/>
        <v>"des":"RST 51K 0,1W 5% 603",</v>
      </c>
      <c r="BDD13" t="str">
        <f t="shared" si="47"/>
        <v>"des":"RST 5K1 0,1W 5% 603",</v>
      </c>
      <c r="BDE13" t="str">
        <f t="shared" si="47"/>
        <v>"des":"RST 6K19 0,1W 1%603",</v>
      </c>
      <c r="BDF13" t="str">
        <f t="shared" si="47"/>
        <v>"des":"RST 0 1/16W 5% 0603",</v>
      </c>
      <c r="BDG13" t="str">
        <f t="shared" si="47"/>
        <v>"des":"RST 100K0,1W 1%603A",</v>
      </c>
      <c r="BDH13" t="str">
        <f t="shared" si="47"/>
        <v>"des":"Capacitor 1UF 50V 1210",</v>
      </c>
      <c r="BDI13" t="str">
        <f t="shared" si="47"/>
        <v>"des":"Capacitor 1UF 50V 1210",</v>
      </c>
      <c r="BDJ13" t="str">
        <f t="shared" si="47"/>
        <v>"des":"IC CP2102-GMR",</v>
      </c>
      <c r="BDK13" t="str">
        <f t="shared" si="47"/>
        <v>"des":"RST 10M 1W 1% 2512",</v>
      </c>
      <c r="BDL13" t="str">
        <f t="shared" si="47"/>
        <v>"des":"RST 10M 1W 1% 2512",</v>
      </c>
      <c r="BDM13" t="str">
        <f t="shared" si="47"/>
        <v>"des":"Capacitor 1UF 100V TH",</v>
      </c>
      <c r="BDN13" t="str">
        <f t="shared" si="47"/>
        <v>"des":"Capacitor 1UF 100V TH",</v>
      </c>
      <c r="BDO13" t="str">
        <f t="shared" si="47"/>
        <v>"des":"Capacitor 1UF 100V TH",</v>
      </c>
      <c r="BDP13" t="str">
        <f t="shared" si="47"/>
        <v>"des":"Capacitor 1UF 100V TH",</v>
      </c>
      <c r="BDQ13" t="str">
        <f t="shared" si="47"/>
        <v>"des":"RST 0,02 1% 2W 2512",</v>
      </c>
      <c r="BDR13" t="str">
        <f t="shared" si="47"/>
        <v>"des":"CNTM 2-1634688-0",</v>
      </c>
      <c r="BDS13" t="str">
        <f t="shared" si="47"/>
        <v>"des":"MOSFETET 100V 1,5A",</v>
      </c>
      <c r="BDT13" t="str">
        <f t="shared" si="47"/>
        <v>"des":"Capacitor 220NF/530VK-TH",</v>
      </c>
      <c r="BDU13" t="str">
        <f t="shared" si="47"/>
        <v>"des":"Capacitor 22UF/25V 1206",</v>
      </c>
      <c r="BDV13" t="str">
        <f t="shared" si="47"/>
        <v>"des":"Capacitor 100NF/275V",</v>
      </c>
      <c r="BDW13" t="str">
        <f t="shared" si="47"/>
        <v>"des":"Capacitor 100NF/275V",</v>
      </c>
      <c r="BDX13" t="str">
        <f t="shared" si="47"/>
        <v>"des":"Capacitor 100NF/275V",</v>
      </c>
      <c r="BDY13" t="str">
        <f t="shared" si="47"/>
        <v>"des":"Capacitor 100NF/275V",</v>
      </c>
      <c r="BDZ13" t="str">
        <f t="shared" si="47"/>
        <v>"des":"Capacitor 100NF/275V",</v>
      </c>
      <c r="BEA13" t="str">
        <f t="shared" si="47"/>
        <v>"des":"Capacitor 100NF/275V",</v>
      </c>
      <c r="BEB13" t="str">
        <f t="shared" si="47"/>
        <v>"des":"RST 10R 1W 350V",</v>
      </c>
      <c r="BEC13" t="str">
        <f t="shared" si="47"/>
        <v>"des":"RST 10R 1W 350V",</v>
      </c>
      <c r="BED13" t="str">
        <f t="shared" ref="BED13:BGO13" si="48">_xlfn.CONCAT("""",$L$7,"""",":","""",BED7,"""",",")</f>
        <v>"des":"WAVE GREASE HITEMP",</v>
      </c>
      <c r="BEE13" t="str">
        <f t="shared" si="48"/>
        <v>"des":"WAVE GREASE HITEMP",</v>
      </c>
      <c r="BEF13" t="str">
        <f t="shared" si="48"/>
        <v>"des":"WAVE GREASE HITEMP",</v>
      </c>
      <c r="BEG13" t="str">
        <f t="shared" si="48"/>
        <v>"des":"DiodeE TVS 56V TH",</v>
      </c>
      <c r="BEH13" t="str">
        <f t="shared" si="48"/>
        <v>"des":"DiodeE TVS 56V TH",</v>
      </c>
      <c r="BEI13" t="str">
        <f t="shared" si="48"/>
        <v>"des":"DiodeE TVS 56V TH",</v>
      </c>
      <c r="BEJ13" t="str">
        <f t="shared" si="48"/>
        <v>"des":"Capacitor 100PF/50V5%603",</v>
      </c>
      <c r="BEK13" t="str">
        <f t="shared" si="48"/>
        <v>"des":"Capacitor 100PF/50V5%603",</v>
      </c>
      <c r="BEL13" t="str">
        <f t="shared" si="48"/>
        <v>"des":"Capacitor 1NF 250V TH",</v>
      </c>
      <c r="BEM13" t="str">
        <f t="shared" si="48"/>
        <v>"des":"Capacitor 1NF 250V TH",</v>
      </c>
      <c r="BEN13" t="str">
        <f t="shared" si="48"/>
        <v>"des":"Capacitor 1NF 250V TH",</v>
      </c>
      <c r="BEO13" t="str">
        <f t="shared" si="48"/>
        <v>"des":"Capacitor 2,2NF/50V 0805",</v>
      </c>
      <c r="BEP13" t="str">
        <f t="shared" si="48"/>
        <v>"des":"MA-1360173G",</v>
      </c>
      <c r="BEQ13" t="str">
        <f t="shared" si="48"/>
        <v>"des":"MA-1360173G",</v>
      </c>
      <c r="BER13" t="str">
        <f t="shared" si="48"/>
        <v>"des":"MA-1200291G",</v>
      </c>
      <c r="BES13" t="str">
        <f t="shared" si="48"/>
        <v>"des":"MA-1200291G",</v>
      </c>
      <c r="BET13" t="str">
        <f t="shared" si="48"/>
        <v>"des":"MA-1200291G",</v>
      </c>
      <c r="BEU13" t="str">
        <f t="shared" si="48"/>
        <v>"des":"MA-1200292G",</v>
      </c>
      <c r="BEV13" t="str">
        <f t="shared" si="48"/>
        <v>"des":"MA-1360210G",</v>
      </c>
      <c r="BEW13" t="str">
        <f t="shared" si="48"/>
        <v>"des":"VAR 680V LA80",</v>
      </c>
      <c r="BEX13" t="str">
        <f t="shared" si="48"/>
        <v>"des":"ICCM1212B",</v>
      </c>
      <c r="BEY13" t="str">
        <f t="shared" si="48"/>
        <v>"des":"Capacitor 0,1UF/50V 206",</v>
      </c>
      <c r="BEZ13" t="str">
        <f t="shared" si="48"/>
        <v>"des":"RST 75 1% 0402-T",</v>
      </c>
      <c r="BFA13" t="str">
        <f t="shared" si="48"/>
        <v>"des":"RST 75 1% 0402-T",</v>
      </c>
      <c r="BFB13" t="str">
        <f t="shared" si="48"/>
        <v>"des":"RST 22,1K 1/8W1%805",</v>
      </c>
      <c r="BFC13" t="str">
        <f t="shared" si="48"/>
        <v>"des":"MOSFETET 20V 1A-363",</v>
      </c>
      <c r="BFD13" t="str">
        <f t="shared" si="48"/>
        <v>"des":"Capacitor 22UF/25V20%805",</v>
      </c>
      <c r="BFE13" t="str">
        <f t="shared" si="48"/>
        <v>"des":"Capacitor 22UF/25V20%805",</v>
      </c>
      <c r="BFF13" t="str">
        <f t="shared" si="48"/>
        <v>"des":"RST 0,33 2W 5% 2512",</v>
      </c>
      <c r="BFG13" t="str">
        <f t="shared" si="48"/>
        <v>"des":"RST 0,33 2W 5% 2512",</v>
      </c>
      <c r="BFH13" t="str">
        <f t="shared" si="48"/>
        <v>"des":"IC AD8628ARTZ",</v>
      </c>
      <c r="BFI13" t="str">
        <f t="shared" si="48"/>
        <v>"des":"IC AD8628ARTZ",</v>
      </c>
      <c r="BFJ13" t="str">
        <f t="shared" si="48"/>
        <v>"des":"IC AD8628ARTZ",</v>
      </c>
      <c r="BFK13" t="str">
        <f t="shared" si="48"/>
        <v>"des":"IC AD8628ARTZ",</v>
      </c>
      <c r="BFL13" t="str">
        <f t="shared" si="48"/>
        <v>"des":"PTC 4,5A 16V",</v>
      </c>
      <c r="BFM13" t="str">
        <f t="shared" si="48"/>
        <v>"des":"RST 3,3K 1/4W 5%SMD",</v>
      </c>
      <c r="BFN13" t="str">
        <f t="shared" si="48"/>
        <v>"des":"RST 3,3K 1/4W 5%SMD",</v>
      </c>
      <c r="BFO13" t="str">
        <f t="shared" si="48"/>
        <v>"des":"Capacitor 3UF K1300VDC",</v>
      </c>
      <c r="BFP13" t="str">
        <f t="shared" si="48"/>
        <v>"des":"TAPE 65X98MM 060GF",</v>
      </c>
      <c r="BFQ13" t="str">
        <f t="shared" si="48"/>
        <v>"des":"TAPE 65X98MM 060GF",</v>
      </c>
      <c r="BFR13" t="str">
        <f t="shared" si="48"/>
        <v>"des":"TAPE 65X98MM 060GF",</v>
      </c>
      <c r="BFS13" t="str">
        <f t="shared" si="48"/>
        <v>"des":"LED SMD GREEN2",</v>
      </c>
      <c r="BFT13" t="str">
        <f t="shared" si="48"/>
        <v>"des":"IC TMS320F28032PAGT",</v>
      </c>
      <c r="BFU13" t="str">
        <f t="shared" si="48"/>
        <v>"des":"IC REF3030AIDBZ",</v>
      </c>
      <c r="BFV13" t="str">
        <f t="shared" si="48"/>
        <v>"des":"IC REF3030AIDBZ",</v>
      </c>
      <c r="BFW13" t="str">
        <f t="shared" si="48"/>
        <v>"des":"IC REF3030AIDBZ",</v>
      </c>
      <c r="BFX13" t="str">
        <f t="shared" si="48"/>
        <v>"des":"IC REF3030AIDBZ",</v>
      </c>
      <c r="BFY13" t="str">
        <f t="shared" si="48"/>
        <v>"des":"DiodeE TVS 5V 9,4A",</v>
      </c>
      <c r="BFZ13" t="str">
        <f t="shared" si="48"/>
        <v>"des":"Capacitor 4,7NF 400V TH",</v>
      </c>
      <c r="BGA13" t="str">
        <f t="shared" si="48"/>
        <v>"des":"ICWM MP2451DT",</v>
      </c>
      <c r="BGB13" t="str">
        <f t="shared" si="48"/>
        <v>"des":"ICWM MP2451DT",</v>
      </c>
      <c r="BGC13" t="str">
        <f t="shared" si="48"/>
        <v>"des":"DiodeE 60A 200VTO247",</v>
      </c>
      <c r="BGD13" t="str">
        <f t="shared" si="48"/>
        <v>"des":"DiodeE 60A 200VTO247",</v>
      </c>
      <c r="BGE13" t="str">
        <f t="shared" si="48"/>
        <v>"des":"DiodeE 60A 200VTO247",</v>
      </c>
      <c r="BGF13" t="str">
        <f t="shared" si="48"/>
        <v>"des":"MA-1150572STG",</v>
      </c>
      <c r="BGG13" t="str">
        <f t="shared" si="48"/>
        <v>"des":"Capacitor 47UF/25V 20%-A",</v>
      </c>
      <c r="BGH13" t="str">
        <f t="shared" si="48"/>
        <v>"des":"RST 150K 1W5%2512",</v>
      </c>
      <c r="BGI13" t="str">
        <f t="shared" si="48"/>
        <v>"des":"RST 150K 1W5%2512",</v>
      </c>
      <c r="BGJ13" t="str">
        <f t="shared" si="48"/>
        <v>"des":"Capacitor 4,7UF 100V1210",</v>
      </c>
      <c r="BGK13" t="str">
        <f t="shared" si="48"/>
        <v>"des":"Capacitor 4,7UF 100V1210",</v>
      </c>
      <c r="BGL13" t="str">
        <f t="shared" si="48"/>
        <v>"des":"DiodeE ZE 18V0,4WSMT",</v>
      </c>
      <c r="BGM13" t="str">
        <f t="shared" si="48"/>
        <v>"des":"DiodeE ZE 18V0,4WSMT",</v>
      </c>
      <c r="BGN13" t="str">
        <f t="shared" si="48"/>
        <v>"des":"CAP 1NF/100V 10%805",</v>
      </c>
      <c r="BGO13" t="str">
        <f t="shared" si="48"/>
        <v>"des":"Capacitor 100NF50V 0603A",</v>
      </c>
      <c r="BGP13" t="str">
        <f t="shared" ref="BGP13:BHC13" si="49">_xlfn.CONCAT("""",$L$7,"""",":","""",BGP7,"""",",")</f>
        <v>"des":"Capacitor 100NF50V 0603A",</v>
      </c>
      <c r="BGQ13" t="str">
        <f t="shared" si="49"/>
        <v>"des":"Capacitor 100NF50V 0603A",</v>
      </c>
      <c r="BGR13" t="str">
        <f t="shared" si="49"/>
        <v>"des":"Capacitor 100PF/50V 0603",</v>
      </c>
      <c r="BGS13" t="str">
        <f t="shared" si="49"/>
        <v>"des":"RST 4,7 1/4W 5%0805",</v>
      </c>
      <c r="BGT13" t="str">
        <f t="shared" si="49"/>
        <v>"des":"RST 4,7 1/4W 5%0805",</v>
      </c>
      <c r="BGU13" t="str">
        <f t="shared" si="49"/>
        <v>"des":"RST 4,7 1/4W 5%0805",</v>
      </c>
      <c r="BGV13" t="str">
        <f t="shared" si="49"/>
        <v>"des":"DiodeE 0,5A 20V",</v>
      </c>
      <c r="BGW13" t="str">
        <f t="shared" si="49"/>
        <v>"des":"DiodeE 0,5A 20V",</v>
      </c>
      <c r="BGX13" t="str">
        <f t="shared" si="49"/>
        <v>"des":"DiodeE 0,5A 20V",</v>
      </c>
      <c r="BGY13" t="str">
        <f t="shared" si="49"/>
        <v>"des":"Capacitor 12NF/1KV5%1210",</v>
      </c>
      <c r="BGZ13" t="str">
        <f t="shared" si="49"/>
        <v>"des":"Capacitor 12NF/1KV5%1210",</v>
      </c>
      <c r="BHA13" t="str">
        <f t="shared" si="49"/>
        <v>"des":"LED DIA 5 MM CL-GRN",</v>
      </c>
      <c r="BHB13" t="str">
        <f t="shared" si="49"/>
        <v>"des":"LW0010X0,070 ETFE",</v>
      </c>
      <c r="BHC13" t="str">
        <f t="shared" si="49"/>
        <v>"des":"RST 4,7K 1/4W 5%805",</v>
      </c>
    </row>
    <row r="14" spans="5:1563" x14ac:dyDescent="0.25">
      <c r="E14" t="s">
        <v>2193</v>
      </c>
      <c r="F14" t="s">
        <v>19</v>
      </c>
      <c r="G14" t="s">
        <v>13</v>
      </c>
      <c r="H14" t="s">
        <v>20</v>
      </c>
      <c r="I14">
        <v>152560</v>
      </c>
      <c r="M14" t="str">
        <f>_xlfn.CONCAT("""",$L$8,"""",":","""",M8,"""",",")</f>
        <v>"mfg":"KOA",</v>
      </c>
      <c r="N14" t="str">
        <f t="shared" ref="N14:BY14" si="50">_xlfn.CONCAT("""",$L$8,"""",":","""",N8,"""",",")</f>
        <v>"mfg":"KOA",</v>
      </c>
      <c r="O14" t="str">
        <f t="shared" si="50"/>
        <v>"mfg":"SAMSUNG",</v>
      </c>
      <c r="P14" t="str">
        <f t="shared" si="50"/>
        <v>"mfg":"WALSIN",</v>
      </c>
      <c r="Q14" t="str">
        <f t="shared" si="50"/>
        <v>"mfg":"YAGEO",</v>
      </c>
      <c r="R14" t="str">
        <f t="shared" si="50"/>
        <v>"mfg":"WALSIN",</v>
      </c>
      <c r="S14" t="str">
        <f t="shared" si="50"/>
        <v>"mfg":"YAGEO",</v>
      </c>
      <c r="T14" t="str">
        <f t="shared" si="50"/>
        <v>"mfg":"WALSIN",</v>
      </c>
      <c r="U14" t="str">
        <f t="shared" si="50"/>
        <v>"mfg":"YAGEO",</v>
      </c>
      <c r="V14" t="str">
        <f t="shared" si="50"/>
        <v>"mfg":"DiodeES INC.",</v>
      </c>
      <c r="W14" t="str">
        <f t="shared" si="50"/>
        <v>"mfg":"BROADCOM",</v>
      </c>
      <c r="X14" t="str">
        <f t="shared" si="50"/>
        <v>"mfg":"BROADCOM",</v>
      </c>
      <c r="Y14" t="str">
        <f t="shared" si="50"/>
        <v>"mfg":"NXP SEMICONDUCTORS",</v>
      </c>
      <c r="Z14" t="str">
        <f t="shared" si="50"/>
        <v>"mfg":"ON SEMICONDUCTOR",</v>
      </c>
      <c r="AA14" t="str">
        <f t="shared" si="50"/>
        <v>"mfg":"NEXPERIA",</v>
      </c>
      <c r="AB14" t="str">
        <f t="shared" si="50"/>
        <v>"mfg":"YAGEO",</v>
      </c>
      <c r="AC14" t="str">
        <f t="shared" si="50"/>
        <v>"mfg":"WALSIN",</v>
      </c>
      <c r="AD14" t="str">
        <f t="shared" si="50"/>
        <v>"mfg":"YAGEO",</v>
      </c>
      <c r="AE14" t="str">
        <f t="shared" si="50"/>
        <v>"mfg":"SAMSUNG",</v>
      </c>
      <c r="AF14" t="str">
        <f t="shared" si="50"/>
        <v>"mfg":"VISHAY",</v>
      </c>
      <c r="AG14" t="str">
        <f t="shared" si="50"/>
        <v>"mfg":"VISHAY",</v>
      </c>
      <c r="AH14" t="str">
        <f t="shared" si="50"/>
        <v>"mfg":"VISHAY",</v>
      </c>
      <c r="AI14" t="str">
        <f t="shared" si="50"/>
        <v>"mfg":"VISHAY",</v>
      </c>
      <c r="AJ14" t="str">
        <f t="shared" si="50"/>
        <v>"mfg":"VISHAY",</v>
      </c>
      <c r="AK14" t="str">
        <f t="shared" si="50"/>
        <v>"mfg":"WALSIN",</v>
      </c>
      <c r="AL14" t="str">
        <f t="shared" si="50"/>
        <v>"mfg":"EPCOS/TDK",</v>
      </c>
      <c r="AM14" t="str">
        <f t="shared" si="50"/>
        <v>"mfg":"KEMET",</v>
      </c>
      <c r="AN14" t="str">
        <f t="shared" si="50"/>
        <v>"mfg":"AVX",</v>
      </c>
      <c r="AO14" t="str">
        <f t="shared" si="50"/>
        <v>"mfg":"SAMSUNG",</v>
      </c>
      <c r="AP14" t="str">
        <f t="shared" si="50"/>
        <v>"mfg":"WALSIN",</v>
      </c>
      <c r="AQ14" t="str">
        <f t="shared" si="50"/>
        <v>"mfg":"WALSIN",</v>
      </c>
      <c r="AR14" t="str">
        <f t="shared" si="50"/>
        <v>"mfg":"YAGEO",</v>
      </c>
      <c r="AS14" t="str">
        <f t="shared" si="50"/>
        <v>"mfg":"KEMET",</v>
      </c>
      <c r="AT14" t="str">
        <f t="shared" si="50"/>
        <v>"mfg":"SAMSUNG",</v>
      </c>
      <c r="AU14" t="str">
        <f t="shared" si="50"/>
        <v>"mfg":"LITTELFUSE",</v>
      </c>
      <c r="AV14" t="str">
        <f t="shared" si="50"/>
        <v>"mfg":"VISHAY",</v>
      </c>
      <c r="AW14" t="str">
        <f t="shared" si="50"/>
        <v>"mfg":"VISHAY",</v>
      </c>
      <c r="AX14" t="str">
        <f t="shared" si="50"/>
        <v>"mfg":"STMICROELECTRONICS",</v>
      </c>
      <c r="AY14" t="str">
        <f t="shared" si="50"/>
        <v>"mfg":"TDK",</v>
      </c>
      <c r="AZ14" t="str">
        <f t="shared" si="50"/>
        <v>"mfg":"MURATA MANUFACTURING",</v>
      </c>
      <c r="BA14" t="str">
        <f t="shared" si="50"/>
        <v>"mfg":"SAMSUNG",</v>
      </c>
      <c r="BB14" t="str">
        <f t="shared" si="50"/>
        <v>"mfg":"YAGEO",</v>
      </c>
      <c r="BC14" t="str">
        <f t="shared" si="50"/>
        <v>"mfg":"MURATA MANUFACTURING",</v>
      </c>
      <c r="BD14" t="str">
        <f t="shared" si="50"/>
        <v>"mfg":"WALSIN",</v>
      </c>
      <c r="BE14" t="str">
        <f t="shared" si="50"/>
        <v>"mfg":"SAMSUNG",</v>
      </c>
      <c r="BF14" t="str">
        <f t="shared" si="50"/>
        <v>"mfg":"SAMSUNG",</v>
      </c>
      <c r="BG14" t="str">
        <f t="shared" si="50"/>
        <v>"mfg":"MURATA MANUFACTURING",</v>
      </c>
      <c r="BH14" t="str">
        <f t="shared" si="50"/>
        <v>"mfg":"TAIYO YUDEN",</v>
      </c>
      <c r="BI14" t="str">
        <f t="shared" si="50"/>
        <v>"mfg":"TAIYO YUDEN",</v>
      </c>
      <c r="BJ14" t="str">
        <f t="shared" si="50"/>
        <v>"mfg":"TAIYO YUDEN",</v>
      </c>
      <c r="BK14" t="str">
        <f t="shared" si="50"/>
        <v>"mfg":"TAIYO YUDEN",</v>
      </c>
      <c r="BL14" t="str">
        <f t="shared" si="50"/>
        <v>"mfg":"TAIYO YUDEN",</v>
      </c>
      <c r="BM14" t="str">
        <f t="shared" si="50"/>
        <v>"mfg":"SAMSUNG",</v>
      </c>
      <c r="BN14" t="str">
        <f t="shared" si="50"/>
        <v>"mfg":"WALSIN",</v>
      </c>
      <c r="BO14" t="str">
        <f t="shared" si="50"/>
        <v>"mfg":"ON SEMICONDUCTOR",</v>
      </c>
      <c r="BP14" t="str">
        <f t="shared" si="50"/>
        <v>"mfg":"YAGEO",</v>
      </c>
      <c r="BQ14" t="str">
        <f t="shared" si="50"/>
        <v>"mfg":"YAGEO",</v>
      </c>
      <c r="BR14" t="str">
        <f t="shared" si="50"/>
        <v>"mfg":"VISHAY",</v>
      </c>
      <c r="BS14" t="str">
        <f t="shared" si="50"/>
        <v>"mfg":"KOA",</v>
      </c>
      <c r="BT14" t="str">
        <f t="shared" si="50"/>
        <v>"mfg":"WALSIN",</v>
      </c>
      <c r="BU14" t="str">
        <f t="shared" si="50"/>
        <v>"mfg":"BOURNS",</v>
      </c>
      <c r="BV14" t="str">
        <f t="shared" si="50"/>
        <v>"mfg":"AVX",</v>
      </c>
      <c r="BW14" t="str">
        <f t="shared" si="50"/>
        <v>"mfg":"DiodeES INC.",</v>
      </c>
      <c r="BX14" t="str">
        <f t="shared" si="50"/>
        <v>"mfg":"ON SEMICONDUCTOR",</v>
      </c>
      <c r="BY14" t="str">
        <f t="shared" si="50"/>
        <v>"mfg":"NEXPERIA",</v>
      </c>
      <c r="BZ14" t="str">
        <f t="shared" ref="BZ14:EK14" si="51">_xlfn.CONCAT("""",$L$8,"""",":","""",BZ8,"""",",")</f>
        <v>"mfg":"YAGEO",</v>
      </c>
      <c r="CA14" t="str">
        <f t="shared" si="51"/>
        <v>"mfg":"KEMET",</v>
      </c>
      <c r="CB14" t="str">
        <f t="shared" si="51"/>
        <v>"mfg":"KEMET",</v>
      </c>
      <c r="CC14" t="str">
        <f t="shared" si="51"/>
        <v>"mfg":"MURATA MANUFACTURING",</v>
      </c>
      <c r="CD14" t="str">
        <f t="shared" si="51"/>
        <v>"mfg":"AVX",</v>
      </c>
      <c r="CE14" t="str">
        <f t="shared" si="51"/>
        <v>"mfg":"SAMSUNG",</v>
      </c>
      <c r="CF14" t="str">
        <f t="shared" si="51"/>
        <v>"mfg":"WALSIN",</v>
      </c>
      <c r="CG14" t="str">
        <f t="shared" si="51"/>
        <v>"mfg":"YAGEO",</v>
      </c>
      <c r="CH14" t="str">
        <f t="shared" si="51"/>
        <v>"mfg":"YAGEO",</v>
      </c>
      <c r="CI14" t="str">
        <f t="shared" si="51"/>
        <v>"mfg":"YAGEO",</v>
      </c>
      <c r="CJ14" t="str">
        <f t="shared" si="51"/>
        <v>"mfg":"WALSIN",</v>
      </c>
      <c r="CK14" t="str">
        <f t="shared" si="51"/>
        <v>"mfg":"VISHAY",</v>
      </c>
      <c r="CL14" t="str">
        <f t="shared" si="51"/>
        <v>"mfg":"OSRAM",</v>
      </c>
      <c r="CM14" t="str">
        <f t="shared" si="51"/>
        <v>"mfg":"OSRAM",</v>
      </c>
      <c r="CN14" t="str">
        <f t="shared" si="51"/>
        <v>"mfg":"OSRAM",</v>
      </c>
      <c r="CO14" t="str">
        <f t="shared" si="51"/>
        <v>"mfg":"OSRAM",</v>
      </c>
      <c r="CP14" t="str">
        <f t="shared" si="51"/>
        <v>"mfg":"OSRAM",</v>
      </c>
      <c r="CQ14" t="str">
        <f t="shared" si="51"/>
        <v>"mfg":"OSRAM",</v>
      </c>
      <c r="CR14" t="str">
        <f t="shared" si="51"/>
        <v>"mfg":"OSRAM",</v>
      </c>
      <c r="CS14" t="str">
        <f t="shared" si="51"/>
        <v>"mfg":"YAGEO",</v>
      </c>
      <c r="CT14" t="str">
        <f t="shared" si="51"/>
        <v>"mfg":"YAGEO",</v>
      </c>
      <c r="CU14" t="str">
        <f t="shared" si="51"/>
        <v>"mfg":"WALSIN",</v>
      </c>
      <c r="CV14" t="str">
        <f t="shared" si="51"/>
        <v>"mfg":"WIMA",</v>
      </c>
      <c r="CW14" t="str">
        <f t="shared" si="51"/>
        <v>"mfg":"WIMA",</v>
      </c>
      <c r="CX14" t="str">
        <f t="shared" si="51"/>
        <v>"mfg":"KEMET",</v>
      </c>
      <c r="CY14" t="str">
        <f t="shared" si="51"/>
        <v>"mfg":"VISHAY",</v>
      </c>
      <c r="CZ14" t="str">
        <f t="shared" si="51"/>
        <v>"mfg":"WALSIN",</v>
      </c>
      <c r="DA14" t="str">
        <f t="shared" si="51"/>
        <v>"mfg":"EVERLIGHT",</v>
      </c>
      <c r="DB14" t="str">
        <f t="shared" si="51"/>
        <v>"mfg":"KINGBRIGHT",</v>
      </c>
      <c r="DC14" t="str">
        <f t="shared" si="51"/>
        <v>"mfg":"KINGBRIGHT",</v>
      </c>
      <c r="DD14" t="str">
        <f t="shared" si="51"/>
        <v>"mfg":"OSRAM",</v>
      </c>
      <c r="DE14" t="str">
        <f t="shared" si="51"/>
        <v>"mfg":"OSRAM",</v>
      </c>
      <c r="DF14" t="str">
        <f t="shared" si="51"/>
        <v>"mfg":"OSRAM",</v>
      </c>
      <c r="DG14" t="str">
        <f t="shared" si="51"/>
        <v>"mfg":"DIALIGHT",</v>
      </c>
      <c r="DH14" t="str">
        <f t="shared" si="51"/>
        <v>"mfg":"SAMSUNG",</v>
      </c>
      <c r="DI14" t="str">
        <f t="shared" si="51"/>
        <v>"mfg":"RICHTEK",</v>
      </c>
      <c r="DJ14" t="str">
        <f t="shared" si="51"/>
        <v>"mfg":"WALSIN",</v>
      </c>
      <c r="DK14" t="str">
        <f t="shared" si="51"/>
        <v>"mfg":"KEMET",</v>
      </c>
      <c r="DL14" t="str">
        <f t="shared" si="51"/>
        <v>"mfg":"AVX",</v>
      </c>
      <c r="DM14" t="str">
        <f t="shared" si="51"/>
        <v>"mfg":"WALSIN",</v>
      </c>
      <c r="DN14" t="str">
        <f t="shared" si="51"/>
        <v>"mfg":"TEXAS INSTRUMENTS",</v>
      </c>
      <c r="DO14" t="str">
        <f t="shared" si="51"/>
        <v>"mfg":"RENESAS",</v>
      </c>
      <c r="DP14" t="str">
        <f t="shared" si="51"/>
        <v>"mfg":"TEXAS INSTRUMENTS (CANCEL",</v>
      </c>
      <c r="DQ14" t="str">
        <f t="shared" si="51"/>
        <v>"mfg":"YAGEO",</v>
      </c>
      <c r="DR14" t="str">
        <f t="shared" si="51"/>
        <v>"mfg":"WALSIN",</v>
      </c>
      <c r="DS14" t="str">
        <f t="shared" si="51"/>
        <v>"mfg":"WALSIN",</v>
      </c>
      <c r="DT14" t="str">
        <f t="shared" si="51"/>
        <v>"mfg":"YAGEO",</v>
      </c>
      <c r="DU14" t="str">
        <f t="shared" si="51"/>
        <v>"mfg":"SAMSUNG",</v>
      </c>
      <c r="DV14" t="str">
        <f t="shared" si="51"/>
        <v>"mfg":"MOLEX",</v>
      </c>
      <c r="DW14" t="str">
        <f t="shared" si="51"/>
        <v>"mfg":"SAMSUNG",</v>
      </c>
      <c r="DX14" t="str">
        <f t="shared" si="51"/>
        <v>"mfg":"WALSIN",</v>
      </c>
      <c r="DY14" t="str">
        <f t="shared" si="51"/>
        <v>"mfg":"YAGEO",</v>
      </c>
      <c r="DZ14" t="str">
        <f t="shared" si="51"/>
        <v>"mfg":"WALSIN",</v>
      </c>
      <c r="EA14" t="str">
        <f t="shared" si="51"/>
        <v>"mfg":"YAGEO",</v>
      </c>
      <c r="EB14" t="str">
        <f t="shared" si="51"/>
        <v>"mfg":"KEMET",</v>
      </c>
      <c r="EC14" t="str">
        <f t="shared" si="51"/>
        <v>"mfg":"KEMET",</v>
      </c>
      <c r="ED14" t="str">
        <f t="shared" si="51"/>
        <v>"mfg":"SAMSUNG",</v>
      </c>
      <c r="EE14" t="str">
        <f t="shared" si="51"/>
        <v>"mfg":"WALSIN",</v>
      </c>
      <c r="EF14" t="str">
        <f t="shared" si="51"/>
        <v>"mfg":"EVERLIGHT",</v>
      </c>
      <c r="EG14" t="str">
        <f t="shared" si="51"/>
        <v>"mfg":"WALSIN",</v>
      </c>
      <c r="EH14" t="str">
        <f t="shared" si="51"/>
        <v>"mfg":"PANASONIC",</v>
      </c>
      <c r="EI14" t="str">
        <f t="shared" si="51"/>
        <v>"mfg":"WALSIN",</v>
      </c>
      <c r="EJ14" t="str">
        <f t="shared" si="51"/>
        <v>"mfg":"WALSIN",</v>
      </c>
      <c r="EK14" t="str">
        <f t="shared" si="51"/>
        <v>"mfg":"LITTELFUSE",</v>
      </c>
      <c r="EL14" t="str">
        <f t="shared" ref="EL14:GW14" si="52">_xlfn.CONCAT("""",$L$8,"""",":","""",EL8,"""",",")</f>
        <v>"mfg":"WURTH ELEKTRONIK",</v>
      </c>
      <c r="EM14" t="str">
        <f t="shared" si="52"/>
        <v>"mfg":"PULSE",</v>
      </c>
      <c r="EN14" t="str">
        <f t="shared" si="52"/>
        <v>"mfg":"MURATA MANUFACTURING",</v>
      </c>
      <c r="EO14" t="str">
        <f t="shared" si="52"/>
        <v>"mfg":"WALSIN",</v>
      </c>
      <c r="EP14" t="str">
        <f t="shared" si="52"/>
        <v>"mfg":"YAGEO",</v>
      </c>
      <c r="EQ14" t="str">
        <f t="shared" si="52"/>
        <v>"mfg":"YAGEO",</v>
      </c>
      <c r="ER14" t="str">
        <f t="shared" si="52"/>
        <v>"mfg":"KEMET",</v>
      </c>
      <c r="ES14" t="str">
        <f t="shared" si="52"/>
        <v>"mfg":"YAGEO",</v>
      </c>
      <c r="ET14" t="str">
        <f t="shared" si="52"/>
        <v>"mfg":"WALSIN",</v>
      </c>
      <c r="EU14" t="str">
        <f t="shared" si="52"/>
        <v>"mfg":"WALSIN",</v>
      </c>
      <c r="EV14" t="str">
        <f t="shared" si="52"/>
        <v>"mfg":"DiodeES INC.",</v>
      </c>
      <c r="EW14" t="str">
        <f t="shared" si="52"/>
        <v>"mfg":"DiodeES INC.",</v>
      </c>
      <c r="EX14" t="str">
        <f t="shared" si="52"/>
        <v>"mfg":"ON SEMICONDUCTOR",</v>
      </c>
      <c r="EY14" t="str">
        <f t="shared" si="52"/>
        <v>"mfg":"ON SEMICONDUCTOR",</v>
      </c>
      <c r="EZ14" t="str">
        <f t="shared" si="52"/>
        <v>"mfg":"TE CONNECTIVITY",</v>
      </c>
      <c r="FA14" t="str">
        <f t="shared" si="52"/>
        <v>"mfg":"SAMWHA",</v>
      </c>
      <c r="FB14" t="str">
        <f t="shared" si="52"/>
        <v>"mfg":"STACKPOLE ELECTRONICS INC",</v>
      </c>
      <c r="FC14" t="str">
        <f t="shared" si="52"/>
        <v>"mfg":"WALSIN",</v>
      </c>
      <c r="FD14" t="str">
        <f t="shared" si="52"/>
        <v>"mfg":"YAGEO",</v>
      </c>
      <c r="FE14" t="str">
        <f t="shared" si="52"/>
        <v>"mfg":"SAMSUNG",</v>
      </c>
      <c r="FF14" t="str">
        <f t="shared" si="52"/>
        <v>"mfg":"YAGEO",</v>
      </c>
      <c r="FG14" t="str">
        <f t="shared" si="52"/>
        <v>"mfg":"NXP SEMICONDUCTORS",</v>
      </c>
      <c r="FH14" t="str">
        <f t="shared" si="52"/>
        <v>"mfg":"NEXPERIA",</v>
      </c>
      <c r="FI14" t="str">
        <f t="shared" si="52"/>
        <v>"mfg":"KEMET",</v>
      </c>
      <c r="FJ14" t="str">
        <f t="shared" si="52"/>
        <v>"mfg":"KEMET",</v>
      </c>
      <c r="FK14" t="str">
        <f t="shared" si="52"/>
        <v>"mfg":"MURATA MANUFACTURING",</v>
      </c>
      <c r="FL14" t="str">
        <f t="shared" si="52"/>
        <v>"mfg":"STMICROELECTRONICS",</v>
      </c>
      <c r="FM14" t="str">
        <f t="shared" si="52"/>
        <v>"mfg":"BRIGHTKING",</v>
      </c>
      <c r="FN14" t="str">
        <f t="shared" si="52"/>
        <v>"mfg":"EVERLIGHT",</v>
      </c>
      <c r="FO14" t="str">
        <f t="shared" si="52"/>
        <v>"mfg":"EVERLIGHT",</v>
      </c>
      <c r="FP14" t="str">
        <f t="shared" si="52"/>
        <v>"mfg":"SPC TECHNOLOGY",</v>
      </c>
      <c r="FQ14" t="str">
        <f t="shared" si="52"/>
        <v>"mfg":"RICOH",</v>
      </c>
      <c r="FR14" t="str">
        <f t="shared" si="52"/>
        <v>"mfg":"NISSHINBO",</v>
      </c>
      <c r="FS14" t="str">
        <f t="shared" si="52"/>
        <v>"mfg":"WALSIN",</v>
      </c>
      <c r="FT14" t="str">
        <f t="shared" si="52"/>
        <v>"mfg":"DiodeES INC.",</v>
      </c>
      <c r="FU14" t="str">
        <f t="shared" si="52"/>
        <v>"mfg":"DiodeES INC.",</v>
      </c>
      <c r="FV14" t="str">
        <f t="shared" si="52"/>
        <v>"mfg":"WELL FORE SPECIAL WIRE",</v>
      </c>
      <c r="FW14" t="str">
        <f t="shared" si="52"/>
        <v>"mfg":"WELL FORE SPECIAL WIRE",</v>
      </c>
      <c r="FX14" t="str">
        <f t="shared" si="52"/>
        <v>"mfg":"KEMET",</v>
      </c>
      <c r="FY14" t="str">
        <f t="shared" si="52"/>
        <v>"mfg":"SAMSUNG",</v>
      </c>
      <c r="FZ14" t="str">
        <f t="shared" si="52"/>
        <v>"mfg":"WALSIN",</v>
      </c>
      <c r="GA14" t="str">
        <f t="shared" si="52"/>
        <v>"mfg":"SAMSUNG",</v>
      </c>
      <c r="GB14" t="str">
        <f t="shared" si="52"/>
        <v>"mfg":"TDK",</v>
      </c>
      <c r="GC14" t="str">
        <f t="shared" si="52"/>
        <v>"mfg":"WALSIN",</v>
      </c>
      <c r="GD14" t="str">
        <f t="shared" si="52"/>
        <v>"mfg":"YAGEO",</v>
      </c>
      <c r="GE14" t="str">
        <f t="shared" si="52"/>
        <v>"mfg":"MOLEX",</v>
      </c>
      <c r="GF14" t="str">
        <f t="shared" si="52"/>
        <v>"mfg":"MOLEX",</v>
      </c>
      <c r="GG14" t="str">
        <f t="shared" si="52"/>
        <v>"mfg":"MOLEX",</v>
      </c>
      <c r="GH14" t="str">
        <f t="shared" si="52"/>
        <v>"mfg":"NICHICON",</v>
      </c>
      <c r="GI14" t="str">
        <f t="shared" si="52"/>
        <v>"mfg":"SAMWHA",</v>
      </c>
      <c r="GJ14" t="str">
        <f t="shared" si="52"/>
        <v>"mfg":"WALSIN",</v>
      </c>
      <c r="GK14" t="str">
        <f t="shared" si="52"/>
        <v>"mfg":"YAGEO",</v>
      </c>
      <c r="GL14" t="str">
        <f t="shared" si="52"/>
        <v>"mfg":"FAIRCHILD SEMICONDUCTOR",</v>
      </c>
      <c r="GM14" t="str">
        <f t="shared" si="52"/>
        <v>"mfg":"ON SEMICONDUCTOR",</v>
      </c>
      <c r="GN14" t="str">
        <f t="shared" si="52"/>
        <v>"mfg":"YAGEO",</v>
      </c>
      <c r="GO14" t="str">
        <f t="shared" si="52"/>
        <v>"mfg":"PANASONIC",</v>
      </c>
      <c r="GP14" t="str">
        <f t="shared" si="52"/>
        <v>"mfg":"VISHAY",</v>
      </c>
      <c r="GQ14" t="str">
        <f t="shared" si="52"/>
        <v>"mfg":"NICHICON",</v>
      </c>
      <c r="GR14" t="str">
        <f t="shared" si="52"/>
        <v>"mfg":"SAMWHA",</v>
      </c>
      <c r="GS14" t="str">
        <f t="shared" si="52"/>
        <v>"mfg":"MOLEX",</v>
      </c>
      <c r="GT14" t="str">
        <f t="shared" si="52"/>
        <v>"mfg":"YAGEO",</v>
      </c>
      <c r="GU14" t="str">
        <f t="shared" si="52"/>
        <v>"mfg":"YAGEO",</v>
      </c>
      <c r="GV14" t="str">
        <f t="shared" si="52"/>
        <v>"mfg":"TDK",</v>
      </c>
      <c r="GW14" t="str">
        <f t="shared" si="52"/>
        <v>"mfg":"PANASONIC",</v>
      </c>
      <c r="GX14" t="str">
        <f t="shared" ref="GX14:JI14" si="53">_xlfn.CONCAT("""",$L$8,"""",":","""",GX8,"""",",")</f>
        <v>"mfg":"WALSIN",</v>
      </c>
      <c r="GY14" t="str">
        <f t="shared" si="53"/>
        <v>"mfg":"KEMET",</v>
      </c>
      <c r="GZ14" t="str">
        <f t="shared" si="53"/>
        <v>"mfg":"VISHAY",</v>
      </c>
      <c r="HA14" t="str">
        <f t="shared" si="53"/>
        <v>"mfg":"YAGEO",</v>
      </c>
      <c r="HB14" t="str">
        <f t="shared" si="53"/>
        <v>"mfg":"YAGEO",</v>
      </c>
      <c r="HC14" t="str">
        <f t="shared" si="53"/>
        <v>"mfg":"WELL FORE SPECIAL WIRE",</v>
      </c>
      <c r="HD14" t="str">
        <f t="shared" si="53"/>
        <v>"mfg":"YAGEO",</v>
      </c>
      <c r="HE14" t="str">
        <f t="shared" si="53"/>
        <v>"mfg":"YAGEO",</v>
      </c>
      <c r="HF14" t="str">
        <f t="shared" si="53"/>
        <v>"mfg":"WALSIN",</v>
      </c>
      <c r="HG14" t="str">
        <f t="shared" si="53"/>
        <v>"mfg":"TE CONNECTIVITY",</v>
      </c>
      <c r="HH14" t="str">
        <f t="shared" si="53"/>
        <v>"mfg":"LITTELFUSE",</v>
      </c>
      <c r="HI14" t="str">
        <f t="shared" si="53"/>
        <v>"mfg":"LITTELFUSE",</v>
      </c>
      <c r="HJ14" t="str">
        <f t="shared" si="53"/>
        <v>"mfg":"FARATRONIC",</v>
      </c>
      <c r="HK14" t="str">
        <f t="shared" si="53"/>
        <v>"mfg":"YAGEO",</v>
      </c>
      <c r="HL14" t="str">
        <f t="shared" si="53"/>
        <v>"mfg":"NXP SEMICONDUCTORS",</v>
      </c>
      <c r="HM14" t="str">
        <f t="shared" si="53"/>
        <v>"mfg":"ON SEMICONDUCTOR",</v>
      </c>
      <c r="HN14" t="str">
        <f t="shared" si="53"/>
        <v>"mfg":"STMICROELECTRONICS",</v>
      </c>
      <c r="HO14" t="str">
        <f t="shared" si="53"/>
        <v>"mfg":"TAIWAN SEMICONDUCTOR",</v>
      </c>
      <c r="HP14" t="str">
        <f t="shared" si="53"/>
        <v>"mfg":"TAIWAN SEMICONDUCTOR",</v>
      </c>
      <c r="HQ14" t="str">
        <f t="shared" si="53"/>
        <v>"mfg":"YAGEO",</v>
      </c>
      <c r="HR14" t="str">
        <f t="shared" si="53"/>
        <v>"mfg":"WALSIN",</v>
      </c>
      <c r="HS14" t="str">
        <f t="shared" si="53"/>
        <v>"mfg":"KOA",</v>
      </c>
      <c r="HT14" t="str">
        <f t="shared" si="53"/>
        <v>"mfg":"KOA",</v>
      </c>
      <c r="HU14" t="str">
        <f t="shared" si="53"/>
        <v>"mfg":"YAGEO",</v>
      </c>
      <c r="HV14" t="str">
        <f t="shared" si="53"/>
        <v>"mfg":"WURTH ELEKTRONIK",</v>
      </c>
      <c r="HW14" t="str">
        <f t="shared" si="53"/>
        <v>"mfg":"YAGEO",</v>
      </c>
      <c r="HX14" t="str">
        <f t="shared" si="53"/>
        <v>"mfg":"YAGEO",</v>
      </c>
      <c r="HY14" t="str">
        <f t="shared" si="53"/>
        <v>"mfg":"WALSIN",</v>
      </c>
      <c r="HZ14" t="str">
        <f t="shared" si="53"/>
        <v>"mfg":"WALSIN",</v>
      </c>
      <c r="IA14" t="str">
        <f t="shared" si="53"/>
        <v>"mfg":"EPCOS/TDK",</v>
      </c>
      <c r="IB14" t="str">
        <f t="shared" si="53"/>
        <v>"mfg":"KEMET",</v>
      </c>
      <c r="IC14" t="str">
        <f t="shared" si="53"/>
        <v>"mfg":"VISHAY",</v>
      </c>
      <c r="ID14" t="str">
        <f t="shared" si="53"/>
        <v>"mfg":"YAGEO",</v>
      </c>
      <c r="IE14" t="str">
        <f t="shared" si="53"/>
        <v>"mfg":"KOA",</v>
      </c>
      <c r="IF14" t="str">
        <f t="shared" si="53"/>
        <v>"mfg":"ROYAL OHM",</v>
      </c>
      <c r="IG14" t="str">
        <f t="shared" si="53"/>
        <v>"mfg":"STACKPOLE ELECTRONICS INC",</v>
      </c>
      <c r="IH14" t="str">
        <f t="shared" si="53"/>
        <v>"mfg":"YAGEO",</v>
      </c>
      <c r="II14" t="str">
        <f t="shared" si="53"/>
        <v>"mfg":"YAGEO",</v>
      </c>
      <c r="IJ14" t="str">
        <f t="shared" si="53"/>
        <v>"mfg":"VISHAY",</v>
      </c>
      <c r="IK14" t="str">
        <f t="shared" si="53"/>
        <v>"mfg":"MCC",</v>
      </c>
      <c r="IL14" t="str">
        <f t="shared" si="53"/>
        <v>"mfg":"YAGEO",</v>
      </c>
      <c r="IM14" t="str">
        <f t="shared" si="53"/>
        <v>"mfg":"KEMET",</v>
      </c>
      <c r="IN14" t="str">
        <f t="shared" si="53"/>
        <v>"mfg":"AVX",</v>
      </c>
      <c r="IO14" t="str">
        <f t="shared" si="53"/>
        <v>"mfg":"NICHICON",</v>
      </c>
      <c r="IP14" t="str">
        <f t="shared" si="53"/>
        <v>"mfg":"ROYAL OHM",</v>
      </c>
      <c r="IQ14" t="str">
        <f t="shared" si="53"/>
        <v>"mfg":"ROYAL OHM",</v>
      </c>
      <c r="IR14" t="str">
        <f t="shared" si="53"/>
        <v>"mfg":"WALSIN",</v>
      </c>
      <c r="IS14" t="str">
        <f t="shared" si="53"/>
        <v>"mfg":"VISHAY",</v>
      </c>
      <c r="IT14" t="str">
        <f t="shared" si="53"/>
        <v>"mfg":"MURATA MANUFACTURING",</v>
      </c>
      <c r="IU14" t="str">
        <f t="shared" si="53"/>
        <v>"mfg":"Syfer",</v>
      </c>
      <c r="IV14" t="str">
        <f t="shared" si="53"/>
        <v>"mfg":"JOHANSON",</v>
      </c>
      <c r="IW14" t="str">
        <f t="shared" si="53"/>
        <v>"mfg":"LITTELFUSE",</v>
      </c>
      <c r="IX14" t="str">
        <f t="shared" si="53"/>
        <v>"mfg":"SAMSUNG",</v>
      </c>
      <c r="IY14" t="str">
        <f t="shared" si="53"/>
        <v>"mfg":"SAMSUNG",</v>
      </c>
      <c r="IZ14" t="str">
        <f t="shared" si="53"/>
        <v>"mfg":"ROYAL OHM",</v>
      </c>
      <c r="JA14" t="str">
        <f t="shared" si="53"/>
        <v>"mfg":"ROYAL OHM",</v>
      </c>
      <c r="JB14" t="str">
        <f t="shared" si="53"/>
        <v>"mfg":"EVERLIGHT",</v>
      </c>
      <c r="JC14" t="str">
        <f t="shared" si="53"/>
        <v>"mfg":"BOURNS",</v>
      </c>
      <c r="JD14" t="str">
        <f t="shared" si="53"/>
        <v>"mfg":"BI TECHNOLOGIES",</v>
      </c>
      <c r="JE14" t="str">
        <f t="shared" si="53"/>
        <v>"mfg":"PANASONIC",</v>
      </c>
      <c r="JF14" t="str">
        <f t="shared" si="53"/>
        <v>"mfg":"WALSIN",</v>
      </c>
      <c r="JG14" t="str">
        <f t="shared" si="53"/>
        <v>"mfg":"YAGEO",</v>
      </c>
      <c r="JH14" t="str">
        <f t="shared" si="53"/>
        <v>"mfg":"VISHAY",</v>
      </c>
      <c r="JI14" t="str">
        <f t="shared" si="53"/>
        <v>"mfg":"OSRAM",</v>
      </c>
      <c r="JJ14" t="str">
        <f t="shared" ref="JJ14:LU14" si="54">_xlfn.CONCAT("""",$L$8,"""",":","""",JJ8,"""",",")</f>
        <v>"mfg":"PANASONIC",</v>
      </c>
      <c r="JK14" t="str">
        <f t="shared" si="54"/>
        <v>"mfg":"YAGEO",</v>
      </c>
      <c r="JL14" t="str">
        <f t="shared" si="54"/>
        <v>"mfg":"KOA",</v>
      </c>
      <c r="JM14" t="str">
        <f t="shared" si="54"/>
        <v>"mfg":"ROYAL OHM",</v>
      </c>
      <c r="JN14" t="str">
        <f t="shared" si="54"/>
        <v>"mfg":"VISHAY",</v>
      </c>
      <c r="JO14" t="str">
        <f t="shared" si="54"/>
        <v>"mfg":"KOA",</v>
      </c>
      <c r="JP14" t="str">
        <f t="shared" si="54"/>
        <v>"mfg":"KOA",</v>
      </c>
      <c r="JQ14" t="str">
        <f t="shared" si="54"/>
        <v>"mfg":"ROYAL OHM",</v>
      </c>
      <c r="JR14" t="str">
        <f t="shared" si="54"/>
        <v>"mfg":"BOURNS",</v>
      </c>
      <c r="JS14" t="str">
        <f t="shared" si="54"/>
        <v>"mfg":"BOURNS",</v>
      </c>
      <c r="JT14" t="str">
        <f t="shared" si="54"/>
        <v>"mfg":"KEYSTONE ELECTRONICS",</v>
      </c>
      <c r="JU14" t="str">
        <f t="shared" si="54"/>
        <v>"mfg":"YAGEO",</v>
      </c>
      <c r="JV14" t="str">
        <f t="shared" si="54"/>
        <v>"mfg":"WEEN",</v>
      </c>
      <c r="JW14" t="str">
        <f t="shared" si="54"/>
        <v>"mfg":"WEEN",</v>
      </c>
      <c r="JX14" t="str">
        <f t="shared" si="54"/>
        <v>"mfg":"YAGEO",</v>
      </c>
      <c r="JY14" t="str">
        <f t="shared" si="54"/>
        <v>"mfg":"STMICROELECTRONICS",</v>
      </c>
      <c r="JZ14" t="str">
        <f t="shared" si="54"/>
        <v>"mfg":"AVX",</v>
      </c>
      <c r="KA14" t="str">
        <f t="shared" si="54"/>
        <v>"mfg":"TEXAS INSTRUMENTS",</v>
      </c>
      <c r="KB14" t="str">
        <f t="shared" si="54"/>
        <v>"mfg":"TEXAS INSTRUMENTS",</v>
      </c>
      <c r="KC14" t="str">
        <f t="shared" si="54"/>
        <v>"mfg":"ON SEMICONDUCTOR",</v>
      </c>
      <c r="KD14" t="str">
        <f t="shared" si="54"/>
        <v>"mfg":"EPCOS/TDK",</v>
      </c>
      <c r="KE14" t="str">
        <f t="shared" si="54"/>
        <v>"mfg":"EPCOS/TDK",</v>
      </c>
      <c r="KF14" t="str">
        <f t="shared" si="54"/>
        <v>"mfg":"EPCOS/TDK",</v>
      </c>
      <c r="KG14" t="str">
        <f t="shared" si="54"/>
        <v>"mfg":"KEMET",</v>
      </c>
      <c r="KH14" t="str">
        <f t="shared" si="54"/>
        <v>"mfg":"KEMET",</v>
      </c>
      <c r="KI14" t="str">
        <f t="shared" si="54"/>
        <v>"mfg":"YAGEO",</v>
      </c>
      <c r="KJ14" t="str">
        <f t="shared" si="54"/>
        <v>"mfg":"ON SEMICONDUCTOR",</v>
      </c>
      <c r="KK14" t="str">
        <f t="shared" si="54"/>
        <v>"mfg":"YAGEO",</v>
      </c>
      <c r="KL14" t="str">
        <f t="shared" si="54"/>
        <v>"mfg":"KOA",</v>
      </c>
      <c r="KM14" t="str">
        <f t="shared" si="54"/>
        <v>"mfg":"ROYAL OHM",</v>
      </c>
      <c r="KN14" t="str">
        <f t="shared" si="54"/>
        <v>"mfg":"STACKPOLE ELECTRONICS INC",</v>
      </c>
      <c r="KO14" t="str">
        <f t="shared" si="54"/>
        <v>"mfg":"KEMET",</v>
      </c>
      <c r="KP14" t="str">
        <f t="shared" si="54"/>
        <v>"mfg":"KEMET",</v>
      </c>
      <c r="KQ14" t="str">
        <f t="shared" si="54"/>
        <v>"mfg":"KEMET",</v>
      </c>
      <c r="KR14" t="str">
        <f t="shared" si="54"/>
        <v>"mfg":"TDK",</v>
      </c>
      <c r="KS14" t="str">
        <f t="shared" si="54"/>
        <v>"mfg":"YAGEO",</v>
      </c>
      <c r="KT14" t="str">
        <f t="shared" si="54"/>
        <v>"mfg":"BROADCOM",</v>
      </c>
      <c r="KU14" t="str">
        <f t="shared" si="54"/>
        <v>"mfg":"BROADCOM",</v>
      </c>
      <c r="KV14" t="str">
        <f t="shared" si="54"/>
        <v>"mfg":"BROADCOM",</v>
      </c>
      <c r="KW14" t="str">
        <f t="shared" si="54"/>
        <v>"mfg":"YAGEO",</v>
      </c>
      <c r="KX14" t="str">
        <f t="shared" si="54"/>
        <v>"mfg":"VISHAY",</v>
      </c>
      <c r="KY14" t="str">
        <f t="shared" si="54"/>
        <v>"mfg":"VISHAY",</v>
      </c>
      <c r="KZ14" t="str">
        <f t="shared" si="54"/>
        <v>"mfg":"VISHAY",</v>
      </c>
      <c r="LA14" t="str">
        <f t="shared" si="54"/>
        <v>"mfg":"DiodeES INC.",</v>
      </c>
      <c r="LB14" t="str">
        <f t="shared" si="54"/>
        <v>"mfg":"ON SEMICONDUCTOR",</v>
      </c>
      <c r="LC14" t="str">
        <f t="shared" si="54"/>
        <v>"mfg":"YAGEO",</v>
      </c>
      <c r="LD14" t="str">
        <f t="shared" si="54"/>
        <v>"mfg":"KEMET",</v>
      </c>
      <c r="LE14" t="str">
        <f t="shared" si="54"/>
        <v>"mfg":"SAMSUNG",</v>
      </c>
      <c r="LF14" t="str">
        <f t="shared" si="54"/>
        <v>"mfg":"WALSIN",</v>
      </c>
      <c r="LG14" t="str">
        <f t="shared" si="54"/>
        <v>"mfg":"WALSIN",</v>
      </c>
      <c r="LH14" t="str">
        <f t="shared" si="54"/>
        <v>"mfg":"YAGEO",</v>
      </c>
      <c r="LI14" t="str">
        <f t="shared" si="54"/>
        <v>"mfg":"YAGEO",</v>
      </c>
      <c r="LJ14" t="str">
        <f t="shared" si="54"/>
        <v>"mfg":"WALSIN",</v>
      </c>
      <c r="LK14" t="str">
        <f t="shared" si="54"/>
        <v>"mfg":"YAGEO",</v>
      </c>
      <c r="LL14" t="str">
        <f t="shared" si="54"/>
        <v>"mfg":"VISHAY",</v>
      </c>
      <c r="LM14" t="str">
        <f t="shared" si="54"/>
        <v>"mfg":"ROYAL OHM",</v>
      </c>
      <c r="LN14" t="str">
        <f t="shared" si="54"/>
        <v>"mfg":"YAGEO",</v>
      </c>
      <c r="LO14" t="str">
        <f t="shared" si="54"/>
        <v>"mfg":"KEMET",</v>
      </c>
      <c r="LP14" t="str">
        <f t="shared" si="54"/>
        <v>"mfg":"AVX",</v>
      </c>
      <c r="LQ14" t="str">
        <f t="shared" si="54"/>
        <v>"mfg":"TDK",</v>
      </c>
      <c r="LR14" t="str">
        <f t="shared" si="54"/>
        <v>"mfg":"YAGEO",</v>
      </c>
      <c r="LS14" t="str">
        <f t="shared" si="54"/>
        <v>"mfg":"YAGEO",</v>
      </c>
      <c r="LT14" t="str">
        <f t="shared" si="54"/>
        <v>"mfg":"ROYAL OHM",</v>
      </c>
      <c r="LU14" t="str">
        <f t="shared" si="54"/>
        <v>"mfg":"YAGEO",</v>
      </c>
      <c r="LV14" t="str">
        <f t="shared" ref="LV14:OG14" si="55">_xlfn.CONCAT("""",$L$8,"""",":","""",LV8,"""",",")</f>
        <v>"mfg":"YAGEO",</v>
      </c>
      <c r="LW14" t="str">
        <f t="shared" si="55"/>
        <v>"mfg":"ROYAL OHM",</v>
      </c>
      <c r="LX14" t="str">
        <f t="shared" si="55"/>
        <v>"mfg":"EPCOS/TDK",</v>
      </c>
      <c r="LY14" t="str">
        <f t="shared" si="55"/>
        <v>"mfg":"YAGEO",</v>
      </c>
      <c r="LZ14" t="str">
        <f t="shared" si="55"/>
        <v>"mfg":"YAGEO",</v>
      </c>
      <c r="MA14" t="str">
        <f t="shared" si="55"/>
        <v>"mfg":"VISHAY",</v>
      </c>
      <c r="MB14" t="str">
        <f t="shared" si="55"/>
        <v>"mfg":"ROYAL OHM",</v>
      </c>
      <c r="MC14" t="str">
        <f t="shared" si="55"/>
        <v>"mfg":"KOA",</v>
      </c>
      <c r="MD14" t="str">
        <f t="shared" si="55"/>
        <v>"mfg":"ROYAL OHM",</v>
      </c>
      <c r="ME14" t="str">
        <f t="shared" si="55"/>
        <v>"mfg":"YAGEO",</v>
      </c>
      <c r="MF14" t="str">
        <f t="shared" si="55"/>
        <v>"mfg":"YAGEO",</v>
      </c>
      <c r="MG14" t="str">
        <f t="shared" si="55"/>
        <v>"mfg":"EVER OHMS",</v>
      </c>
      <c r="MH14" t="str">
        <f t="shared" si="55"/>
        <v>"mfg":"WALSIN",</v>
      </c>
      <c r="MI14" t="str">
        <f t="shared" si="55"/>
        <v>"mfg":"LITTELFUSE",</v>
      </c>
      <c r="MJ14" t="str">
        <f t="shared" si="55"/>
        <v>"mfg":"LITTELFUSE",</v>
      </c>
      <c r="MK14" t="str">
        <f t="shared" si="55"/>
        <v>"mfg":"YAGEO",</v>
      </c>
      <c r="ML14" t="str">
        <f t="shared" si="55"/>
        <v>"mfg":"MURATA (CANCELED)",</v>
      </c>
      <c r="MM14" t="str">
        <f t="shared" si="55"/>
        <v>"mfg":"YAGEO",</v>
      </c>
      <c r="MN14" t="str">
        <f t="shared" si="55"/>
        <v>"mfg":"YAGEO",</v>
      </c>
      <c r="MO14" t="str">
        <f t="shared" si="55"/>
        <v>"mfg":"WALSIN",</v>
      </c>
      <c r="MP14" t="str">
        <f t="shared" si="55"/>
        <v>"mfg":"TE CONNECTIVITY",</v>
      </c>
      <c r="MQ14" t="str">
        <f t="shared" si="55"/>
        <v>"mfg":"YAGEO",</v>
      </c>
      <c r="MR14" t="str">
        <f t="shared" si="55"/>
        <v>"mfg":"AVX",</v>
      </c>
      <c r="MS14" t="str">
        <f t="shared" si="55"/>
        <v>"mfg":"TDK",</v>
      </c>
      <c r="MT14" t="str">
        <f t="shared" si="55"/>
        <v>"mfg":"YAGEO",</v>
      </c>
      <c r="MU14" t="str">
        <f t="shared" si="55"/>
        <v>"mfg":"WALSIN",</v>
      </c>
      <c r="MV14" t="str">
        <f t="shared" si="55"/>
        <v>"mfg":"STACKPOLE ELECTRONICS INC",</v>
      </c>
      <c r="MW14" t="str">
        <f t="shared" si="55"/>
        <v>"mfg":"VISHAY",</v>
      </c>
      <c r="MX14" t="str">
        <f t="shared" si="55"/>
        <v>"mfg":"KEMET",</v>
      </c>
      <c r="MY14" t="str">
        <f t="shared" si="55"/>
        <v>"mfg":"KEMET",</v>
      </c>
      <c r="MZ14" t="str">
        <f t="shared" si="55"/>
        <v>"mfg":"JOHANSON",</v>
      </c>
      <c r="NA14" t="str">
        <f t="shared" si="55"/>
        <v>"mfg":"ROYAL OHM",</v>
      </c>
      <c r="NB14" t="str">
        <f t="shared" si="55"/>
        <v>"mfg":"EVERLIGHT",</v>
      </c>
      <c r="NC14" t="str">
        <f t="shared" si="55"/>
        <v>"mfg":"AVAGO",</v>
      </c>
      <c r="ND14" t="str">
        <f t="shared" si="55"/>
        <v>"mfg":"YAGEO",</v>
      </c>
      <c r="NE14" t="str">
        <f t="shared" si="55"/>
        <v>"mfg":"BOURNS",</v>
      </c>
      <c r="NF14" t="str">
        <f t="shared" si="55"/>
        <v>"mfg":"YAGEO",</v>
      </c>
      <c r="NG14" t="str">
        <f t="shared" si="55"/>
        <v>"mfg":"EATON",</v>
      </c>
      <c r="NH14" t="str">
        <f t="shared" si="55"/>
        <v>"mfg":"VISHAY",</v>
      </c>
      <c r="NI14" t="str">
        <f t="shared" si="55"/>
        <v>"mfg":"ROHM SEMICONDUCTOR",</v>
      </c>
      <c r="NJ14" t="str">
        <f t="shared" si="55"/>
        <v>"mfg":"YAGEO",</v>
      </c>
      <c r="NK14" t="str">
        <f t="shared" si="55"/>
        <v>"mfg":"TE CONNECTIVITY",</v>
      </c>
      <c r="NL14" t="str">
        <f t="shared" si="55"/>
        <v>"mfg":"YAGEO",</v>
      </c>
      <c r="NM14" t="str">
        <f t="shared" si="55"/>
        <v>"mfg":"YAGEO",</v>
      </c>
      <c r="NN14" t="str">
        <f t="shared" si="55"/>
        <v>"mfg":"STMICROELECTRONICS",</v>
      </c>
      <c r="NO14" t="str">
        <f t="shared" si="55"/>
        <v>"mfg":"STMICROELECTRONICS",</v>
      </c>
      <c r="NP14" t="str">
        <f t="shared" si="55"/>
        <v>"mfg":"IXYS",</v>
      </c>
      <c r="NQ14" t="str">
        <f t="shared" si="55"/>
        <v>"mfg":"STMICROELECTRONICS",</v>
      </c>
      <c r="NR14" t="str">
        <f t="shared" si="55"/>
        <v>"mfg":"YAGEO",</v>
      </c>
      <c r="NS14" t="str">
        <f t="shared" si="55"/>
        <v>"mfg":"ROYAL OHM",</v>
      </c>
      <c r="NT14" t="str">
        <f t="shared" si="55"/>
        <v>"mfg":"YAGEO",</v>
      </c>
      <c r="NU14" t="str">
        <f t="shared" si="55"/>
        <v>"mfg":"ROYAL OHM",</v>
      </c>
      <c r="NV14" t="str">
        <f t="shared" si="55"/>
        <v>"mfg":"YAGEO",</v>
      </c>
      <c r="NW14" t="str">
        <f t="shared" si="55"/>
        <v>"mfg":"YAGEO",</v>
      </c>
      <c r="NX14" t="str">
        <f t="shared" si="55"/>
        <v>"mfg":"YAGEO",</v>
      </c>
      <c r="NY14" t="str">
        <f t="shared" si="55"/>
        <v>"mfg":"YAGEO",</v>
      </c>
      <c r="NZ14" t="str">
        <f t="shared" si="55"/>
        <v>"mfg":"BOURNS",</v>
      </c>
      <c r="OA14" t="str">
        <f t="shared" si="55"/>
        <v>"mfg":"YAGEO",</v>
      </c>
      <c r="OB14" t="str">
        <f t="shared" si="55"/>
        <v>"mfg":"BOURNS",</v>
      </c>
      <c r="OC14" t="str">
        <f t="shared" si="55"/>
        <v>"mfg":"MCC",</v>
      </c>
      <c r="OD14" t="str">
        <f t="shared" si="55"/>
        <v>"mfg":"MICROCHIP",</v>
      </c>
      <c r="OE14" t="str">
        <f t="shared" si="55"/>
        <v>"mfg":"YAGEO",</v>
      </c>
      <c r="OF14" t="str">
        <f t="shared" si="55"/>
        <v>"mfg":"MURATA MANUFACTURING",</v>
      </c>
      <c r="OG14" t="str">
        <f t="shared" si="55"/>
        <v>"mfg":"MURATA MANUFACTURING",</v>
      </c>
      <c r="OH14" t="str">
        <f t="shared" ref="OH14:QS14" si="56">_xlfn.CONCAT("""",$L$8,"""",":","""",OH8,"""",",")</f>
        <v>"mfg":"MURATA MANUFACTURING",</v>
      </c>
      <c r="OI14" t="str">
        <f t="shared" si="56"/>
        <v>"mfg":"STACKPOLE ELECTRONICS INC",</v>
      </c>
      <c r="OJ14" t="str">
        <f t="shared" si="56"/>
        <v>"mfg":"TT ELECTRONICS",</v>
      </c>
      <c r="OK14" t="str">
        <f t="shared" si="56"/>
        <v>"mfg":"WELWYN",</v>
      </c>
      <c r="OL14" t="str">
        <f t="shared" si="56"/>
        <v>"mfg":"YAGEO",</v>
      </c>
      <c r="OM14" t="str">
        <f t="shared" si="56"/>
        <v>"mfg":"INFINEON TECHNOLOGIES",</v>
      </c>
      <c r="ON14" t="str">
        <f t="shared" si="56"/>
        <v>"mfg":"INFINEON TECHNOLOGIES",</v>
      </c>
      <c r="OO14" t="str">
        <f t="shared" si="56"/>
        <v>"mfg":"MURATA MANUFACTURING",</v>
      </c>
      <c r="OP14" t="str">
        <f t="shared" si="56"/>
        <v>"mfg":"VISHAY",</v>
      </c>
      <c r="OQ14" t="str">
        <f t="shared" si="56"/>
        <v>"mfg":"ON SEMICONDUCTOR",</v>
      </c>
      <c r="OR14" t="str">
        <f t="shared" si="56"/>
        <v>"mfg":"YAGEO",</v>
      </c>
      <c r="OS14" t="str">
        <f t="shared" si="56"/>
        <v>"mfg":"VISHAY",</v>
      </c>
      <c r="OT14" t="str">
        <f t="shared" si="56"/>
        <v>"mfg":"ROYAL OHM",</v>
      </c>
      <c r="OU14" t="str">
        <f t="shared" si="56"/>
        <v>"mfg":"WALSIN",</v>
      </c>
      <c r="OV14" t="str">
        <f t="shared" si="56"/>
        <v>"mfg":"KEMET",</v>
      </c>
      <c r="OW14" t="str">
        <f t="shared" si="56"/>
        <v>"mfg":"VISHAY",</v>
      </c>
      <c r="OX14" t="str">
        <f t="shared" si="56"/>
        <v>"mfg":"TDK",</v>
      </c>
      <c r="OY14" t="str">
        <f t="shared" si="56"/>
        <v>"mfg":"YAGEO",</v>
      </c>
      <c r="OZ14" t="str">
        <f t="shared" si="56"/>
        <v>"mfg":"BOURNS",</v>
      </c>
      <c r="PA14" t="str">
        <f t="shared" si="56"/>
        <v>"mfg":"YAGEO",</v>
      </c>
      <c r="PB14" t="str">
        <f t="shared" si="56"/>
        <v>"mfg":"YAGEO",</v>
      </c>
      <c r="PC14" t="str">
        <f t="shared" si="56"/>
        <v>"mfg":"VISHAY",</v>
      </c>
      <c r="PD14" t="str">
        <f t="shared" si="56"/>
        <v>"mfg":"LITTELFUSE",</v>
      </c>
      <c r="PE14" t="str">
        <f t="shared" si="56"/>
        <v>"mfg":"LITTELFUSE",</v>
      </c>
      <c r="PF14" t="str">
        <f t="shared" si="56"/>
        <v>"mfg":"Dongguan",</v>
      </c>
      <c r="PG14" t="str">
        <f t="shared" si="56"/>
        <v>"mfg":"KNSCHA ELECTRONICS",</v>
      </c>
      <c r="PH14" t="str">
        <f t="shared" si="56"/>
        <v>"mfg":"KNSCHA ELECTRONICS",</v>
      </c>
      <c r="PI14" t="str">
        <f t="shared" si="56"/>
        <v>"mfg":"YAGEO",</v>
      </c>
      <c r="PJ14" t="str">
        <f t="shared" si="56"/>
        <v>"mfg":"YAGEO",</v>
      </c>
      <c r="PK14" t="str">
        <f t="shared" si="56"/>
        <v>"mfg":"Dongguan",</v>
      </c>
      <c r="PL14" t="str">
        <f t="shared" si="56"/>
        <v>"mfg":"KNSCHA ELECTRONICS",</v>
      </c>
      <c r="PM14" t="str">
        <f t="shared" si="56"/>
        <v>"mfg":"KNSCHA ELECTRONICS",</v>
      </c>
      <c r="PN14" t="str">
        <f t="shared" si="56"/>
        <v>"mfg":"VISHAY",</v>
      </c>
      <c r="PO14" t="str">
        <f t="shared" si="56"/>
        <v>"mfg":"Galaxy Semiconductor",</v>
      </c>
      <c r="PP14" t="str">
        <f t="shared" si="56"/>
        <v>"mfg":"TOPDiodeE",</v>
      </c>
      <c r="PQ14" t="str">
        <f t="shared" si="56"/>
        <v>"mfg":"WALSIN",</v>
      </c>
      <c r="PR14" t="str">
        <f t="shared" si="56"/>
        <v>"mfg":"WURTH ELEKTRONIK",</v>
      </c>
      <c r="PS14" t="str">
        <f t="shared" si="56"/>
        <v>"mfg":"YAGEO",</v>
      </c>
      <c r="PT14" t="str">
        <f t="shared" si="56"/>
        <v>"mfg":"YAGEO",</v>
      </c>
      <c r="PU14" t="str">
        <f t="shared" si="56"/>
        <v>"mfg":"VISHAY",</v>
      </c>
      <c r="PV14" t="str">
        <f t="shared" si="56"/>
        <v>"mfg":"TE CONNECTIVITY",</v>
      </c>
      <c r="PW14" t="str">
        <f t="shared" si="56"/>
        <v>"mfg":"YAGEO",</v>
      </c>
      <c r="PX14" t="str">
        <f t="shared" si="56"/>
        <v>"mfg":"KEMET",</v>
      </c>
      <c r="PY14" t="str">
        <f t="shared" si="56"/>
        <v>"mfg":"ON SEMICONDUCTOR",</v>
      </c>
      <c r="PZ14" t="str">
        <f t="shared" si="56"/>
        <v>"mfg":"YAGEO",</v>
      </c>
      <c r="QA14" t="str">
        <f t="shared" si="56"/>
        <v>"mfg":"MURATA MANUFACTURING",</v>
      </c>
      <c r="QB14" t="str">
        <f t="shared" si="56"/>
        <v>"mfg":"SAMSUNG",</v>
      </c>
      <c r="QC14" t="str">
        <f t="shared" si="56"/>
        <v>"mfg":"TDK",</v>
      </c>
      <c r="QD14" t="str">
        <f t="shared" si="56"/>
        <v>"mfg":"YAGEO",</v>
      </c>
      <c r="QE14" t="str">
        <f t="shared" si="56"/>
        <v>"mfg":"VISHAY",</v>
      </c>
      <c r="QF14" t="str">
        <f t="shared" si="56"/>
        <v>"mfg":"EVER OHMS",</v>
      </c>
      <c r="QG14" t="str">
        <f t="shared" si="56"/>
        <v>"mfg":"WALSIN",</v>
      </c>
      <c r="QH14" t="str">
        <f t="shared" si="56"/>
        <v>"mfg":"LITTELFUSE",</v>
      </c>
      <c r="QI14" t="str">
        <f t="shared" si="56"/>
        <v>"mfg":"LITTELFUSE",</v>
      </c>
      <c r="QJ14" t="str">
        <f t="shared" si="56"/>
        <v>"mfg":"YAGEO",</v>
      </c>
      <c r="QK14" t="str">
        <f t="shared" si="56"/>
        <v>"mfg":"ROYAL OHM",</v>
      </c>
      <c r="QL14" t="str">
        <f t="shared" si="56"/>
        <v>"mfg":"YAGEO",</v>
      </c>
      <c r="QM14" t="str">
        <f t="shared" si="56"/>
        <v>"mfg":"MURATA MANUFACTURING",</v>
      </c>
      <c r="QN14" t="str">
        <f t="shared" si="56"/>
        <v>"mfg":"JOHANSON",</v>
      </c>
      <c r="QO14" t="str">
        <f t="shared" si="56"/>
        <v>"mfg":"YAGEO",</v>
      </c>
      <c r="QP14" t="str">
        <f t="shared" si="56"/>
        <v>"mfg":"MURATA MANUFACTURING",</v>
      </c>
      <c r="QQ14" t="str">
        <f t="shared" si="56"/>
        <v>"mfg":"WALSIN",</v>
      </c>
      <c r="QR14" t="str">
        <f t="shared" si="56"/>
        <v>"mfg":"MURATA MANUFACTURING",</v>
      </c>
      <c r="QS14" t="str">
        <f t="shared" si="56"/>
        <v>"mfg":"EATON",</v>
      </c>
      <c r="QT14" t="str">
        <f t="shared" ref="QT14:TE14" si="57">_xlfn.CONCAT("""",$L$8,"""",":","""",QT8,"""",",")</f>
        <v>"mfg":"WURTH ELEKTRONIK",</v>
      </c>
      <c r="QU14" t="str">
        <f t="shared" si="57"/>
        <v>"mfg":"VISHAY",</v>
      </c>
      <c r="QV14" t="str">
        <f t="shared" si="57"/>
        <v>"mfg":"VISHAY",</v>
      </c>
      <c r="QW14" t="str">
        <f t="shared" si="57"/>
        <v>"mfg":"TAIWAN SEMICONDUCTOR",</v>
      </c>
      <c r="QX14" t="str">
        <f t="shared" si="57"/>
        <v>"mfg":"TAIWAN SEMICONDUCTOR",</v>
      </c>
      <c r="QY14" t="str">
        <f t="shared" si="57"/>
        <v>"mfg":"TAIWAN SEMICONDUCTOR",</v>
      </c>
      <c r="QZ14" t="str">
        <f t="shared" si="57"/>
        <v>"mfg":"TAIWAN SEMICONDUCTOR2",</v>
      </c>
      <c r="RA14" t="str">
        <f t="shared" si="57"/>
        <v>"mfg":"TAIWAN SEMICONDUCTOR3",</v>
      </c>
      <c r="RB14" t="str">
        <f t="shared" si="57"/>
        <v>"mfg":"YAGEO",</v>
      </c>
      <c r="RC14" t="str">
        <f t="shared" si="57"/>
        <v>"mfg":"YAGEO",</v>
      </c>
      <c r="RD14" t="str">
        <f t="shared" si="57"/>
        <v>"mfg":"YAGEO",</v>
      </c>
      <c r="RE14" t="str">
        <f t="shared" si="57"/>
        <v>"mfg":"MICROCHIP",</v>
      </c>
      <c r="RF14" t="str">
        <f t="shared" si="57"/>
        <v>"mfg":"PANASONIC",</v>
      </c>
      <c r="RG14" t="str">
        <f t="shared" si="57"/>
        <v>"mfg":"ROYAL OHM",</v>
      </c>
      <c r="RH14" t="str">
        <f t="shared" si="57"/>
        <v>"mfg":"STACKPOLE ELECTRONICS INC",</v>
      </c>
      <c r="RI14" t="str">
        <f t="shared" si="57"/>
        <v>"mfg":"ACIME TECHNOLOGY",</v>
      </c>
      <c r="RJ14" t="str">
        <f t="shared" si="57"/>
        <v>"mfg":"ELEKTRISOLA",</v>
      </c>
      <c r="RK14" t="str">
        <f t="shared" si="57"/>
        <v>"mfg":"TE CONNECTIVITY",</v>
      </c>
      <c r="RL14" t="str">
        <f t="shared" si="57"/>
        <v>"mfg":"IXYS",</v>
      </c>
      <c r="RM14" t="str">
        <f t="shared" si="57"/>
        <v>"mfg":"YAGEO",</v>
      </c>
      <c r="RN14" t="str">
        <f t="shared" si="57"/>
        <v>"mfg":"BOURNS",</v>
      </c>
      <c r="RO14" t="str">
        <f t="shared" si="57"/>
        <v>"mfg":"BOURNS",</v>
      </c>
      <c r="RP14" t="str">
        <f t="shared" si="57"/>
        <v>"mfg":"WELL FORE SPECIAL WIRE",</v>
      </c>
      <c r="RQ14" t="str">
        <f t="shared" si="57"/>
        <v>"mfg":"YAGEO",</v>
      </c>
      <c r="RR14" t="str">
        <f t="shared" si="57"/>
        <v>"mfg":"VISHAY",</v>
      </c>
      <c r="RS14" t="str">
        <f t="shared" si="57"/>
        <v>"mfg":"YAGEO",</v>
      </c>
      <c r="RT14" t="str">
        <f t="shared" si="57"/>
        <v>"mfg":"MURATA MANUFACTURING",</v>
      </c>
      <c r="RU14" t="str">
        <f t="shared" si="57"/>
        <v>"mfg":"VISHAY",</v>
      </c>
      <c r="RV14" t="str">
        <f t="shared" si="57"/>
        <v>"mfg":"VISHAY",</v>
      </c>
      <c r="RW14" t="str">
        <f t="shared" si="57"/>
        <v>"mfg":"WALSIN",</v>
      </c>
      <c r="RX14" t="str">
        <f t="shared" si="57"/>
        <v>"mfg":"YAGEO",</v>
      </c>
      <c r="RY14" t="str">
        <f t="shared" si="57"/>
        <v>"mfg":"PHOENIX CONTACT",</v>
      </c>
      <c r="RZ14" t="str">
        <f t="shared" si="57"/>
        <v>"mfg":"PHOENIX CONTACT",</v>
      </c>
      <c r="SA14" t="str">
        <f t="shared" si="57"/>
        <v>"mfg":"PHOENIX CONTACT",</v>
      </c>
      <c r="SB14" t="str">
        <f t="shared" si="57"/>
        <v>"mfg":"KEYSTONE ELECTRONICS",</v>
      </c>
      <c r="SC14" t="str">
        <f t="shared" si="57"/>
        <v>"mfg":"ON SEMICONDUCTOR",</v>
      </c>
      <c r="SD14" t="str">
        <f t="shared" si="57"/>
        <v>"mfg":"ON SEMICONDUCTOR",</v>
      </c>
      <c r="SE14" t="str">
        <f t="shared" si="57"/>
        <v>"mfg":"NEXPERIA",</v>
      </c>
      <c r="SF14" t="str">
        <f t="shared" si="57"/>
        <v>"mfg":"STACKPOLE ELECTRONICS INC",</v>
      </c>
      <c r="SG14" t="str">
        <f t="shared" si="57"/>
        <v>"mfg":"YAGEO",</v>
      </c>
      <c r="SH14" t="str">
        <f t="shared" si="57"/>
        <v>"mfg":"VISHAY",</v>
      </c>
      <c r="SI14" t="str">
        <f t="shared" si="57"/>
        <v>"mfg":"NDK",</v>
      </c>
      <c r="SJ14" t="str">
        <f t="shared" si="57"/>
        <v>"mfg":"YAGEO",</v>
      </c>
      <c r="SK14" t="str">
        <f t="shared" si="57"/>
        <v>"mfg":"YAGEO",</v>
      </c>
      <c r="SL14" t="str">
        <f t="shared" si="57"/>
        <v>"mfg":"VISHAY",</v>
      </c>
      <c r="SM14" t="str">
        <f t="shared" si="57"/>
        <v>"mfg":"AVX",</v>
      </c>
      <c r="SN14" t="str">
        <f t="shared" si="57"/>
        <v>"mfg":"YAGEO",</v>
      </c>
      <c r="SO14" t="str">
        <f t="shared" si="57"/>
        <v>"mfg":"MURATA MANUFACTURING",</v>
      </c>
      <c r="SP14" t="str">
        <f t="shared" si="57"/>
        <v>"mfg":"MURATA MANUFACTURING",</v>
      </c>
      <c r="SQ14" t="str">
        <f t="shared" si="57"/>
        <v>"mfg":"AVX",</v>
      </c>
      <c r="SR14" t="str">
        <f t="shared" si="57"/>
        <v>"mfg":"SAMSUNG",</v>
      </c>
      <c r="SS14" t="str">
        <f t="shared" si="57"/>
        <v>"mfg":"YAGEO",</v>
      </c>
      <c r="ST14" t="str">
        <f t="shared" si="57"/>
        <v>"mfg":"LITTELFUSE",</v>
      </c>
      <c r="SU14" t="str">
        <f t="shared" si="57"/>
        <v>"mfg":"KOA",</v>
      </c>
      <c r="SV14" t="str">
        <f t="shared" si="57"/>
        <v>"mfg":"KOA",</v>
      </c>
      <c r="SW14" t="str">
        <f t="shared" si="57"/>
        <v>"mfg":"STACKPOLE ELECTRONICS INC",</v>
      </c>
      <c r="SX14" t="str">
        <f t="shared" si="57"/>
        <v>"mfg":"YAGEO",</v>
      </c>
      <c r="SY14" t="str">
        <f t="shared" si="57"/>
        <v>"mfg":"KEMET",</v>
      </c>
      <c r="SZ14" t="str">
        <f t="shared" si="57"/>
        <v>"mfg":"STACKPOLE ELECTRONICS INC",</v>
      </c>
      <c r="TA14" t="str">
        <f t="shared" si="57"/>
        <v>"mfg":"VISHAY",</v>
      </c>
      <c r="TB14" t="str">
        <f t="shared" si="57"/>
        <v>"mfg":"YAGEO",</v>
      </c>
      <c r="TC14" t="str">
        <f t="shared" si="57"/>
        <v>"mfg":"PANASONIC",</v>
      </c>
      <c r="TD14" t="str">
        <f t="shared" si="57"/>
        <v>"mfg":"STACKPOLE ELECTRONICS INC",</v>
      </c>
      <c r="TE14" t="str">
        <f t="shared" si="57"/>
        <v>"mfg":"VISHAY",</v>
      </c>
      <c r="TF14" t="str">
        <f t="shared" ref="TF14:VQ14" si="58">_xlfn.CONCAT("""",$L$8,"""",":","""",TF8,"""",",")</f>
        <v>"mfg":"STACKPOLE ELECTRONICS INC",</v>
      </c>
      <c r="TG14" t="str">
        <f t="shared" si="58"/>
        <v>"mfg":"STACKPOLE ELECTRONICS INC",</v>
      </c>
      <c r="TH14" t="str">
        <f t="shared" si="58"/>
        <v>"mfg":"YAGEO",</v>
      </c>
      <c r="TI14" t="str">
        <f t="shared" si="58"/>
        <v>"mfg":"MURATA MANUFACTURING",</v>
      </c>
      <c r="TJ14" t="str">
        <f t="shared" si="58"/>
        <v>"mfg":"YAGEO",</v>
      </c>
      <c r="TK14" t="str">
        <f t="shared" si="58"/>
        <v>"mfg":"ROYAL OHM",</v>
      </c>
      <c r="TL14" t="str">
        <f t="shared" si="58"/>
        <v>"mfg":"VISHAY",</v>
      </c>
      <c r="TM14" t="str">
        <f t="shared" si="58"/>
        <v>"mfg":"ROYAL OHM",</v>
      </c>
      <c r="TN14" t="str">
        <f t="shared" si="58"/>
        <v>"mfg":"STACKPOLE ELECTRONICS INC",</v>
      </c>
      <c r="TO14" t="str">
        <f t="shared" si="58"/>
        <v>"mfg":"YAGEO",</v>
      </c>
      <c r="TP14" t="str">
        <f t="shared" si="58"/>
        <v>"mfg":"BI TECHNOLOGIES",</v>
      </c>
      <c r="TQ14" t="str">
        <f t="shared" si="58"/>
        <v>"mfg":"BOURNS",</v>
      </c>
      <c r="TR14" t="str">
        <f t="shared" si="58"/>
        <v>"mfg":"KOA",</v>
      </c>
      <c r="TS14" t="str">
        <f t="shared" si="58"/>
        <v>"mfg":"STACKPOLE ELECTRONICS INC",</v>
      </c>
      <c r="TT14" t="str">
        <f t="shared" si="58"/>
        <v>"mfg":"YAGEO",</v>
      </c>
      <c r="TU14" t="str">
        <f t="shared" si="58"/>
        <v>"mfg":"YAGEO",</v>
      </c>
      <c r="TV14" t="str">
        <f t="shared" si="58"/>
        <v>"mfg":"PANASONIC",</v>
      </c>
      <c r="TW14" t="str">
        <f t="shared" si="58"/>
        <v>"mfg":"VISHAY",</v>
      </c>
      <c r="TX14" t="str">
        <f t="shared" si="58"/>
        <v>"mfg":"STACKPOLE ELECTRONICS INC",</v>
      </c>
      <c r="TY14" t="str">
        <f t="shared" si="58"/>
        <v>"mfg":"NICHIA CORPORATION",</v>
      </c>
      <c r="TZ14" t="str">
        <f t="shared" si="58"/>
        <v>"mfg":"NICHIA CORPORATION",</v>
      </c>
      <c r="UA14" t="str">
        <f t="shared" si="58"/>
        <v>"mfg":"MURATA MANUFACTURING",</v>
      </c>
      <c r="UB14" t="str">
        <f t="shared" si="58"/>
        <v>"mfg":"ROYAL OHM",</v>
      </c>
      <c r="UC14" t="str">
        <f t="shared" si="58"/>
        <v>"mfg":"ROYAL OHM",</v>
      </c>
      <c r="UD14" t="str">
        <f t="shared" si="58"/>
        <v>"mfg":"STACKPOLE ELECTRONICS INC",</v>
      </c>
      <c r="UE14" t="str">
        <f t="shared" si="58"/>
        <v>"mfg":"YAGEO",</v>
      </c>
      <c r="UF14" t="str">
        <f t="shared" si="58"/>
        <v>"mfg":"ROYAL OHM",</v>
      </c>
      <c r="UG14" t="str">
        <f t="shared" si="58"/>
        <v>"mfg":"YAGEO",</v>
      </c>
      <c r="UH14" t="str">
        <f t="shared" si="58"/>
        <v>"mfg":"ROYAL OHM",</v>
      </c>
      <c r="UI14" t="str">
        <f t="shared" si="58"/>
        <v>"mfg":"BOURNS",</v>
      </c>
      <c r="UJ14" t="str">
        <f t="shared" si="58"/>
        <v>"mfg":"YAGEO",</v>
      </c>
      <c r="UK14" t="str">
        <f t="shared" si="58"/>
        <v>"mfg":"KOA",</v>
      </c>
      <c r="UL14" t="str">
        <f t="shared" si="58"/>
        <v>"mfg":"PANASONIC",</v>
      </c>
      <c r="UM14" t="str">
        <f t="shared" si="58"/>
        <v>"mfg":"ROYAL OHM",</v>
      </c>
      <c r="UN14" t="str">
        <f t="shared" si="58"/>
        <v>"mfg":"DiodeES INC.",</v>
      </c>
      <c r="UO14" t="str">
        <f t="shared" si="58"/>
        <v>"mfg":"YAGEO",</v>
      </c>
      <c r="UP14" t="str">
        <f t="shared" si="58"/>
        <v>"mfg":"NXP SEMICONDUCTORS",</v>
      </c>
      <c r="UQ14" t="str">
        <f t="shared" si="58"/>
        <v>"mfg":"NEXPERIA",</v>
      </c>
      <c r="UR14" t="str">
        <f t="shared" si="58"/>
        <v>"mfg":"AVX",</v>
      </c>
      <c r="US14" t="str">
        <f t="shared" si="58"/>
        <v>"mfg":"VISHAY",</v>
      </c>
      <c r="UT14" t="str">
        <f t="shared" si="58"/>
        <v>"mfg":"VISHAY",</v>
      </c>
      <c r="UU14" t="str">
        <f t="shared" si="58"/>
        <v>"mfg":"VISHAY",</v>
      </c>
      <c r="UV14" t="str">
        <f t="shared" si="58"/>
        <v>"mfg":"TE CONNECTIVITY",</v>
      </c>
      <c r="UW14" t="str">
        <f t="shared" si="58"/>
        <v>"mfg":"EVERLIGHT",</v>
      </c>
      <c r="UX14" t="str">
        <f t="shared" si="58"/>
        <v>"mfg":"EVERLIGHT",</v>
      </c>
      <c r="UY14" t="str">
        <f t="shared" si="58"/>
        <v>"mfg":"WALSIN",</v>
      </c>
      <c r="UZ14" t="str">
        <f t="shared" si="58"/>
        <v>"mfg":"KEMET",</v>
      </c>
      <c r="VA14" t="str">
        <f t="shared" si="58"/>
        <v>"mfg":"INFINEON TECHNOLOGIES",</v>
      </c>
      <c r="VB14" t="str">
        <f t="shared" si="58"/>
        <v>"mfg":"DiodeES INC.",</v>
      </c>
      <c r="VC14" t="str">
        <f t="shared" si="58"/>
        <v>"mfg":"FAIRCHILD SEMICONDUCTOR",</v>
      </c>
      <c r="VD14" t="str">
        <f t="shared" si="58"/>
        <v>"mfg":"AVX",</v>
      </c>
      <c r="VE14" t="str">
        <f t="shared" si="58"/>
        <v>"mfg":"KINGBRIGHT",</v>
      </c>
      <c r="VF14" t="str">
        <f t="shared" si="58"/>
        <v>"mfg":"KINGBRIGHT",</v>
      </c>
      <c r="VG14" t="str">
        <f t="shared" si="58"/>
        <v>"mfg":"KINGBRIGHT",</v>
      </c>
      <c r="VH14" t="str">
        <f t="shared" si="58"/>
        <v>"mfg":"KINGBRIGHT",</v>
      </c>
      <c r="VI14" t="str">
        <f t="shared" si="58"/>
        <v>"mfg":"OSRAM",</v>
      </c>
      <c r="VJ14" t="str">
        <f t="shared" si="58"/>
        <v>"mfg":"OSRAM",</v>
      </c>
      <c r="VK14" t="str">
        <f t="shared" si="58"/>
        <v>"mfg":"DIALIGHT",</v>
      </c>
      <c r="VL14" t="str">
        <f t="shared" si="58"/>
        <v>"mfg":"SUNLED",</v>
      </c>
      <c r="VM14" t="str">
        <f t="shared" si="58"/>
        <v>"mfg":"YAGEO",</v>
      </c>
      <c r="VN14" t="str">
        <f t="shared" si="58"/>
        <v>"mfg":"ROYAL OHM",</v>
      </c>
      <c r="VO14" t="str">
        <f t="shared" si="58"/>
        <v>"mfg":"STACKPOLE ELECTRONICS INC",</v>
      </c>
      <c r="VP14" t="str">
        <f t="shared" si="58"/>
        <v>"mfg":"YAGEO",</v>
      </c>
      <c r="VQ14" t="str">
        <f t="shared" si="58"/>
        <v>"mfg":"ROYAL OHM",</v>
      </c>
      <c r="VR14" t="str">
        <f t="shared" ref="VR14:YC14" si="59">_xlfn.CONCAT("""",$L$8,"""",":","""",VR8,"""",",")</f>
        <v>"mfg":"SILICONLABS",</v>
      </c>
      <c r="VS14" t="str">
        <f t="shared" si="59"/>
        <v>"mfg":"RENESAS",</v>
      </c>
      <c r="VT14" t="str">
        <f t="shared" si="59"/>
        <v>"mfg":"RENESAS",</v>
      </c>
      <c r="VU14" t="str">
        <f t="shared" si="59"/>
        <v>"mfg":"STMICROELECTRONICS",</v>
      </c>
      <c r="VV14" t="str">
        <f t="shared" si="59"/>
        <v>"mfg":"VISHAY",</v>
      </c>
      <c r="VW14" t="str">
        <f t="shared" si="59"/>
        <v>"mfg":"KEMET",</v>
      </c>
      <c r="VX14" t="str">
        <f t="shared" si="59"/>
        <v>"mfg":"WALSIN",</v>
      </c>
      <c r="VY14" t="str">
        <f t="shared" si="59"/>
        <v>"mfg":"VISHAY",</v>
      </c>
      <c r="VZ14" t="str">
        <f t="shared" si="59"/>
        <v>"mfg":"PANASONIC",</v>
      </c>
      <c r="WA14" t="str">
        <f t="shared" si="59"/>
        <v>"mfg":"YAGEO",</v>
      </c>
      <c r="WB14" t="str">
        <f t="shared" si="59"/>
        <v>"mfg":"BOURNS",</v>
      </c>
      <c r="WC14" t="str">
        <f t="shared" si="59"/>
        <v>"mfg":"NEXPERIA",</v>
      </c>
      <c r="WD14" t="str">
        <f t="shared" si="59"/>
        <v>"mfg":"ROYAL OHM",</v>
      </c>
      <c r="WE14" t="str">
        <f t="shared" si="59"/>
        <v>"mfg":"STACKPOLE ELECTRONICS INC",</v>
      </c>
      <c r="WF14" t="str">
        <f t="shared" si="59"/>
        <v>"mfg":"YAGEO",</v>
      </c>
      <c r="WG14" t="str">
        <f t="shared" si="59"/>
        <v>"mfg":"ROYAL OHM",</v>
      </c>
      <c r="WH14" t="str">
        <f t="shared" si="59"/>
        <v>"mfg":"MOLEX",</v>
      </c>
      <c r="WI14" t="str">
        <f t="shared" si="59"/>
        <v>"mfg":"MOLEX",</v>
      </c>
      <c r="WJ14" t="str">
        <f t="shared" si="59"/>
        <v>"mfg":"MOLEX",</v>
      </c>
      <c r="WK14" t="str">
        <f t="shared" si="59"/>
        <v>"mfg":"MOLEX",</v>
      </c>
      <c r="WL14" t="str">
        <f t="shared" si="59"/>
        <v>"mfg":"LITTELFUSE",</v>
      </c>
      <c r="WM14" t="str">
        <f t="shared" si="59"/>
        <v>"mfg":"BOURNS",</v>
      </c>
      <c r="WN14" t="str">
        <f t="shared" si="59"/>
        <v>"mfg":"YAGEO",</v>
      </c>
      <c r="WO14" t="str">
        <f t="shared" si="59"/>
        <v>"mfg":"SAMSUNG",</v>
      </c>
      <c r="WP14" t="str">
        <f t="shared" si="59"/>
        <v>"mfg":"SAMSUNG",</v>
      </c>
      <c r="WQ14" t="str">
        <f t="shared" si="59"/>
        <v>"mfg":"WALSIN",</v>
      </c>
      <c r="WR14" t="str">
        <f t="shared" si="59"/>
        <v>"mfg":"YAGEO",</v>
      </c>
      <c r="WS14" t="str">
        <f t="shared" si="59"/>
        <v>"mfg":"ROYAL OHM",</v>
      </c>
      <c r="WT14" t="str">
        <f t="shared" si="59"/>
        <v>"mfg":"YAGEO",</v>
      </c>
      <c r="WU14" t="str">
        <f t="shared" si="59"/>
        <v>"mfg":"KOA",</v>
      </c>
      <c r="WV14" t="str">
        <f t="shared" si="59"/>
        <v>"mfg":"ROYAL OHM",</v>
      </c>
      <c r="WW14" t="str">
        <f t="shared" si="59"/>
        <v>"mfg":"VISHAY",</v>
      </c>
      <c r="WX14" t="str">
        <f t="shared" si="59"/>
        <v>"mfg":"ROYAL OHM",</v>
      </c>
      <c r="WY14" t="str">
        <f t="shared" si="59"/>
        <v>"mfg":"VISHAY",</v>
      </c>
      <c r="WZ14" t="str">
        <f t="shared" si="59"/>
        <v>"mfg":"YAGEO",</v>
      </c>
      <c r="XA14" t="str">
        <f t="shared" si="59"/>
        <v>"mfg":"VISHAY",</v>
      </c>
      <c r="XB14" t="str">
        <f t="shared" si="59"/>
        <v>"mfg":"ON SEMICONDUCTOR",</v>
      </c>
      <c r="XC14" t="str">
        <f t="shared" si="59"/>
        <v>"mfg":"STMICROELECTRONICS",</v>
      </c>
      <c r="XD14" t="str">
        <f t="shared" si="59"/>
        <v>"mfg":"STMICROELECTRONICS",</v>
      </c>
      <c r="XE14" t="str">
        <f t="shared" si="59"/>
        <v>"mfg":"VISHAY",</v>
      </c>
      <c r="XF14" t="str">
        <f t="shared" si="59"/>
        <v>"mfg":"VISHAY",</v>
      </c>
      <c r="XG14" t="str">
        <f t="shared" si="59"/>
        <v>"mfg":"ROYAL OHM",</v>
      </c>
      <c r="XH14" t="str">
        <f t="shared" si="59"/>
        <v>"mfg":"STACKPOLE ELECTRONICS INC",</v>
      </c>
      <c r="XI14" t="str">
        <f t="shared" si="59"/>
        <v>"mfg":"KEMET",</v>
      </c>
      <c r="XJ14" t="str">
        <f t="shared" si="59"/>
        <v>"mfg":"WIMA",</v>
      </c>
      <c r="XK14" t="str">
        <f t="shared" si="59"/>
        <v>"mfg":"KOA",</v>
      </c>
      <c r="XL14" t="str">
        <f t="shared" si="59"/>
        <v>"mfg":"VISHAY",</v>
      </c>
      <c r="XM14" t="str">
        <f t="shared" si="59"/>
        <v>"mfg":"DiodeES INC.",</v>
      </c>
      <c r="XN14" t="str">
        <f t="shared" si="59"/>
        <v>"mfg":"STMICROELECTRONICS",</v>
      </c>
      <c r="XO14" t="str">
        <f t="shared" si="59"/>
        <v>"mfg":"NEXPERIA",</v>
      </c>
      <c r="XP14" t="str">
        <f t="shared" si="59"/>
        <v>"mfg":"AVX",</v>
      </c>
      <c r="XQ14" t="str">
        <f t="shared" si="59"/>
        <v>"mfg":"MURATA MANUFACTURING",</v>
      </c>
      <c r="XR14" t="str">
        <f t="shared" si="59"/>
        <v>"mfg":"TDK",</v>
      </c>
      <c r="XS14" t="str">
        <f t="shared" si="59"/>
        <v>"mfg":"TDK",</v>
      </c>
      <c r="XT14" t="str">
        <f t="shared" si="59"/>
        <v>"mfg":"YAGEO",</v>
      </c>
      <c r="XU14" t="str">
        <f t="shared" si="59"/>
        <v>"mfg":"YAGEO",</v>
      </c>
      <c r="XV14" t="str">
        <f t="shared" si="59"/>
        <v>"mfg":"KEMET",</v>
      </c>
      <c r="XW14" t="str">
        <f t="shared" si="59"/>
        <v>"mfg":"VISHAY",</v>
      </c>
      <c r="XX14" t="str">
        <f t="shared" si="59"/>
        <v>"mfg":"VISHAY",</v>
      </c>
      <c r="XY14" t="str">
        <f t="shared" si="59"/>
        <v>"mfg":"ROYAL OHM",</v>
      </c>
      <c r="XZ14" t="str">
        <f t="shared" si="59"/>
        <v>"mfg":"YAGEO",</v>
      </c>
      <c r="YA14" t="str">
        <f t="shared" si="59"/>
        <v>"mfg":"ROYAL OHM",</v>
      </c>
      <c r="YB14" t="str">
        <f t="shared" si="59"/>
        <v>"mfg":"YAGEO",</v>
      </c>
      <c r="YC14" t="str">
        <f t="shared" si="59"/>
        <v>"mfg":"ROYAL OHM",</v>
      </c>
      <c r="YD14" t="str">
        <f t="shared" ref="YD14:AAO14" si="60">_xlfn.CONCAT("""",$L$8,"""",":","""",YD8,"""",",")</f>
        <v>"mfg":"PANASONIC",</v>
      </c>
      <c r="YE14" t="str">
        <f t="shared" si="60"/>
        <v>"mfg":"STACKPOLE ELECTRONICS INC",</v>
      </c>
      <c r="YF14" t="str">
        <f t="shared" si="60"/>
        <v>"mfg":"YAGEO",</v>
      </c>
      <c r="YG14" t="str">
        <f t="shared" si="60"/>
        <v>"mfg":"YAGEO",</v>
      </c>
      <c r="YH14" t="str">
        <f t="shared" si="60"/>
        <v>"mfg":"WALSIN",</v>
      </c>
      <c r="YI14" t="str">
        <f t="shared" si="60"/>
        <v>"mfg":"YAGEO",</v>
      </c>
      <c r="YJ14" t="str">
        <f t="shared" si="60"/>
        <v>"mfg":"KEMET",</v>
      </c>
      <c r="YK14" t="str">
        <f t="shared" si="60"/>
        <v>"mfg":"AVX",</v>
      </c>
      <c r="YL14" t="str">
        <f t="shared" si="60"/>
        <v>"mfg":"SAMSUNG",</v>
      </c>
      <c r="YM14" t="str">
        <f t="shared" si="60"/>
        <v>"mfg":"TDK",</v>
      </c>
      <c r="YN14" t="str">
        <f t="shared" si="60"/>
        <v>"mfg":"YAGEO",</v>
      </c>
      <c r="YO14" t="str">
        <f t="shared" si="60"/>
        <v>"mfg":"KEMET",</v>
      </c>
      <c r="YP14" t="str">
        <f t="shared" si="60"/>
        <v>"mfg":"MURATA MANUFACTURING",</v>
      </c>
      <c r="YQ14" t="str">
        <f t="shared" si="60"/>
        <v>"mfg":"TDK",</v>
      </c>
      <c r="YR14" t="str">
        <f t="shared" si="60"/>
        <v>"mfg":"WALSIN",</v>
      </c>
      <c r="YS14" t="str">
        <f t="shared" si="60"/>
        <v>"mfg":"WALSIN",</v>
      </c>
      <c r="YT14" t="str">
        <f t="shared" si="60"/>
        <v>"mfg":"VISHAY",</v>
      </c>
      <c r="YU14" t="str">
        <f t="shared" si="60"/>
        <v>"mfg":"ROYAL OHM",</v>
      </c>
      <c r="YV14" t="str">
        <f t="shared" si="60"/>
        <v>"mfg":"KEYSTONE ELECTRONICS",</v>
      </c>
      <c r="YW14" t="str">
        <f t="shared" si="60"/>
        <v>"mfg":"NEXPERIA",</v>
      </c>
      <c r="YX14" t="str">
        <f t="shared" si="60"/>
        <v>"mfg":"YAGEO",</v>
      </c>
      <c r="YY14" t="str">
        <f t="shared" si="60"/>
        <v>"mfg":"KOA",</v>
      </c>
      <c r="YZ14" t="str">
        <f t="shared" si="60"/>
        <v>"mfg":"ROYAL OHM",</v>
      </c>
      <c r="ZA14" t="str">
        <f t="shared" si="60"/>
        <v>"mfg":"NEXPERIA",</v>
      </c>
      <c r="ZB14" t="str">
        <f t="shared" si="60"/>
        <v>"mfg":"KOA",</v>
      </c>
      <c r="ZC14" t="str">
        <f t="shared" si="60"/>
        <v>"mfg":"ROYAL OHM",</v>
      </c>
      <c r="ZD14" t="str">
        <f t="shared" si="60"/>
        <v>"mfg":"WALSIN",</v>
      </c>
      <c r="ZE14" t="str">
        <f t="shared" si="60"/>
        <v>"mfg":"TE",</v>
      </c>
      <c r="ZF14" t="str">
        <f t="shared" si="60"/>
        <v>"mfg":"NXP SEMICONDUCTORS",</v>
      </c>
      <c r="ZG14" t="str">
        <f t="shared" si="60"/>
        <v>"mfg":"NEXPERIA",</v>
      </c>
      <c r="ZH14" t="str">
        <f t="shared" si="60"/>
        <v>"mfg":"YAGEO",</v>
      </c>
      <c r="ZI14" t="str">
        <f t="shared" si="60"/>
        <v>"mfg":"YAGEO",</v>
      </c>
      <c r="ZJ14" t="str">
        <f t="shared" si="60"/>
        <v>"mfg":"TAIYO YUDEN",</v>
      </c>
      <c r="ZK14" t="str">
        <f t="shared" si="60"/>
        <v>"mfg":"AVX",</v>
      </c>
      <c r="ZL14" t="str">
        <f t="shared" si="60"/>
        <v>"mfg":"KINGBRIGHT",</v>
      </c>
      <c r="ZM14" t="str">
        <f t="shared" si="60"/>
        <v>"mfg":"YAGEO",</v>
      </c>
      <c r="ZN14" t="str">
        <f t="shared" si="60"/>
        <v>"mfg":"BOURNS",</v>
      </c>
      <c r="ZO14" t="str">
        <f t="shared" si="60"/>
        <v>"mfg":"YAGEO",</v>
      </c>
      <c r="ZP14" t="str">
        <f t="shared" si="60"/>
        <v>"mfg":"INFINEON TECHNOLOGIES",</v>
      </c>
      <c r="ZQ14" t="str">
        <f t="shared" si="60"/>
        <v>"mfg":"ROYAL OHM",</v>
      </c>
      <c r="ZR14" t="str">
        <f t="shared" si="60"/>
        <v>"mfg":"STACKPOLE ELECTRONICS INC",</v>
      </c>
      <c r="ZS14" t="str">
        <f t="shared" si="60"/>
        <v>"mfg":"YAGEO",</v>
      </c>
      <c r="ZT14" t="str">
        <f t="shared" si="60"/>
        <v>"mfg":"SAMSUNG",</v>
      </c>
      <c r="ZU14" t="str">
        <f t="shared" si="60"/>
        <v>"mfg":"FERROXCUBE",</v>
      </c>
      <c r="ZV14" t="str">
        <f t="shared" si="60"/>
        <v>"mfg":"ROYAL OHM",</v>
      </c>
      <c r="ZW14" t="str">
        <f t="shared" si="60"/>
        <v>"mfg":"STACKPOLE ELECTRONICS INC",</v>
      </c>
      <c r="ZX14" t="str">
        <f t="shared" si="60"/>
        <v>"mfg":"YAGEO",</v>
      </c>
      <c r="ZY14" t="str">
        <f t="shared" si="60"/>
        <v>"mfg":"EPCOS/TDK",</v>
      </c>
      <c r="ZZ14" t="str">
        <f t="shared" si="60"/>
        <v>"mfg":"EPCOS/TDK",</v>
      </c>
      <c r="AAA14" t="str">
        <f t="shared" si="60"/>
        <v>"mfg":"KEMET",</v>
      </c>
      <c r="AAB14" t="str">
        <f t="shared" si="60"/>
        <v>"mfg":"VISHAY",</v>
      </c>
      <c r="AAC14" t="str">
        <f t="shared" si="60"/>
        <v>"mfg":"ROHM SEMICONDUCTOR",</v>
      </c>
      <c r="AAD14" t="str">
        <f t="shared" si="60"/>
        <v>"mfg":"BOURNS",</v>
      </c>
      <c r="AAE14" t="str">
        <f t="shared" si="60"/>
        <v>"mfg":"YAGEO",</v>
      </c>
      <c r="AAF14" t="str">
        <f t="shared" si="60"/>
        <v>"mfg":"ROYAL OHM",</v>
      </c>
      <c r="AAG14" t="str">
        <f t="shared" si="60"/>
        <v>"mfg":"ROHM SEMICONDUCTOR",</v>
      </c>
      <c r="AAH14" t="str">
        <f t="shared" si="60"/>
        <v>"mfg":"ROYAL OHM",</v>
      </c>
      <c r="AAI14" t="str">
        <f t="shared" si="60"/>
        <v>"mfg":"YAGEO",</v>
      </c>
      <c r="AAJ14" t="str">
        <f t="shared" si="60"/>
        <v>"mfg":"ROYAL OHM",</v>
      </c>
      <c r="AAK14" t="str">
        <f t="shared" si="60"/>
        <v>"mfg":"YAGEO",</v>
      </c>
      <c r="AAL14" t="str">
        <f t="shared" si="60"/>
        <v>"mfg":"KEMET",</v>
      </c>
      <c r="AAM14" t="str">
        <f t="shared" si="60"/>
        <v>"mfg":"SAMSUNG",</v>
      </c>
      <c r="AAN14" t="str">
        <f t="shared" si="60"/>
        <v>"mfg":"JOHANSON",</v>
      </c>
      <c r="AAO14" t="str">
        <f t="shared" si="60"/>
        <v>"mfg":"YAGEO",</v>
      </c>
      <c r="AAP14" t="str">
        <f t="shared" ref="AAP14:ADA14" si="61">_xlfn.CONCAT("""",$L$8,"""",":","""",AAP8,"""",",")</f>
        <v>"mfg":"KEMET",</v>
      </c>
      <c r="AAQ14" t="str">
        <f t="shared" si="61"/>
        <v>"mfg":"KEMET",</v>
      </c>
      <c r="AAR14" t="str">
        <f t="shared" si="61"/>
        <v>"mfg":"YAGEO",</v>
      </c>
      <c r="AAS14" t="str">
        <f t="shared" si="61"/>
        <v>"mfg":"NEXPERIA",</v>
      </c>
      <c r="AAT14" t="str">
        <f t="shared" si="61"/>
        <v>"mfg":"YAGEO",</v>
      </c>
      <c r="AAU14" t="str">
        <f t="shared" si="61"/>
        <v>"mfg":"VISHAY",</v>
      </c>
      <c r="AAV14" t="str">
        <f t="shared" si="61"/>
        <v>"mfg":"ROYAL OHM",</v>
      </c>
      <c r="AAW14" t="str">
        <f t="shared" si="61"/>
        <v>"mfg":"MURATA MANUFACTURING",</v>
      </c>
      <c r="AAX14" t="str">
        <f t="shared" si="61"/>
        <v>"mfg":"STACKPOLE ELECTRONICS INC",</v>
      </c>
      <c r="AAY14" t="str">
        <f t="shared" si="61"/>
        <v>"mfg":"YAGEO",</v>
      </c>
      <c r="AAZ14" t="str">
        <f t="shared" si="61"/>
        <v>"mfg":"YAGEO",</v>
      </c>
      <c r="ABA14" t="str">
        <f t="shared" si="61"/>
        <v>"mfg":"KEMET",</v>
      </c>
      <c r="ABB14" t="str">
        <f t="shared" si="61"/>
        <v>"mfg":"AVX",</v>
      </c>
      <c r="ABC14" t="str">
        <f t="shared" si="61"/>
        <v>"mfg":"YAGEO",</v>
      </c>
      <c r="ABD14" t="str">
        <f t="shared" si="61"/>
        <v>"mfg":"KEMET",</v>
      </c>
      <c r="ABE14" t="str">
        <f t="shared" si="61"/>
        <v>"mfg":"MURATA MANUFACTURING",</v>
      </c>
      <c r="ABF14" t="str">
        <f t="shared" si="61"/>
        <v>"mfg":"VISHAY",</v>
      </c>
      <c r="ABG14" t="str">
        <f t="shared" si="61"/>
        <v>"mfg":"YAGEO",</v>
      </c>
      <c r="ABH14" t="str">
        <f t="shared" si="61"/>
        <v>"mfg":"YAGEO",</v>
      </c>
      <c r="ABI14" t="str">
        <f t="shared" si="61"/>
        <v>"mfg":"WALSIN",</v>
      </c>
      <c r="ABJ14" t="str">
        <f t="shared" si="61"/>
        <v>"mfg":"PANASONIC",</v>
      </c>
      <c r="ABK14" t="str">
        <f t="shared" si="61"/>
        <v>"mfg":"KOA",</v>
      </c>
      <c r="ABL14" t="str">
        <f t="shared" si="61"/>
        <v>"mfg":"ROYAL OHM",</v>
      </c>
      <c r="ABM14" t="str">
        <f t="shared" si="61"/>
        <v>"mfg":"KEMET",</v>
      </c>
      <c r="ABN14" t="str">
        <f t="shared" si="61"/>
        <v>"mfg":"AVX",</v>
      </c>
      <c r="ABO14" t="str">
        <f t="shared" si="61"/>
        <v>"mfg":"YAGEO",</v>
      </c>
      <c r="ABP14" t="str">
        <f t="shared" si="61"/>
        <v>"mfg":"NXP SEMICONDUCTORS",</v>
      </c>
      <c r="ABQ14" t="str">
        <f t="shared" si="61"/>
        <v>"mfg":"YAGEO",</v>
      </c>
      <c r="ABR14" t="str">
        <f t="shared" si="61"/>
        <v>"mfg":"BOURNS",</v>
      </c>
      <c r="ABS14" t="str">
        <f t="shared" si="61"/>
        <v>"mfg":"VISHAY",</v>
      </c>
      <c r="ABT14" t="str">
        <f t="shared" si="61"/>
        <v>"mfg":"ROYAL OHM",</v>
      </c>
      <c r="ABU14" t="str">
        <f t="shared" si="61"/>
        <v>"mfg":"ROYAL OHM",</v>
      </c>
      <c r="ABV14" t="str">
        <f t="shared" si="61"/>
        <v>"mfg":"STACKPOLE ELECTRONICS INC",</v>
      </c>
      <c r="ABW14" t="str">
        <f t="shared" si="61"/>
        <v>"mfg":"KOA",</v>
      </c>
      <c r="ABX14" t="str">
        <f t="shared" si="61"/>
        <v>"mfg":"ROYAL OHM",</v>
      </c>
      <c r="ABY14" t="str">
        <f t="shared" si="61"/>
        <v>"mfg":"VISHAY",</v>
      </c>
      <c r="ABZ14" t="str">
        <f t="shared" si="61"/>
        <v>"mfg":"ROYAL OHM",</v>
      </c>
      <c r="ACA14" t="str">
        <f t="shared" si="61"/>
        <v>"mfg":"ROYAL OHM",</v>
      </c>
      <c r="ACB14" t="str">
        <f t="shared" si="61"/>
        <v>"mfg":"BOURNS",</v>
      </c>
      <c r="ACC14" t="str">
        <f t="shared" si="61"/>
        <v>"mfg":"YAGEO",</v>
      </c>
      <c r="ACD14" t="str">
        <f t="shared" si="61"/>
        <v>"mfg":"BOURNS",</v>
      </c>
      <c r="ACE14" t="str">
        <f t="shared" si="61"/>
        <v>"mfg":"KEMET",</v>
      </c>
      <c r="ACF14" t="str">
        <f t="shared" si="61"/>
        <v>"mfg":"KEMET",</v>
      </c>
      <c r="ACG14" t="str">
        <f t="shared" si="61"/>
        <v>"mfg":"KOA",</v>
      </c>
      <c r="ACH14" t="str">
        <f t="shared" si="61"/>
        <v>"mfg":"FARATRONIC",</v>
      </c>
      <c r="ACI14" t="str">
        <f t="shared" si="61"/>
        <v>"mfg":"YAGEO",</v>
      </c>
      <c r="ACJ14" t="str">
        <f t="shared" si="61"/>
        <v>"mfg":"ROYAL OHM",</v>
      </c>
      <c r="ACK14" t="str">
        <f t="shared" si="61"/>
        <v>"mfg":"YAGEO",</v>
      </c>
      <c r="ACL14" t="str">
        <f t="shared" si="61"/>
        <v>"mfg":"KEMET",</v>
      </c>
      <c r="ACM14" t="str">
        <f t="shared" si="61"/>
        <v>"mfg":"SAMSUNG",</v>
      </c>
      <c r="ACN14" t="str">
        <f t="shared" si="61"/>
        <v>"mfg":"EPCOS/TDK",</v>
      </c>
      <c r="ACO14" t="str">
        <f t="shared" si="61"/>
        <v>"mfg":"EATON",</v>
      </c>
      <c r="ACP14" t="str">
        <f t="shared" si="61"/>
        <v>"mfg":"WALSIN",</v>
      </c>
      <c r="ACQ14" t="str">
        <f t="shared" si="61"/>
        <v>"mfg":"YAGEO",</v>
      </c>
      <c r="ACR14" t="str">
        <f t="shared" si="61"/>
        <v>"mfg":"ROYAL OHM",</v>
      </c>
      <c r="ACS14" t="str">
        <f t="shared" si="61"/>
        <v>"mfg":"ROYAL OHM",</v>
      </c>
      <c r="ACT14" t="str">
        <f t="shared" si="61"/>
        <v>"mfg":"YAGEO",</v>
      </c>
      <c r="ACU14" t="str">
        <f t="shared" si="61"/>
        <v>"mfg":"YAGEO",</v>
      </c>
      <c r="ACV14" t="str">
        <f t="shared" si="61"/>
        <v>"mfg":"WALSIN",</v>
      </c>
      <c r="ACW14" t="str">
        <f t="shared" si="61"/>
        <v>"mfg":"VISHAY",</v>
      </c>
      <c r="ACX14" t="str">
        <f t="shared" si="61"/>
        <v>"mfg":"ROYAL OHM",</v>
      </c>
      <c r="ACY14" t="str">
        <f t="shared" si="61"/>
        <v>"mfg":"PANASONIC",</v>
      </c>
      <c r="ACZ14" t="str">
        <f t="shared" si="61"/>
        <v>"mfg":"EPCOS/TDK",</v>
      </c>
      <c r="ADA14" t="str">
        <f t="shared" si="61"/>
        <v>"mfg":"EPCOS/TDK",</v>
      </c>
      <c r="ADB14" t="str">
        <f t="shared" ref="ADB14:AFM14" si="62">_xlfn.CONCAT("""",$L$8,"""",":","""",ADB8,"""",",")</f>
        <v>"mfg":"EPCOS/TDK",</v>
      </c>
      <c r="ADC14" t="str">
        <f t="shared" si="62"/>
        <v>"mfg":"EPCOS/TDK",</v>
      </c>
      <c r="ADD14" t="str">
        <f t="shared" si="62"/>
        <v>"mfg":"VISHAY",</v>
      </c>
      <c r="ADE14" t="str">
        <f t="shared" si="62"/>
        <v>"mfg":"VISHAY",</v>
      </c>
      <c r="ADF14" t="str">
        <f t="shared" si="62"/>
        <v>"mfg":"PHOENIX CONTACT",</v>
      </c>
      <c r="ADG14" t="str">
        <f t="shared" si="62"/>
        <v>"mfg":"PHOENIX CONTACT",</v>
      </c>
      <c r="ADH14" t="str">
        <f t="shared" si="62"/>
        <v>"mfg":"PANASONIC",</v>
      </c>
      <c r="ADI14" t="str">
        <f t="shared" si="62"/>
        <v>"mfg":"ROYAL OHM",</v>
      </c>
      <c r="ADJ14" t="str">
        <f t="shared" si="62"/>
        <v>"mfg":"STACKPOLE ELECTRONICS INC",</v>
      </c>
      <c r="ADK14" t="str">
        <f t="shared" si="62"/>
        <v>"mfg":"YAGEO",</v>
      </c>
      <c r="ADL14" t="str">
        <f t="shared" si="62"/>
        <v>"mfg":"VISHAY",</v>
      </c>
      <c r="ADM14" t="str">
        <f t="shared" si="62"/>
        <v>"mfg":"BI TECHNOLOGIES",</v>
      </c>
      <c r="ADN14" t="str">
        <f t="shared" si="62"/>
        <v>"mfg":"BOURNS",</v>
      </c>
      <c r="ADO14" t="str">
        <f t="shared" si="62"/>
        <v>"mfg":"VISHAY",</v>
      </c>
      <c r="ADP14" t="str">
        <f t="shared" si="62"/>
        <v>"mfg":"VISHAY",</v>
      </c>
      <c r="ADQ14" t="str">
        <f t="shared" si="62"/>
        <v>"mfg":"VISHAY",</v>
      </c>
      <c r="ADR14" t="str">
        <f t="shared" si="62"/>
        <v>"mfg":"ROYAL OHM",</v>
      </c>
      <c r="ADS14" t="str">
        <f t="shared" si="62"/>
        <v>"mfg":"WALSIN",</v>
      </c>
      <c r="ADT14" t="str">
        <f t="shared" si="62"/>
        <v>"mfg":"BOURNS",</v>
      </c>
      <c r="ADU14" t="str">
        <f t="shared" si="62"/>
        <v>"mfg":"TE",</v>
      </c>
      <c r="ADV14" t="str">
        <f t="shared" si="62"/>
        <v>"mfg":"ROYAL OHM",</v>
      </c>
      <c r="ADW14" t="str">
        <f t="shared" si="62"/>
        <v>"mfg":"YAGEO",</v>
      </c>
      <c r="ADX14" t="str">
        <f t="shared" si="62"/>
        <v>"mfg":"VISHAY",</v>
      </c>
      <c r="ADY14" t="str">
        <f t="shared" si="62"/>
        <v>"mfg":"ROYAL OHM",</v>
      </c>
      <c r="ADZ14" t="str">
        <f t="shared" si="62"/>
        <v>"mfg":"PANASONIC",</v>
      </c>
      <c r="AEA14" t="str">
        <f t="shared" si="62"/>
        <v>"mfg":"ROYAL OHM",</v>
      </c>
      <c r="AEB14" t="str">
        <f t="shared" si="62"/>
        <v>"mfg":"WURTH ELEKTRONIK",</v>
      </c>
      <c r="AEC14" t="str">
        <f t="shared" si="62"/>
        <v>"mfg":"NXP SEMICONDUCTORS",</v>
      </c>
      <c r="AED14" t="str">
        <f t="shared" si="62"/>
        <v>"mfg":"NXP SEMICONDUCTORS",</v>
      </c>
      <c r="AEE14" t="str">
        <f t="shared" si="62"/>
        <v>"mfg":"NXP SEMICONDUCTORS",</v>
      </c>
      <c r="AEF14" t="str">
        <f t="shared" si="62"/>
        <v>"mfg":"IXYS",</v>
      </c>
      <c r="AEG14" t="str">
        <f t="shared" si="62"/>
        <v>"mfg":"YAGEO",</v>
      </c>
      <c r="AEH14" t="str">
        <f t="shared" si="62"/>
        <v>"mfg":"ON SEMICONDUCTOR",</v>
      </c>
      <c r="AEI14" t="str">
        <f t="shared" si="62"/>
        <v>"mfg":"MOLEX",</v>
      </c>
      <c r="AEJ14" t="str">
        <f t="shared" si="62"/>
        <v>"mfg":"DiodeES INC.",</v>
      </c>
      <c r="AEK14" t="str">
        <f t="shared" si="62"/>
        <v>"mfg":"NEXPERIA",</v>
      </c>
      <c r="AEL14" t="str">
        <f t="shared" si="62"/>
        <v>"mfg":"YAGEO",</v>
      </c>
      <c r="AEM14" t="str">
        <f t="shared" si="62"/>
        <v>"mfg":"ROYAL OHM",</v>
      </c>
      <c r="AEN14" t="str">
        <f t="shared" si="62"/>
        <v>"mfg":"WALSIN",</v>
      </c>
      <c r="AEO14" t="str">
        <f t="shared" si="62"/>
        <v>"mfg":"YAGEO",</v>
      </c>
      <c r="AEP14" t="str">
        <f t="shared" si="62"/>
        <v>"mfg":"YAGEO",</v>
      </c>
      <c r="AEQ14" t="str">
        <f t="shared" si="62"/>
        <v>"mfg":"KOA",</v>
      </c>
      <c r="AER14" t="str">
        <f t="shared" si="62"/>
        <v>"mfg":"KOA",</v>
      </c>
      <c r="AES14" t="str">
        <f t="shared" si="62"/>
        <v>"mfg":"WALSIN",</v>
      </c>
      <c r="AET14" t="str">
        <f t="shared" si="62"/>
        <v>"mfg":"EPCOS/TDK",</v>
      </c>
      <c r="AEU14" t="str">
        <f t="shared" si="62"/>
        <v>"mfg":"KEMET",</v>
      </c>
      <c r="AEV14" t="str">
        <f t="shared" si="62"/>
        <v>"mfg":"YAGEO",</v>
      </c>
      <c r="AEW14" t="str">
        <f t="shared" si="62"/>
        <v>"mfg":"KEMET",</v>
      </c>
      <c r="AEX14" t="str">
        <f t="shared" si="62"/>
        <v>"mfg":"AVX",</v>
      </c>
      <c r="AEY14" t="str">
        <f t="shared" si="62"/>
        <v>"mfg":"SAMSUNG",</v>
      </c>
      <c r="AEZ14" t="str">
        <f t="shared" si="62"/>
        <v>"mfg":"TDK",</v>
      </c>
      <c r="AFA14" t="str">
        <f t="shared" si="62"/>
        <v>"mfg":"YAGEO",</v>
      </c>
      <c r="AFB14" t="str">
        <f t="shared" si="62"/>
        <v>"mfg":"YAGEO",</v>
      </c>
      <c r="AFC14" t="str">
        <f t="shared" si="62"/>
        <v>"mfg":"KOA",</v>
      </c>
      <c r="AFD14" t="str">
        <f t="shared" si="62"/>
        <v>"mfg":"WALSIN",</v>
      </c>
      <c r="AFE14" t="str">
        <f t="shared" si="62"/>
        <v>"mfg":"WALSIN",</v>
      </c>
      <c r="AFF14" t="str">
        <f t="shared" si="62"/>
        <v>"mfg":"ABRACON",</v>
      </c>
      <c r="AFG14" t="str">
        <f t="shared" si="62"/>
        <v>"mfg":"ABRACON",</v>
      </c>
      <c r="AFH14" t="str">
        <f t="shared" si="62"/>
        <v>"mfg":"AKER TECHNOLOGY",</v>
      </c>
      <c r="AFI14" t="str">
        <f t="shared" si="62"/>
        <v>"mfg":"ECS",</v>
      </c>
      <c r="AFJ14" t="str">
        <f t="shared" si="62"/>
        <v>"mfg":"TXC",</v>
      </c>
      <c r="AFK14" t="str">
        <f t="shared" si="62"/>
        <v>"mfg":"EUROQUARTZ",</v>
      </c>
      <c r="AFL14" t="str">
        <f t="shared" si="62"/>
        <v>"mfg":"YAGEO",</v>
      </c>
      <c r="AFM14" t="str">
        <f t="shared" si="62"/>
        <v>"mfg":"SAMSUNG",</v>
      </c>
      <c r="AFN14" t="str">
        <f t="shared" ref="AFN14:AHY14" si="63">_xlfn.CONCAT("""",$L$8,"""",":","""",AFN8,"""",",")</f>
        <v>"mfg":"ROHM SEMICONDUCTOR",</v>
      </c>
      <c r="AFO14" t="str">
        <f t="shared" si="63"/>
        <v>"mfg":"VISHAY",</v>
      </c>
      <c r="AFP14" t="str">
        <f t="shared" si="63"/>
        <v>"mfg":"ROHM SEMICONDUCTOR",</v>
      </c>
      <c r="AFQ14" t="str">
        <f t="shared" si="63"/>
        <v>"mfg":"OMRON",</v>
      </c>
      <c r="AFR14" t="str">
        <f t="shared" si="63"/>
        <v>"mfg":"VISHAY",</v>
      </c>
      <c r="AFS14" t="str">
        <f t="shared" si="63"/>
        <v>"mfg":"ROYAL OHM",</v>
      </c>
      <c r="AFT14" t="str">
        <f t="shared" si="63"/>
        <v>"mfg":"DiodeES INC.",</v>
      </c>
      <c r="AFU14" t="str">
        <f t="shared" si="63"/>
        <v>"mfg":"ON SEMICONDUCTOR",</v>
      </c>
      <c r="AFV14" t="str">
        <f t="shared" si="63"/>
        <v>"mfg":"ON SEMICONDUCTOR",</v>
      </c>
      <c r="AFW14" t="str">
        <f t="shared" si="63"/>
        <v>"mfg":"ON SEMICONDUCTOR",</v>
      </c>
      <c r="AFX14" t="str">
        <f t="shared" si="63"/>
        <v>"mfg":"ON SEMICONDUCTOR",</v>
      </c>
      <c r="AFY14" t="str">
        <f t="shared" si="63"/>
        <v>"mfg":"ON SEMICONDUCTOR",</v>
      </c>
      <c r="AFZ14" t="str">
        <f t="shared" si="63"/>
        <v>"mfg":"NEXPERIA",</v>
      </c>
      <c r="AGA14" t="str">
        <f t="shared" si="63"/>
        <v>"mfg":"YAGEO",</v>
      </c>
      <c r="AGB14" t="str">
        <f t="shared" si="63"/>
        <v>"mfg":"KOA",</v>
      </c>
      <c r="AGC14" t="str">
        <f t="shared" si="63"/>
        <v>"mfg":"ROYAL OHM",</v>
      </c>
      <c r="AGD14" t="str">
        <f t="shared" si="63"/>
        <v>"mfg":"3M",</v>
      </c>
      <c r="AGE14" t="str">
        <f t="shared" si="63"/>
        <v>"mfg":"MOLEX",</v>
      </c>
      <c r="AGF14" t="str">
        <f t="shared" si="63"/>
        <v>"mfg":"YAGEO",</v>
      </c>
      <c r="AGG14" t="str">
        <f t="shared" si="63"/>
        <v>"mfg":"YAGEO",</v>
      </c>
      <c r="AGH14" t="str">
        <f t="shared" si="63"/>
        <v>"mfg":"KOA",</v>
      </c>
      <c r="AGI14" t="str">
        <f t="shared" si="63"/>
        <v>"mfg":"WALSIN",</v>
      </c>
      <c r="AGJ14" t="str">
        <f t="shared" si="63"/>
        <v>"mfg":"ROYAL OHM",</v>
      </c>
      <c r="AGK14" t="str">
        <f t="shared" si="63"/>
        <v>"mfg":"WALSIN",</v>
      </c>
      <c r="AGL14" t="str">
        <f t="shared" si="63"/>
        <v>"mfg":"STMICROELECTRONICS",</v>
      </c>
      <c r="AGM14" t="str">
        <f t="shared" si="63"/>
        <v>"mfg":"STMICROELECTRONICS",</v>
      </c>
      <c r="AGN14" t="str">
        <f t="shared" si="63"/>
        <v>"mfg":"NICHICON",</v>
      </c>
      <c r="AGO14" t="str">
        <f t="shared" si="63"/>
        <v>"mfg":"NICHICON",</v>
      </c>
      <c r="AGP14" t="str">
        <f t="shared" si="63"/>
        <v>"mfg":"NIPPON CHEMI-CON",</v>
      </c>
      <c r="AGQ14" t="str">
        <f t="shared" si="63"/>
        <v>"mfg":"SAMWHA",</v>
      </c>
      <c r="AGR14" t="str">
        <f t="shared" si="63"/>
        <v>"mfg":"UNITED CHEMI-CON",</v>
      </c>
      <c r="AGS14" t="str">
        <f t="shared" si="63"/>
        <v>"mfg":"UNITED CHEMI-CON",</v>
      </c>
      <c r="AGT14" t="str">
        <f t="shared" si="63"/>
        <v>"mfg":"MOLEX",</v>
      </c>
      <c r="AGU14" t="str">
        <f t="shared" si="63"/>
        <v>"mfg":"YAGEO",</v>
      </c>
      <c r="AGV14" t="str">
        <f t="shared" si="63"/>
        <v>"mfg":"KEMET",</v>
      </c>
      <c r="AGW14" t="str">
        <f t="shared" si="63"/>
        <v>"mfg":"WURTH ELEKTRONIK",</v>
      </c>
      <c r="AGX14" t="str">
        <f t="shared" si="63"/>
        <v>"mfg":"TDK",</v>
      </c>
      <c r="AGY14" t="str">
        <f t="shared" si="63"/>
        <v>"mfg":"BOURNS",</v>
      </c>
      <c r="AGZ14" t="str">
        <f t="shared" si="63"/>
        <v>"mfg":"MCC",</v>
      </c>
      <c r="AHA14" t="str">
        <f t="shared" si="63"/>
        <v>"mfg":"VISHAY",</v>
      </c>
      <c r="AHB14" t="str">
        <f t="shared" si="63"/>
        <v>"mfg":"VISHAY",</v>
      </c>
      <c r="AHC14" t="str">
        <f t="shared" si="63"/>
        <v>"mfg":"ON SEMICONDUCTOR",</v>
      </c>
      <c r="AHD14" t="str">
        <f t="shared" si="63"/>
        <v>"mfg":"STMICROELECTRONICS",</v>
      </c>
      <c r="AHE14" t="str">
        <f t="shared" si="63"/>
        <v>"mfg":"MICROCHIP",</v>
      </c>
      <c r="AHF14" t="str">
        <f t="shared" si="63"/>
        <v>"mfg":"DIALIGHT",</v>
      </c>
      <c r="AHG14" t="str">
        <f t="shared" si="63"/>
        <v>"mfg":"DiodeES INC.",</v>
      </c>
      <c r="AHH14" t="str">
        <f t="shared" si="63"/>
        <v>"mfg":"DiodeES INC.",</v>
      </c>
      <c r="AHI14" t="str">
        <f t="shared" si="63"/>
        <v>"mfg":"VISHAY",</v>
      </c>
      <c r="AHJ14" t="str">
        <f t="shared" si="63"/>
        <v>"mfg":"DiodeES INC.",</v>
      </c>
      <c r="AHK14" t="str">
        <f t="shared" si="63"/>
        <v>"mfg":"HARWIN",</v>
      </c>
      <c r="AHL14" t="str">
        <f t="shared" si="63"/>
        <v>"mfg":"YAGEO",</v>
      </c>
      <c r="AHM14" t="str">
        <f t="shared" si="63"/>
        <v>"mfg":"EPCOS/TDK",</v>
      </c>
      <c r="AHN14" t="str">
        <f t="shared" si="63"/>
        <v>"mfg":"KEMET",</v>
      </c>
      <c r="AHO14" t="str">
        <f t="shared" si="63"/>
        <v>"mfg":"VISHAY",</v>
      </c>
      <c r="AHP14" t="str">
        <f t="shared" si="63"/>
        <v>"mfg":"MURATA MANUFACTURING",</v>
      </c>
      <c r="AHQ14" t="str">
        <f t="shared" si="63"/>
        <v>"mfg":"TDK",</v>
      </c>
      <c r="AHR14" t="str">
        <f t="shared" si="63"/>
        <v>"mfg":"YAGEO",</v>
      </c>
      <c r="AHS14" t="str">
        <f t="shared" si="63"/>
        <v>"mfg":"KEMET",</v>
      </c>
      <c r="AHT14" t="str">
        <f t="shared" si="63"/>
        <v>"mfg":"SAMSUNG",</v>
      </c>
      <c r="AHU14" t="str">
        <f t="shared" si="63"/>
        <v>"mfg":"SAMSUNG",</v>
      </c>
      <c r="AHV14" t="str">
        <f t="shared" si="63"/>
        <v>"mfg":"WALSIN",</v>
      </c>
      <c r="AHW14" t="str">
        <f t="shared" si="63"/>
        <v>"mfg":"KEMET",</v>
      </c>
      <c r="AHX14" t="str">
        <f t="shared" si="63"/>
        <v>"mfg":"KEMET",</v>
      </c>
      <c r="AHY14" t="str">
        <f t="shared" si="63"/>
        <v>"mfg":"VISHAY",</v>
      </c>
      <c r="AHZ14" t="str">
        <f t="shared" ref="AHZ14:AKK14" si="64">_xlfn.CONCAT("""",$L$8,"""",":","""",AHZ8,"""",",")</f>
        <v>"mfg":"MURATA MANUFACTURING",</v>
      </c>
      <c r="AIA14" t="str">
        <f t="shared" si="64"/>
        <v>"mfg":"VISHAY",</v>
      </c>
      <c r="AIB14" t="str">
        <f t="shared" si="64"/>
        <v>"mfg":"KEMET",</v>
      </c>
      <c r="AIC14" t="str">
        <f t="shared" si="64"/>
        <v>"mfg":"MURATA MANUFACTURING",</v>
      </c>
      <c r="AID14" t="str">
        <f t="shared" si="64"/>
        <v>"mfg":"DIALOG SEMICONDUCTOR",</v>
      </c>
      <c r="AIE14" t="str">
        <f t="shared" si="64"/>
        <v>"mfg":"DIALOG SEMICONDUCTOR",</v>
      </c>
      <c r="AIF14" t="str">
        <f t="shared" si="64"/>
        <v>"mfg":"YAGEO",</v>
      </c>
      <c r="AIG14" t="str">
        <f t="shared" si="64"/>
        <v>"mfg":"YAGEO",</v>
      </c>
      <c r="AIH14" t="str">
        <f t="shared" si="64"/>
        <v>"mfg":"NEXPERIA",</v>
      </c>
      <c r="AII14" t="str">
        <f t="shared" si="64"/>
        <v>"mfg":"NEXPERIA",</v>
      </c>
      <c r="AIJ14" t="str">
        <f t="shared" si="64"/>
        <v>"mfg":"KONY",</v>
      </c>
      <c r="AIK14" t="str">
        <f t="shared" si="64"/>
        <v>"mfg":"WURTH ELEKTRONIK",</v>
      </c>
      <c r="AIL14" t="str">
        <f t="shared" si="64"/>
        <v>"mfg":"YAGEO",</v>
      </c>
      <c r="AIM14" t="str">
        <f t="shared" si="64"/>
        <v>"mfg":"WALSIN",</v>
      </c>
      <c r="AIN14" t="str">
        <f t="shared" si="64"/>
        <v>"mfg":"YAGEO",</v>
      </c>
      <c r="AIO14" t="str">
        <f t="shared" si="64"/>
        <v>"mfg":"TEXAS INSTRUMENTS",</v>
      </c>
      <c r="AIP14" t="str">
        <f t="shared" si="64"/>
        <v>"mfg":"TEXAS INSTRUMENTS",</v>
      </c>
      <c r="AIQ14" t="str">
        <f t="shared" si="64"/>
        <v>"mfg":"TEXAS INSTRUMENTS",</v>
      </c>
      <c r="AIR14" t="str">
        <f t="shared" si="64"/>
        <v>"mfg":"YAGEO",</v>
      </c>
      <c r="AIS14" t="str">
        <f t="shared" si="64"/>
        <v>"mfg":"SAMSUNG",</v>
      </c>
      <c r="AIT14" t="str">
        <f t="shared" si="64"/>
        <v>"mfg":"ROYAL OHM",</v>
      </c>
      <c r="AIU14" t="str">
        <f t="shared" si="64"/>
        <v>"mfg":"VISHAY",</v>
      </c>
      <c r="AIV14" t="str">
        <f t="shared" si="64"/>
        <v>"mfg":"VISHAY",</v>
      </c>
      <c r="AIW14" t="str">
        <f t="shared" si="64"/>
        <v>"mfg":"KEMET",</v>
      </c>
      <c r="AIX14" t="str">
        <f t="shared" si="64"/>
        <v>"mfg":"VISHAY",</v>
      </c>
      <c r="AIY14" t="str">
        <f t="shared" si="64"/>
        <v>"mfg":"STACKPOLE ELECTRONICS INC",</v>
      </c>
      <c r="AIZ14" t="str">
        <f t="shared" si="64"/>
        <v>"mfg":"VISHAY",</v>
      </c>
      <c r="AJA14" t="str">
        <f t="shared" si="64"/>
        <v>"mfg":"LITTELFUSE",</v>
      </c>
      <c r="AJB14" t="str">
        <f t="shared" si="64"/>
        <v>"mfg":"VISHAY",</v>
      </c>
      <c r="AJC14" t="str">
        <f t="shared" si="64"/>
        <v>"mfg":"STMICROELECTRONICS",</v>
      </c>
      <c r="AJD14" t="str">
        <f t="shared" si="64"/>
        <v>"mfg":"FAGOR",</v>
      </c>
      <c r="AJE14" t="str">
        <f t="shared" si="64"/>
        <v>"mfg":"YAGEO",</v>
      </c>
      <c r="AJF14" t="str">
        <f t="shared" si="64"/>
        <v>"mfg":"YAGEO",</v>
      </c>
      <c r="AJG14" t="str">
        <f t="shared" si="64"/>
        <v>"mfg":"KEMET",</v>
      </c>
      <c r="AJH14" t="str">
        <f t="shared" si="64"/>
        <v>"mfg":"AVX",</v>
      </c>
      <c r="AJI14" t="str">
        <f t="shared" si="64"/>
        <v>"mfg":"TEXAS INSTRUMENTS",</v>
      </c>
      <c r="AJJ14" t="str">
        <f t="shared" si="64"/>
        <v>"mfg":"TEXAS INSTRUMENTS (CANCEL",</v>
      </c>
      <c r="AJK14" t="str">
        <f t="shared" si="64"/>
        <v>"mfg":"STMICROELECTRONICS",</v>
      </c>
      <c r="AJL14" t="str">
        <f t="shared" si="64"/>
        <v>"mfg":"YAGEO",</v>
      </c>
      <c r="AJM14" t="str">
        <f t="shared" si="64"/>
        <v>"mfg":"YAGEO",</v>
      </c>
      <c r="AJN14" t="str">
        <f t="shared" si="64"/>
        <v>"mfg":"YAGEO",</v>
      </c>
      <c r="AJO14" t="str">
        <f t="shared" si="64"/>
        <v>"mfg":"BOURNS",</v>
      </c>
      <c r="AJP14" t="str">
        <f t="shared" si="64"/>
        <v>"mfg":"YING CHIN",</v>
      </c>
      <c r="AJQ14" t="str">
        <f t="shared" si="64"/>
        <v>"mfg":"VISHAY",</v>
      </c>
      <c r="AJR14" t="str">
        <f t="shared" si="64"/>
        <v>"mfg":"VISHAY",</v>
      </c>
      <c r="AJS14" t="str">
        <f t="shared" si="64"/>
        <v>"mfg":"ROYAL OHM",</v>
      </c>
      <c r="AJT14" t="str">
        <f t="shared" si="64"/>
        <v>"mfg":"KEMET",</v>
      </c>
      <c r="AJU14" t="str">
        <f t="shared" si="64"/>
        <v>"mfg":"YAGEO",</v>
      </c>
      <c r="AJV14" t="str">
        <f t="shared" si="64"/>
        <v>"mfg":"TDK",</v>
      </c>
      <c r="AJW14" t="str">
        <f t="shared" si="64"/>
        <v>"mfg":"TDK",</v>
      </c>
      <c r="AJX14" t="str">
        <f t="shared" si="64"/>
        <v>"mfg":"VISHAY",</v>
      </c>
      <c r="AJY14" t="str">
        <f t="shared" si="64"/>
        <v>"mfg":"ROYAL OHM",</v>
      </c>
      <c r="AJZ14" t="str">
        <f t="shared" si="64"/>
        <v>"mfg":"TE CONNECTIVITY",</v>
      </c>
      <c r="AKA14" t="str">
        <f t="shared" si="64"/>
        <v>"mfg":"INFINEON TECHNOLOGIES",</v>
      </c>
      <c r="AKB14" t="str">
        <f t="shared" si="64"/>
        <v>"mfg":"NEXPERIA",</v>
      </c>
      <c r="AKC14" t="str">
        <f t="shared" si="64"/>
        <v>"mfg":"PANJIT",</v>
      </c>
      <c r="AKD14" t="str">
        <f t="shared" si="64"/>
        <v>"mfg":"PANJIT",</v>
      </c>
      <c r="AKE14" t="str">
        <f t="shared" si="64"/>
        <v>"mfg":"LITTELFUSE",</v>
      </c>
      <c r="AKF14" t="str">
        <f t="shared" si="64"/>
        <v>"mfg":"THINKING",</v>
      </c>
      <c r="AKG14" t="str">
        <f t="shared" si="64"/>
        <v>"mfg":"KEMET",</v>
      </c>
      <c r="AKH14" t="str">
        <f t="shared" si="64"/>
        <v>"mfg":"MURATA MANUFACTURING",</v>
      </c>
      <c r="AKI14" t="str">
        <f t="shared" si="64"/>
        <v>"mfg":"MURATA MANUFACTURING",</v>
      </c>
      <c r="AKJ14" t="str">
        <f t="shared" si="64"/>
        <v>"mfg":"WALSIN",</v>
      </c>
      <c r="AKK14" t="str">
        <f t="shared" si="64"/>
        <v>"mfg":"WALSIN1",</v>
      </c>
      <c r="AKL14" t="str">
        <f t="shared" ref="AKL14:AMW14" si="65">_xlfn.CONCAT("""",$L$8,"""",":","""",AKL8,"""",",")</f>
        <v>"mfg":"KEMET",</v>
      </c>
      <c r="AKM14" t="str">
        <f t="shared" si="65"/>
        <v>"mfg":"KEMET",</v>
      </c>
      <c r="AKN14" t="str">
        <f t="shared" si="65"/>
        <v>"mfg":"VISHAY",</v>
      </c>
      <c r="AKO14" t="str">
        <f t="shared" si="65"/>
        <v>"mfg":"VISHAY",</v>
      </c>
      <c r="AKP14" t="str">
        <f t="shared" si="65"/>
        <v>"mfg":"TEXAS INSTRUMENTS",</v>
      </c>
      <c r="AKQ14" t="str">
        <f t="shared" si="65"/>
        <v>"mfg":"KEMET",</v>
      </c>
      <c r="AKR14" t="str">
        <f t="shared" si="65"/>
        <v>"mfg":"MURATA MANUFACTURING",</v>
      </c>
      <c r="AKS14" t="str">
        <f t="shared" si="65"/>
        <v>"mfg":"TAIYO YUDEN",</v>
      </c>
      <c r="AKT14" t="str">
        <f t="shared" si="65"/>
        <v>"mfg":"KYOCERA",</v>
      </c>
      <c r="AKU14" t="str">
        <f t="shared" si="65"/>
        <v>"mfg":"YAGEO",</v>
      </c>
      <c r="AKV14" t="str">
        <f t="shared" si="65"/>
        <v>"mfg":"AVX",</v>
      </c>
      <c r="AKW14" t="str">
        <f t="shared" si="65"/>
        <v>"mfg":"STMICROELECTRONICS",</v>
      </c>
      <c r="AKX14" t="str">
        <f t="shared" si="65"/>
        <v>"mfg":"MOLEX",</v>
      </c>
      <c r="AKY14" t="str">
        <f t="shared" si="65"/>
        <v>"mfg":"YAGEO",</v>
      </c>
      <c r="AKZ14" t="str">
        <f t="shared" si="65"/>
        <v>"mfg":"KEMET",</v>
      </c>
      <c r="ALA14" t="str">
        <f t="shared" si="65"/>
        <v>"mfg":"VISHAY",</v>
      </c>
      <c r="ALB14" t="str">
        <f t="shared" si="65"/>
        <v>"mfg":"BROADCOM",</v>
      </c>
      <c r="ALC14" t="str">
        <f t="shared" si="65"/>
        <v>"mfg":"AVX",</v>
      </c>
      <c r="ALD14" t="str">
        <f t="shared" si="65"/>
        <v>"mfg":"YAGEO",</v>
      </c>
      <c r="ALE14" t="str">
        <f t="shared" si="65"/>
        <v>"mfg":"PHILIPS",</v>
      </c>
      <c r="ALF14" t="str">
        <f t="shared" si="65"/>
        <v>"mfg":"YAGEO",</v>
      </c>
      <c r="ALG14" t="str">
        <f t="shared" si="65"/>
        <v>"mfg":"YAGEO",</v>
      </c>
      <c r="ALH14" t="str">
        <f t="shared" si="65"/>
        <v>"mfg":"VISHAY",</v>
      </c>
      <c r="ALI14" t="str">
        <f t="shared" si="65"/>
        <v>"mfg":"ROHM SEMICONDUCTOR",</v>
      </c>
      <c r="ALJ14" t="str">
        <f t="shared" si="65"/>
        <v>"mfg":"BOURNS",</v>
      </c>
      <c r="ALK14" t="str">
        <f t="shared" si="65"/>
        <v>"mfg":"TEXAS INSTRUMENTS",</v>
      </c>
      <c r="ALL14" t="str">
        <f t="shared" si="65"/>
        <v>"mfg":"NXP SEMICONDUCTORS",</v>
      </c>
      <c r="ALM14" t="str">
        <f t="shared" si="65"/>
        <v>"mfg":"STMICROELECTRONICS",</v>
      </c>
      <c r="ALN14" t="str">
        <f t="shared" si="65"/>
        <v>"mfg":"TEXAS INSTRUMENTS (CANCEL",</v>
      </c>
      <c r="ALO14" t="str">
        <f t="shared" si="65"/>
        <v>"mfg":"YAGEO",</v>
      </c>
      <c r="ALP14" t="str">
        <f t="shared" si="65"/>
        <v>"mfg":"KEMET",</v>
      </c>
      <c r="ALQ14" t="str">
        <f t="shared" si="65"/>
        <v>"mfg":"AVX",</v>
      </c>
      <c r="ALR14" t="str">
        <f t="shared" si="65"/>
        <v>"mfg":"WALSIN",</v>
      </c>
      <c r="ALS14" t="str">
        <f t="shared" si="65"/>
        <v>"mfg":"VISHAY",</v>
      </c>
      <c r="ALT14" t="str">
        <f t="shared" si="65"/>
        <v>"mfg":"VISHAY",</v>
      </c>
      <c r="ALU14" t="str">
        <f t="shared" si="65"/>
        <v>"mfg":"INTER KAPPA CORPORATION",</v>
      </c>
      <c r="ALV14" t="str">
        <f t="shared" si="65"/>
        <v>"mfg":"STMICROELECTRONICS",</v>
      </c>
      <c r="ALW14" t="str">
        <f t="shared" si="65"/>
        <v>"mfg":"YAGEO",</v>
      </c>
      <c r="ALX14" t="str">
        <f t="shared" si="65"/>
        <v>"mfg":"YAGEO",</v>
      </c>
      <c r="ALY14" t="str">
        <f t="shared" si="65"/>
        <v>"mfg":"KOA",</v>
      </c>
      <c r="ALZ14" t="str">
        <f t="shared" si="65"/>
        <v>"mfg":"WALSIN",</v>
      </c>
      <c r="AMA14" t="str">
        <f t="shared" si="65"/>
        <v>"mfg":"PANASONIC",</v>
      </c>
      <c r="AMB14" t="str">
        <f t="shared" si="65"/>
        <v>"mfg":"YAGEO",</v>
      </c>
      <c r="AMC14" t="str">
        <f t="shared" si="65"/>
        <v>"mfg":"VISHAY",</v>
      </c>
      <c r="AMD14" t="str">
        <f t="shared" si="65"/>
        <v>"mfg":"BOURNS",</v>
      </c>
      <c r="AME14" t="str">
        <f t="shared" si="65"/>
        <v>"mfg":"ROYAL OHM",</v>
      </c>
      <c r="AMF14" t="str">
        <f t="shared" si="65"/>
        <v>"mfg":"WALSIN",</v>
      </c>
      <c r="AMG14" t="str">
        <f t="shared" si="65"/>
        <v>"mfg":"AISHI",</v>
      </c>
      <c r="AMH14" t="str">
        <f t="shared" si="65"/>
        <v>"mfg":"VISHAY",</v>
      </c>
      <c r="AMI14" t="str">
        <f t="shared" si="65"/>
        <v>"mfg":"VISHAY",</v>
      </c>
      <c r="AMJ14" t="str">
        <f t="shared" si="65"/>
        <v>"mfg":"BOURNS",</v>
      </c>
      <c r="AMK14" t="str">
        <f t="shared" si="65"/>
        <v>"mfg":"ON SEMICONDUCTOR",</v>
      </c>
      <c r="AML14" t="str">
        <f t="shared" si="65"/>
        <v>"mfg":"NEXPERIA",</v>
      </c>
      <c r="AMM14" t="str">
        <f t="shared" si="65"/>
        <v>"mfg":"DiodeES INC.",</v>
      </c>
      <c r="AMN14" t="str">
        <f t="shared" si="65"/>
        <v>"mfg":"NEXPERIA",</v>
      </c>
      <c r="AMO14" t="str">
        <f t="shared" si="65"/>
        <v>"mfg":"YAGEO",</v>
      </c>
      <c r="AMP14" t="str">
        <f t="shared" si="65"/>
        <v>"mfg":"KEMET",</v>
      </c>
      <c r="AMQ14" t="str">
        <f t="shared" si="65"/>
        <v>"mfg":"TDK",</v>
      </c>
      <c r="AMR14" t="str">
        <f t="shared" si="65"/>
        <v>"mfg":"TDK",</v>
      </c>
      <c r="AMS14" t="str">
        <f t="shared" si="65"/>
        <v>"mfg":"ROYAL OHM",</v>
      </c>
      <c r="AMT14" t="str">
        <f t="shared" si="65"/>
        <v>"mfg":"YAGEO",</v>
      </c>
      <c r="AMU14" t="str">
        <f t="shared" si="65"/>
        <v>"mfg":"KEMET",</v>
      </c>
      <c r="AMV14" t="str">
        <f t="shared" si="65"/>
        <v>"mfg":"MICRO COMMERCIAL",</v>
      </c>
      <c r="AMW14" t="str">
        <f t="shared" si="65"/>
        <v>"mfg":"NXP SEMICONDUCTORS",</v>
      </c>
      <c r="AMX14" t="str">
        <f t="shared" ref="AMX14:API14" si="66">_xlfn.CONCAT("""",$L$8,"""",":","""",AMX8,"""",",")</f>
        <v>"mfg":"Dongguan",</v>
      </c>
      <c r="AMY14" t="str">
        <f t="shared" si="66"/>
        <v>"mfg":"KNSCHA ELECTRONICS",</v>
      </c>
      <c r="AMZ14" t="str">
        <f t="shared" si="66"/>
        <v>"mfg":"KNSCHA ELECTRONICS",</v>
      </c>
      <c r="ANA14" t="str">
        <f t="shared" si="66"/>
        <v>"mfg":"WURTH ELEKTRONIK",</v>
      </c>
      <c r="ANB14" t="str">
        <f t="shared" si="66"/>
        <v>"mfg":"DiodeES INC.",</v>
      </c>
      <c r="ANC14" t="str">
        <f t="shared" si="66"/>
        <v>"mfg":"YAGEO",</v>
      </c>
      <c r="AND14" t="str">
        <f t="shared" si="66"/>
        <v>"mfg":"BOURNS",</v>
      </c>
      <c r="ANE14" t="str">
        <f t="shared" si="66"/>
        <v>"mfg":"YAGEO",</v>
      </c>
      <c r="ANF14" t="str">
        <f t="shared" si="66"/>
        <v>"mfg":"WALSIN",</v>
      </c>
      <c r="ANG14" t="str">
        <f t="shared" si="66"/>
        <v>"mfg":"WALSIN",</v>
      </c>
      <c r="ANH14" t="str">
        <f t="shared" si="66"/>
        <v>"mfg":"YAGEO",</v>
      </c>
      <c r="ANI14" t="str">
        <f t="shared" si="66"/>
        <v>"mfg":"YAGEO",</v>
      </c>
      <c r="ANJ14" t="str">
        <f t="shared" si="66"/>
        <v>"mfg":"STMICROELECTRONICS",</v>
      </c>
      <c r="ANK14" t="str">
        <f t="shared" si="66"/>
        <v>"mfg":"YAGEO",</v>
      </c>
      <c r="ANL14" t="str">
        <f t="shared" si="66"/>
        <v>"mfg":"YAGEO",</v>
      </c>
      <c r="ANM14" t="str">
        <f t="shared" si="66"/>
        <v>"mfg":"WALSIN",</v>
      </c>
      <c r="ANN14" t="str">
        <f t="shared" si="66"/>
        <v>"mfg":"WALSIN",</v>
      </c>
      <c r="ANO14" t="str">
        <f t="shared" si="66"/>
        <v>"mfg":"YAGEO",</v>
      </c>
      <c r="ANP14" t="str">
        <f t="shared" si="66"/>
        <v>"mfg":"AVX",</v>
      </c>
      <c r="ANQ14" t="str">
        <f t="shared" si="66"/>
        <v>"mfg":"YAGEO",</v>
      </c>
      <c r="ANR14" t="str">
        <f t="shared" si="66"/>
        <v>"mfg":"SAMSUNG",</v>
      </c>
      <c r="ANS14" t="str">
        <f t="shared" si="66"/>
        <v>"mfg":"WALSIN",</v>
      </c>
      <c r="ANT14" t="str">
        <f t="shared" si="66"/>
        <v>"mfg":"ON SEMICONDUCTOR",</v>
      </c>
      <c r="ANU14" t="str">
        <f t="shared" si="66"/>
        <v>"mfg":"STMICROELECTRONICS",</v>
      </c>
      <c r="ANV14" t="str">
        <f t="shared" si="66"/>
        <v>"mfg":"MICRO COMMERCIAL",</v>
      </c>
      <c r="ANW14" t="str">
        <f t="shared" si="66"/>
        <v>"mfg":"WURTH ELEKTRONIK",</v>
      </c>
      <c r="ANX14" t="str">
        <f t="shared" si="66"/>
        <v>"mfg":"YAGEO",</v>
      </c>
      <c r="ANY14" t="str">
        <f t="shared" si="66"/>
        <v>"mfg":"KEMET",</v>
      </c>
      <c r="ANZ14" t="str">
        <f t="shared" si="66"/>
        <v>"mfg":"ON SEMICONDUCTOR",</v>
      </c>
      <c r="AOA14" t="str">
        <f t="shared" si="66"/>
        <v>"mfg":"LITTELFUSE",</v>
      </c>
      <c r="AOB14" t="str">
        <f t="shared" si="66"/>
        <v>"mfg":"VISHAY",</v>
      </c>
      <c r="AOC14" t="str">
        <f t="shared" si="66"/>
        <v>"mfg":"ROYAL OHM",</v>
      </c>
      <c r="AOD14" t="str">
        <f t="shared" si="66"/>
        <v>"mfg":"YAGEO",</v>
      </c>
      <c r="AOE14" t="str">
        <f t="shared" si="66"/>
        <v>"mfg":"YAGEO",</v>
      </c>
      <c r="AOF14" t="str">
        <f t="shared" si="66"/>
        <v>"mfg":"ROYAL OHM",</v>
      </c>
      <c r="AOG14" t="str">
        <f t="shared" si="66"/>
        <v>"mfg":"STMICROELECTRONICS",</v>
      </c>
      <c r="AOH14" t="str">
        <f t="shared" si="66"/>
        <v>"mfg":"NICHICON",</v>
      </c>
      <c r="AOI14" t="str">
        <f t="shared" si="66"/>
        <v>"mfg":"NICHICON",</v>
      </c>
      <c r="AOJ14" t="str">
        <f t="shared" si="66"/>
        <v>"mfg":"ROYAL OHM",</v>
      </c>
      <c r="AOK14" t="str">
        <f t="shared" si="66"/>
        <v>"mfg":"AMETHERM",</v>
      </c>
      <c r="AOL14" t="str">
        <f t="shared" si="66"/>
        <v>"mfg":"Nanjing Kemin Electronics",</v>
      </c>
      <c r="AOM14" t="str">
        <f t="shared" si="66"/>
        <v>"mfg":"Semitec",</v>
      </c>
      <c r="AON14" t="str">
        <f t="shared" si="66"/>
        <v>"mfg":"YAGEO",</v>
      </c>
      <c r="AOO14" t="str">
        <f t="shared" si="66"/>
        <v>"mfg":"KEMET",</v>
      </c>
      <c r="AOP14" t="str">
        <f t="shared" si="66"/>
        <v>"mfg":"KEMET",</v>
      </c>
      <c r="AOQ14" t="str">
        <f t="shared" si="66"/>
        <v>"mfg":"VISHAY",</v>
      </c>
      <c r="AOR14" t="str">
        <f t="shared" si="66"/>
        <v>"mfg":"CDE(CORNELLDUBILIER)",</v>
      </c>
      <c r="AOS14" t="str">
        <f t="shared" si="66"/>
        <v>"mfg":"YAGEO",</v>
      </c>
      <c r="AOT14" t="str">
        <f t="shared" si="66"/>
        <v>"mfg":"YAGEO",</v>
      </c>
      <c r="AOU14" t="str">
        <f t="shared" si="66"/>
        <v>"mfg":"EPCOS/TDK",</v>
      </c>
      <c r="AOV14" t="str">
        <f t="shared" si="66"/>
        <v>"mfg":"Galaxy Semiconductor",</v>
      </c>
      <c r="AOW14" t="str">
        <f t="shared" si="66"/>
        <v>"mfg":"YANGZHOU YANGJIE",</v>
      </c>
      <c r="AOX14" t="str">
        <f t="shared" si="66"/>
        <v>"mfg":"FARATRONIC",</v>
      </c>
      <c r="AOY14" t="str">
        <f t="shared" si="66"/>
        <v>"mfg":"MICROCHIP",</v>
      </c>
      <c r="AOZ14" t="str">
        <f t="shared" si="66"/>
        <v>"mfg":"YAGEO",</v>
      </c>
      <c r="APA14" t="str">
        <f t="shared" si="66"/>
        <v>"mfg":"VISHAY",</v>
      </c>
      <c r="APB14" t="str">
        <f t="shared" si="66"/>
        <v>"mfg":"KOA",</v>
      </c>
      <c r="APC14" t="str">
        <f t="shared" si="66"/>
        <v>"mfg":"YAGEO",</v>
      </c>
      <c r="APD14" t="str">
        <f t="shared" si="66"/>
        <v>"mfg":"I.T.S FASTENERS",</v>
      </c>
      <c r="APE14" t="str">
        <f t="shared" si="66"/>
        <v>"mfg":"PIN SHINE INDUSTRIAL",</v>
      </c>
      <c r="APF14" t="str">
        <f t="shared" si="66"/>
        <v>"mfg":"TDK",</v>
      </c>
      <c r="APG14" t="str">
        <f t="shared" si="66"/>
        <v>"mfg":"YING CHIN",</v>
      </c>
      <c r="APH14" t="str">
        <f t="shared" si="66"/>
        <v>"mfg":"LITTELFUSE",</v>
      </c>
      <c r="API14" t="str">
        <f t="shared" si="66"/>
        <v>"mfg":"EATON",</v>
      </c>
      <c r="APJ14" t="str">
        <f t="shared" ref="APJ14:ARU14" si="67">_xlfn.CONCAT("""",$L$8,"""",":","""",APJ8,"""",",")</f>
        <v>"mfg":"STMICROELECTRONICS",</v>
      </c>
      <c r="APK14" t="str">
        <f t="shared" si="67"/>
        <v>"mfg":"STMICROELECTRONICS",</v>
      </c>
      <c r="APL14" t="str">
        <f t="shared" si="67"/>
        <v>"mfg":"MURATA MANUFACTURING",</v>
      </c>
      <c r="APM14" t="str">
        <f t="shared" si="67"/>
        <v>"mfg":"TAIYO YUDEN",</v>
      </c>
      <c r="APN14" t="str">
        <f t="shared" si="67"/>
        <v>"mfg":"TAIYO YUDEN",</v>
      </c>
      <c r="APO14" t="str">
        <f t="shared" si="67"/>
        <v>"mfg":"TEXAS INSTRUMENTS",</v>
      </c>
      <c r="APP14" t="str">
        <f t="shared" si="67"/>
        <v>"mfg":"PANASONIC",</v>
      </c>
      <c r="APQ14" t="str">
        <f t="shared" si="67"/>
        <v>"mfg":"PANASONIC",</v>
      </c>
      <c r="APR14" t="str">
        <f t="shared" si="67"/>
        <v>"mfg":"YAGEO",</v>
      </c>
      <c r="APS14" t="str">
        <f t="shared" si="67"/>
        <v>"mfg":"YAGEO",</v>
      </c>
      <c r="APT14" t="str">
        <f t="shared" si="67"/>
        <v>"mfg":"LITTELFUSE",</v>
      </c>
      <c r="APU14" t="str">
        <f t="shared" si="67"/>
        <v>"mfg":"VISHAY",</v>
      </c>
      <c r="APV14" t="str">
        <f t="shared" si="67"/>
        <v>"mfg":"STMICROELECTRONICS",</v>
      </c>
      <c r="APW14" t="str">
        <f t="shared" si="67"/>
        <v>"mfg":"FAGOR",</v>
      </c>
      <c r="APX14" t="str">
        <f t="shared" si="67"/>
        <v>"mfg":"AMETHERM",</v>
      </c>
      <c r="APY14" t="str">
        <f t="shared" si="67"/>
        <v>"mfg":"KOA",</v>
      </c>
      <c r="APZ14" t="str">
        <f t="shared" si="67"/>
        <v>"mfg":"KEMET",</v>
      </c>
      <c r="AQA14" t="str">
        <f t="shared" si="67"/>
        <v>"mfg":"KEMET",</v>
      </c>
      <c r="AQB14" t="str">
        <f t="shared" si="67"/>
        <v>"mfg":"DiodeES INC.",</v>
      </c>
      <c r="AQC14" t="str">
        <f t="shared" si="67"/>
        <v>"mfg":"VISHAY",</v>
      </c>
      <c r="AQD14" t="str">
        <f t="shared" si="67"/>
        <v>"mfg":"KOA",</v>
      </c>
      <c r="AQE14" t="str">
        <f t="shared" si="67"/>
        <v>"mfg":"KOA",</v>
      </c>
      <c r="AQF14" t="str">
        <f t="shared" si="67"/>
        <v>"mfg":"YAGEO",</v>
      </c>
      <c r="AQG14" t="str">
        <f t="shared" si="67"/>
        <v>"mfg":"YAGEO",</v>
      </c>
      <c r="AQH14" t="str">
        <f t="shared" si="67"/>
        <v>"mfg":"AVX",</v>
      </c>
      <c r="AQI14" t="str">
        <f t="shared" si="67"/>
        <v>"mfg":"AVX",</v>
      </c>
      <c r="AQJ14" t="str">
        <f t="shared" si="67"/>
        <v>"mfg":"MURATA MANUFACTURING",</v>
      </c>
      <c r="AQK14" t="str">
        <f t="shared" si="67"/>
        <v>"mfg":"ROYAL OHM",</v>
      </c>
      <c r="AQL14" t="str">
        <f t="shared" si="67"/>
        <v>"mfg":"STACKPOLE ELECTRONICS INC",</v>
      </c>
      <c r="AQM14" t="str">
        <f t="shared" si="67"/>
        <v>"mfg":"MAXIM",</v>
      </c>
      <c r="AQN14" t="str">
        <f t="shared" si="67"/>
        <v>"mfg":"MAXIM",</v>
      </c>
      <c r="AQO14" t="str">
        <f t="shared" si="67"/>
        <v>"mfg":"SAMTEC",</v>
      </c>
      <c r="AQP14" t="str">
        <f t="shared" si="67"/>
        <v>"mfg":"SAMTEC",</v>
      </c>
      <c r="AQQ14" t="str">
        <f t="shared" si="67"/>
        <v>"mfg":"SAMTEC",</v>
      </c>
      <c r="AQR14" t="str">
        <f t="shared" si="67"/>
        <v>"mfg":"ANTELEC",</v>
      </c>
      <c r="AQS14" t="str">
        <f t="shared" si="67"/>
        <v>"mfg":"PLASTRON",</v>
      </c>
      <c r="AQT14" t="str">
        <f t="shared" si="67"/>
        <v>"mfg":"WAYCONN",</v>
      </c>
      <c r="AQU14" t="str">
        <f t="shared" si="67"/>
        <v>"mfg":"VISHAY",</v>
      </c>
      <c r="AQV14" t="str">
        <f t="shared" si="67"/>
        <v>"mfg":"ON SEMICONDUCTOR",</v>
      </c>
      <c r="AQW14" t="str">
        <f t="shared" si="67"/>
        <v>"mfg":"STMICROELECTRONICS",</v>
      </c>
      <c r="AQX14" t="str">
        <f t="shared" si="67"/>
        <v>"mfg":"KEMET",</v>
      </c>
      <c r="AQY14" t="str">
        <f t="shared" si="67"/>
        <v>"mfg":"WALSIN",</v>
      </c>
      <c r="AQZ14" t="str">
        <f t="shared" si="67"/>
        <v>"mfg":"Syfer",</v>
      </c>
      <c r="ARA14" t="str">
        <f t="shared" si="67"/>
        <v>"mfg":"ON SEMICONDUCTOR",</v>
      </c>
      <c r="ARB14" t="str">
        <f t="shared" si="67"/>
        <v>"mfg":"ROYAL OHM",</v>
      </c>
      <c r="ARC14" t="str">
        <f t="shared" si="67"/>
        <v>"mfg":"STACKPOLE ELECTRONICS INC",</v>
      </c>
      <c r="ARD14" t="str">
        <f t="shared" si="67"/>
        <v>"mfg":"INFINEON TECHNOLOGIES",</v>
      </c>
      <c r="ARE14" t="str">
        <f t="shared" si="67"/>
        <v>"mfg":"DiodeES INC.",</v>
      </c>
      <c r="ARF14" t="str">
        <f t="shared" si="67"/>
        <v>"mfg":"DiodeES INC.",</v>
      </c>
      <c r="ARG14" t="str">
        <f t="shared" si="67"/>
        <v>"mfg":"NEXPERIA",</v>
      </c>
      <c r="ARH14" t="str">
        <f t="shared" si="67"/>
        <v>"mfg":"STMICROELECTRONICS",</v>
      </c>
      <c r="ARI14" t="str">
        <f t="shared" si="67"/>
        <v>"mfg":"STMICROELECTRONICS",</v>
      </c>
      <c r="ARJ14" t="str">
        <f t="shared" si="67"/>
        <v>"mfg":"MICROCHIP",</v>
      </c>
      <c r="ARK14" t="str">
        <f t="shared" si="67"/>
        <v>"mfg":"MURATA MANUFACTURING",</v>
      </c>
      <c r="ARL14" t="str">
        <f t="shared" si="67"/>
        <v>"mfg":"PANASONIC",</v>
      </c>
      <c r="ARM14" t="str">
        <f t="shared" si="67"/>
        <v>"mfg":"YAGEO",</v>
      </c>
      <c r="ARN14" t="str">
        <f t="shared" si="67"/>
        <v>"mfg":"KOA",</v>
      </c>
      <c r="ARO14" t="str">
        <f t="shared" si="67"/>
        <v>"mfg":"SUSUMU INTERNATIONAL",</v>
      </c>
      <c r="ARP14" t="str">
        <f t="shared" si="67"/>
        <v>"mfg":"KOA",</v>
      </c>
      <c r="ARQ14" t="str">
        <f t="shared" si="67"/>
        <v>"mfg":"ROYAL OHM",</v>
      </c>
      <c r="ARR14" t="str">
        <f t="shared" si="67"/>
        <v>"mfg":"STACKPOLE ELECTRONICS INC",</v>
      </c>
      <c r="ARS14" t="str">
        <f t="shared" si="67"/>
        <v>"mfg":"LITE-ON",</v>
      </c>
      <c r="ART14" t="str">
        <f t="shared" si="67"/>
        <v>"mfg":"EPCOS/TDK",</v>
      </c>
      <c r="ARU14" t="str">
        <f t="shared" si="67"/>
        <v>"mfg":"EPCOS/TDK",</v>
      </c>
      <c r="ARV14" t="str">
        <f t="shared" ref="ARV14:AUG14" si="68">_xlfn.CONCAT("""",$L$8,"""",":","""",ARV8,"""",",")</f>
        <v>"mfg":"RUBYCON",</v>
      </c>
      <c r="ARW14" t="str">
        <f t="shared" si="68"/>
        <v>"mfg":"BOURNS",</v>
      </c>
      <c r="ARX14" t="str">
        <f t="shared" si="68"/>
        <v>"mfg":"EPCOS/TDK",</v>
      </c>
      <c r="ARY14" t="str">
        <f t="shared" si="68"/>
        <v>"mfg":"EPCOS/TDK",</v>
      </c>
      <c r="ARZ14" t="str">
        <f t="shared" si="68"/>
        <v>"mfg":"YAGEO",</v>
      </c>
      <c r="ASA14" t="str">
        <f t="shared" si="68"/>
        <v>"mfg":"BOURNS",</v>
      </c>
      <c r="ASB14" t="str">
        <f t="shared" si="68"/>
        <v>"mfg":"BCC",</v>
      </c>
      <c r="ASC14" t="str">
        <f t="shared" si="68"/>
        <v>"mfg":"TOREX",</v>
      </c>
      <c r="ASD14" t="str">
        <f t="shared" si="68"/>
        <v>"mfg":"TOREX",</v>
      </c>
      <c r="ASE14" t="str">
        <f t="shared" si="68"/>
        <v>"mfg":"VISHAY",</v>
      </c>
      <c r="ASF14" t="str">
        <f t="shared" si="68"/>
        <v>"mfg":"MURATA MANUFACTURING",</v>
      </c>
      <c r="ASG14" t="str">
        <f t="shared" si="68"/>
        <v>"mfg":"VISHAY",</v>
      </c>
      <c r="ASH14" t="str">
        <f t="shared" si="68"/>
        <v>"mfg":"VISHAY",</v>
      </c>
      <c r="ASI14" t="str">
        <f t="shared" si="68"/>
        <v>"mfg":"VISHAY",</v>
      </c>
      <c r="ASJ14" t="str">
        <f t="shared" si="68"/>
        <v>"mfg":"MURATA MANUFACTURING",</v>
      </c>
      <c r="ASK14" t="str">
        <f t="shared" si="68"/>
        <v>"mfg":"TAIYO YUDEN",</v>
      </c>
      <c r="ASL14" t="str">
        <f t="shared" si="68"/>
        <v>"mfg":"TAIYO YUDEN",</v>
      </c>
      <c r="ASM14" t="str">
        <f t="shared" si="68"/>
        <v>"mfg":"BOURNS",</v>
      </c>
      <c r="ASN14" t="str">
        <f t="shared" si="68"/>
        <v>"mfg":"VISHAY",</v>
      </c>
      <c r="ASO14" t="str">
        <f t="shared" si="68"/>
        <v>"mfg":"KEMET",</v>
      </c>
      <c r="ASP14" t="str">
        <f t="shared" si="68"/>
        <v>"mfg":"KEMET",</v>
      </c>
      <c r="ASQ14" t="str">
        <f t="shared" si="68"/>
        <v>"mfg":"KEMET",</v>
      </c>
      <c r="ASR14" t="str">
        <f t="shared" si="68"/>
        <v>"mfg":"MURATA MANUFACTURING",</v>
      </c>
      <c r="ASS14" t="str">
        <f t="shared" si="68"/>
        <v>"mfg":"YAGEO",</v>
      </c>
      <c r="AST14" t="str">
        <f t="shared" si="68"/>
        <v>"mfg":"ON SEMICONDUCTOR",</v>
      </c>
      <c r="ASU14" t="str">
        <f t="shared" si="68"/>
        <v>"mfg":"ON SEMICONDUCTOR",</v>
      </c>
      <c r="ASV14" t="str">
        <f t="shared" si="68"/>
        <v>"mfg":"TT ELECTRONICS",</v>
      </c>
      <c r="ASW14" t="str">
        <f t="shared" si="68"/>
        <v>"mfg":"TT ELECTRONICS",</v>
      </c>
      <c r="ASX14" t="str">
        <f t="shared" si="68"/>
        <v>"mfg":"VISHAY",</v>
      </c>
      <c r="ASY14" t="str">
        <f t="shared" si="68"/>
        <v>"mfg":"ROYAL OHM",</v>
      </c>
      <c r="ASZ14" t="str">
        <f t="shared" si="68"/>
        <v>"mfg":"TE CONNECTIVITY",</v>
      </c>
      <c r="ATA14" t="str">
        <f t="shared" si="68"/>
        <v>"mfg":"YAGEO",</v>
      </c>
      <c r="ATB14" t="str">
        <f t="shared" si="68"/>
        <v>"mfg":"VISHAY",</v>
      </c>
      <c r="ATC14" t="str">
        <f t="shared" si="68"/>
        <v>"mfg":"YAGEO",</v>
      </c>
      <c r="ATD14" t="str">
        <f t="shared" si="68"/>
        <v>"mfg":"YAGEO",</v>
      </c>
      <c r="ATE14" t="str">
        <f t="shared" si="68"/>
        <v>"mfg":"KEMET",</v>
      </c>
      <c r="ATF14" t="str">
        <f t="shared" si="68"/>
        <v>"mfg":"KEMET",</v>
      </c>
      <c r="ATG14" t="str">
        <f t="shared" si="68"/>
        <v>"mfg":"TAIYO YUDEN",</v>
      </c>
      <c r="ATH14" t="str">
        <f t="shared" si="68"/>
        <v>"mfg":"TDK",</v>
      </c>
      <c r="ATI14" t="str">
        <f t="shared" si="68"/>
        <v>"mfg":"KEMET",</v>
      </c>
      <c r="ATJ14" t="str">
        <f t="shared" si="68"/>
        <v>"mfg":"KEMET",</v>
      </c>
      <c r="ATK14" t="str">
        <f t="shared" si="68"/>
        <v>"mfg":"DiodeES INC.",</v>
      </c>
      <c r="ATL14" t="str">
        <f t="shared" si="68"/>
        <v>"mfg":"YAGEO",</v>
      </c>
      <c r="ATM14" t="str">
        <f t="shared" si="68"/>
        <v>"mfg":"KEMET",</v>
      </c>
      <c r="ATN14" t="str">
        <f t="shared" si="68"/>
        <v>"mfg":"AVX",</v>
      </c>
      <c r="ATO14" t="str">
        <f t="shared" si="68"/>
        <v>"mfg":"SAMSUNG",</v>
      </c>
      <c r="ATP14" t="str">
        <f t="shared" si="68"/>
        <v>"mfg":"BMA TECHNOLOGIES",</v>
      </c>
      <c r="ATQ14" t="str">
        <f t="shared" si="68"/>
        <v>"mfg":"SAMTEC",</v>
      </c>
      <c r="ATR14" t="str">
        <f t="shared" si="68"/>
        <v>"mfg":"ZHUHAI TONGXI ELECTRONICS",</v>
      </c>
      <c r="ATS14" t="str">
        <f t="shared" si="68"/>
        <v>"mfg":"KEMET",</v>
      </c>
      <c r="ATT14" t="str">
        <f t="shared" si="68"/>
        <v>"mfg":"MURATA MANUFACTURING",</v>
      </c>
      <c r="ATU14" t="str">
        <f t="shared" si="68"/>
        <v>"mfg":"TAIYO YUDEN",</v>
      </c>
      <c r="ATV14" t="str">
        <f t="shared" si="68"/>
        <v>"mfg":"KYOCERA",</v>
      </c>
      <c r="ATW14" t="str">
        <f t="shared" si="68"/>
        <v>"mfg":"VISHAY",</v>
      </c>
      <c r="ATX14" t="str">
        <f t="shared" si="68"/>
        <v>"mfg":"DiodeES INC.",</v>
      </c>
      <c r="ATY14" t="str">
        <f t="shared" si="68"/>
        <v>"mfg":"ON SEMICONDUCTOR",</v>
      </c>
      <c r="ATZ14" t="str">
        <f t="shared" si="68"/>
        <v>"mfg":"ON SEMICONDUCTOR",</v>
      </c>
      <c r="AUA14" t="str">
        <f t="shared" si="68"/>
        <v>"mfg":"VISHAY",</v>
      </c>
      <c r="AUB14" t="str">
        <f t="shared" si="68"/>
        <v>"mfg":"TDK",</v>
      </c>
      <c r="AUC14" t="str">
        <f t="shared" si="68"/>
        <v>"mfg":"TEXAS INSTRUMENTS",</v>
      </c>
      <c r="AUD14" t="str">
        <f t="shared" si="68"/>
        <v>"mfg":"TEXAS INSTRUMENTS",</v>
      </c>
      <c r="AUE14" t="str">
        <f t="shared" si="68"/>
        <v>"mfg":"ANALOG DEVICES",</v>
      </c>
      <c r="AUF14" t="str">
        <f t="shared" si="68"/>
        <v>"mfg":"BELFUSE",</v>
      </c>
      <c r="AUG14" t="str">
        <f t="shared" si="68"/>
        <v>"mfg":"STACKPOLE ELECTRONICS INC",</v>
      </c>
      <c r="AUH14" t="str">
        <f t="shared" ref="AUH14:AWS14" si="69">_xlfn.CONCAT("""",$L$8,"""",":","""",AUH8,"""",",")</f>
        <v>"mfg":"VISHAY",</v>
      </c>
      <c r="AUI14" t="str">
        <f t="shared" si="69"/>
        <v>"mfg":"DiodeES INC.",</v>
      </c>
      <c r="AUJ14" t="str">
        <f t="shared" si="69"/>
        <v>"mfg":"FAGOR",</v>
      </c>
      <c r="AUK14" t="str">
        <f t="shared" si="69"/>
        <v>"mfg":"YAGEO",</v>
      </c>
      <c r="AUL14" t="str">
        <f t="shared" si="69"/>
        <v>"mfg":"YAGEO",</v>
      </c>
      <c r="AUM14" t="str">
        <f t="shared" si="69"/>
        <v>"mfg":"SEI",</v>
      </c>
      <c r="AUN14" t="str">
        <f t="shared" si="69"/>
        <v>"mfg":"MULTICOMP",</v>
      </c>
      <c r="AUO14" t="str">
        <f t="shared" si="69"/>
        <v>"mfg":"PANASONIC",</v>
      </c>
      <c r="AUP14" t="str">
        <f t="shared" si="69"/>
        <v>"mfg":"PANASONIC",</v>
      </c>
      <c r="AUQ14" t="str">
        <f t="shared" si="69"/>
        <v>"mfg":"PANASONIC",</v>
      </c>
      <c r="AUR14" t="str">
        <f t="shared" si="69"/>
        <v>"mfg":"NICHICON",</v>
      </c>
      <c r="AUS14" t="str">
        <f t="shared" si="69"/>
        <v>"mfg":"NIPPON CHEMI-CON",</v>
      </c>
      <c r="AUT14" t="str">
        <f t="shared" si="69"/>
        <v>"mfg":"NIPPON CHEMI-CON",</v>
      </c>
      <c r="AUU14" t="str">
        <f t="shared" si="69"/>
        <v>"mfg":"RUBYCON",</v>
      </c>
      <c r="AUV14" t="str">
        <f t="shared" si="69"/>
        <v>"mfg":"UNITED CHEMI-CON",</v>
      </c>
      <c r="AUW14" t="str">
        <f t="shared" si="69"/>
        <v>"mfg":"UNITED CHEMI-CON",</v>
      </c>
      <c r="AUX14" t="str">
        <f t="shared" si="69"/>
        <v>"mfg":"PAM (THAILAND) CO.,LTD",</v>
      </c>
      <c r="AUY14" t="str">
        <f t="shared" si="69"/>
        <v>"mfg":"KOA",</v>
      </c>
      <c r="AUZ14" t="str">
        <f t="shared" si="69"/>
        <v>"mfg":"ROYAL OHM",</v>
      </c>
      <c r="AVA14" t="str">
        <f t="shared" si="69"/>
        <v>"mfg":"YAGEO",</v>
      </c>
      <c r="AVB14" t="str">
        <f t="shared" si="69"/>
        <v>"mfg":"LITTELFUSE",</v>
      </c>
      <c r="AVC14" t="str">
        <f t="shared" si="69"/>
        <v>"mfg":"MICRON",</v>
      </c>
      <c r="AVD14" t="str">
        <f t="shared" si="69"/>
        <v>"mfg":"WINBOND",</v>
      </c>
      <c r="AVE14" t="str">
        <f t="shared" si="69"/>
        <v>"mfg":"WINBOND",</v>
      </c>
      <c r="AVF14" t="str">
        <f t="shared" si="69"/>
        <v>"mfg":"YAGEO",</v>
      </c>
      <c r="AVG14" t="str">
        <f t="shared" si="69"/>
        <v>"mfg":"BOURNS",</v>
      </c>
      <c r="AVH14" t="str">
        <f t="shared" si="69"/>
        <v>"mfg":"BOURNS",</v>
      </c>
      <c r="AVI14" t="str">
        <f t="shared" si="69"/>
        <v>"mfg":"YAGEO",</v>
      </c>
      <c r="AVJ14" t="str">
        <f t="shared" si="69"/>
        <v>"mfg":"VISHAY",</v>
      </c>
      <c r="AVK14" t="str">
        <f t="shared" si="69"/>
        <v>"mfg":"KOA",</v>
      </c>
      <c r="AVL14" t="str">
        <f t="shared" si="69"/>
        <v>"mfg":"ROYAL OHM",</v>
      </c>
      <c r="AVM14" t="str">
        <f t="shared" si="69"/>
        <v>"mfg":"WALSIN",</v>
      </c>
      <c r="AVN14" t="str">
        <f t="shared" si="69"/>
        <v>"mfg":"BOURNS",</v>
      </c>
      <c r="AVO14" t="str">
        <f t="shared" si="69"/>
        <v>"mfg":"YAGEO",</v>
      </c>
      <c r="AVP14" t="str">
        <f t="shared" si="69"/>
        <v>"mfg":"KEMET",</v>
      </c>
      <c r="AVQ14" t="str">
        <f t="shared" si="69"/>
        <v>"mfg":"STMICROELECTRONICS",</v>
      </c>
      <c r="AVR14" t="str">
        <f t="shared" si="69"/>
        <v>"mfg":"EPCOS/TDK",</v>
      </c>
      <c r="AVS14" t="str">
        <f t="shared" si="69"/>
        <v>"mfg":"ROYAL OHM",</v>
      </c>
      <c r="AVT14" t="str">
        <f t="shared" si="69"/>
        <v>"mfg":"STACKPOLE ELECTRONICS INC",</v>
      </c>
      <c r="AVU14" t="str">
        <f t="shared" si="69"/>
        <v>"mfg":"KEMET",</v>
      </c>
      <c r="AVV14" t="str">
        <f t="shared" si="69"/>
        <v>"mfg":"MURATA MANUFACTURING",</v>
      </c>
      <c r="AVW14" t="str">
        <f t="shared" si="69"/>
        <v>"mfg":"BROADCOM",</v>
      </c>
      <c r="AVX14" t="str">
        <f t="shared" si="69"/>
        <v>"mfg":"BROADCOM",</v>
      </c>
      <c r="AVY14" t="str">
        <f t="shared" si="69"/>
        <v>"mfg":"BROADCOM",</v>
      </c>
      <c r="AVZ14" t="str">
        <f t="shared" si="69"/>
        <v>"mfg":"BROADCOM",</v>
      </c>
      <c r="AWA14" t="str">
        <f t="shared" si="69"/>
        <v>"mfg":"STMICROELECTRONICS",</v>
      </c>
      <c r="AWB14" t="str">
        <f t="shared" si="69"/>
        <v>"mfg":"STMICROELECTRONICS",</v>
      </c>
      <c r="AWC14" t="str">
        <f t="shared" si="69"/>
        <v>"mfg":"EPCOS/TDK",</v>
      </c>
      <c r="AWD14" t="str">
        <f t="shared" si="69"/>
        <v>"mfg":"EPCOS/TDK",</v>
      </c>
      <c r="AWE14" t="str">
        <f t="shared" si="69"/>
        <v>"mfg":"ON SEMICONDUCTOR",</v>
      </c>
      <c r="AWF14" t="str">
        <f t="shared" si="69"/>
        <v>"mfg":"AVX",</v>
      </c>
      <c r="AWG14" t="str">
        <f t="shared" si="69"/>
        <v>"mfg":"KEMET",</v>
      </c>
      <c r="AWH14" t="str">
        <f t="shared" si="69"/>
        <v>"mfg":"COOPER BUSSMANN",</v>
      </c>
      <c r="AWI14" t="str">
        <f t="shared" si="69"/>
        <v>"mfg":"EATON",</v>
      </c>
      <c r="AWJ14" t="str">
        <f t="shared" si="69"/>
        <v>"mfg":"MERSEN",</v>
      </c>
      <c r="AWK14" t="str">
        <f t="shared" si="69"/>
        <v>"mfg":"MURATA MANUFACTURING",</v>
      </c>
      <c r="AWL14" t="str">
        <f t="shared" si="69"/>
        <v>"mfg":"MURATA MANUFACTURING",</v>
      </c>
      <c r="AWM14" t="str">
        <f t="shared" si="69"/>
        <v>"mfg":"YAGEO",</v>
      </c>
      <c r="AWN14" t="str">
        <f t="shared" si="69"/>
        <v>"mfg":"VIKING TECH AMERICA CORP",</v>
      </c>
      <c r="AWO14" t="str">
        <f t="shared" si="69"/>
        <v>"mfg":"VIKING TECH AMERICA CORP",</v>
      </c>
      <c r="AWP14" t="str">
        <f t="shared" si="69"/>
        <v>"mfg":"ABRACON",</v>
      </c>
      <c r="AWQ14" t="str">
        <f t="shared" si="69"/>
        <v>"mfg":"ON SEMICONDUCTOR",</v>
      </c>
      <c r="AWR14" t="str">
        <f t="shared" si="69"/>
        <v>"mfg":"ON SEMICONDUCTOR",</v>
      </c>
      <c r="AWS14" t="str">
        <f t="shared" si="69"/>
        <v>"mfg":"EPCOS/TDK",</v>
      </c>
      <c r="AWT14" t="str">
        <f t="shared" ref="AWT14:AZE14" si="70">_xlfn.CONCAT("""",$L$8,"""",":","""",AWT8,"""",",")</f>
        <v>"mfg":"YAGEO",</v>
      </c>
      <c r="AWU14" t="str">
        <f t="shared" si="70"/>
        <v>"mfg":"KOA",</v>
      </c>
      <c r="AWV14" t="str">
        <f t="shared" si="70"/>
        <v>"mfg":"KOA",</v>
      </c>
      <c r="AWW14" t="str">
        <f t="shared" si="70"/>
        <v>"mfg":"WALSIN",</v>
      </c>
      <c r="AWX14" t="str">
        <f t="shared" si="70"/>
        <v>"mfg":"HARWIN",</v>
      </c>
      <c r="AWY14" t="str">
        <f t="shared" si="70"/>
        <v>"mfg":"EPCOS/TDK",</v>
      </c>
      <c r="AWZ14" t="str">
        <f t="shared" si="70"/>
        <v>"mfg":"TEXAS INSTRUMENTS",</v>
      </c>
      <c r="AXA14" t="str">
        <f t="shared" si="70"/>
        <v>"mfg":"TEXAS INSTRUMENTS",</v>
      </c>
      <c r="AXB14" t="str">
        <f t="shared" si="70"/>
        <v>"mfg":"ROYAL OHM",</v>
      </c>
      <c r="AXC14" t="str">
        <f t="shared" si="70"/>
        <v>"mfg":"3M",</v>
      </c>
      <c r="AXD14" t="str">
        <f t="shared" si="70"/>
        <v>"mfg":"PANASONIC",</v>
      </c>
      <c r="AXE14" t="str">
        <f t="shared" si="70"/>
        <v>"mfg":"YAGEO",</v>
      </c>
      <c r="AXF14" t="str">
        <f t="shared" si="70"/>
        <v>"mfg":"ROYAL OHM",</v>
      </c>
      <c r="AXG14" t="str">
        <f t="shared" si="70"/>
        <v>"mfg":"EPCOS/TDK",</v>
      </c>
      <c r="AXH14" t="str">
        <f t="shared" si="70"/>
        <v>"mfg":"KEMET",</v>
      </c>
      <c r="AXI14" t="str">
        <f t="shared" si="70"/>
        <v>"mfg":"VISHAY",</v>
      </c>
      <c r="AXJ14" t="str">
        <f t="shared" si="70"/>
        <v>"mfg":"PAM (THAILAND) CO.,LTD",</v>
      </c>
      <c r="AXK14" t="str">
        <f t="shared" si="70"/>
        <v>"mfg":"YAGEO",</v>
      </c>
      <c r="AXL14" t="str">
        <f t="shared" si="70"/>
        <v>"mfg":"ON SEMICONDUCTOR",</v>
      </c>
      <c r="AXM14" t="str">
        <f t="shared" si="70"/>
        <v>"mfg":"INFINEON TECHNOLOGIES",</v>
      </c>
      <c r="AXN14" t="str">
        <f t="shared" si="70"/>
        <v>"mfg":"INFINEON TECHNOLOGIES",</v>
      </c>
      <c r="AXO14" t="str">
        <f t="shared" si="70"/>
        <v>"mfg":"SEMTECH",</v>
      </c>
      <c r="AXP14" t="str">
        <f t="shared" si="70"/>
        <v>"mfg":"ROYAL OHM",</v>
      </c>
      <c r="AXQ14" t="str">
        <f t="shared" si="70"/>
        <v>"mfg":"VISHAY",</v>
      </c>
      <c r="AXR14" t="str">
        <f t="shared" si="70"/>
        <v>"mfg":"ROYAL OHM",</v>
      </c>
      <c r="AXS14" t="str">
        <f t="shared" si="70"/>
        <v>"mfg":"NEXPERIA",</v>
      </c>
      <c r="AXT14" t="str">
        <f t="shared" si="70"/>
        <v>"mfg":"NEXPERIA",</v>
      </c>
      <c r="AXU14" t="str">
        <f t="shared" si="70"/>
        <v>"mfg":"YAGEO",</v>
      </c>
      <c r="AXV14" t="str">
        <f t="shared" si="70"/>
        <v>"mfg":"KOA",</v>
      </c>
      <c r="AXW14" t="str">
        <f t="shared" si="70"/>
        <v>"mfg":"ROYAL OHM",</v>
      </c>
      <c r="AXX14" t="str">
        <f t="shared" si="70"/>
        <v>"mfg":"EPCOS/TDK",</v>
      </c>
      <c r="AXY14" t="str">
        <f t="shared" si="70"/>
        <v>"mfg":"VISHAY",</v>
      </c>
      <c r="AXZ14" t="str">
        <f t="shared" si="70"/>
        <v>"mfg":"YAGEO",</v>
      </c>
      <c r="AYA14" t="str">
        <f t="shared" si="70"/>
        <v>"mfg":"WURTH ELEKTRONIK",</v>
      </c>
      <c r="AYB14" t="str">
        <f t="shared" si="70"/>
        <v>"mfg":"PANASONIC",</v>
      </c>
      <c r="AYC14" t="str">
        <f t="shared" si="70"/>
        <v>"mfg":"ROYAL OHM",</v>
      </c>
      <c r="AYD14" t="str">
        <f t="shared" si="70"/>
        <v>"mfg":"STACKPOLE ELECTRONICS INC",</v>
      </c>
      <c r="AYE14" t="str">
        <f t="shared" si="70"/>
        <v>"mfg":"EPCOS/TDK",</v>
      </c>
      <c r="AYF14" t="str">
        <f t="shared" si="70"/>
        <v>"mfg":"NXP SEMICONDUCTORS",</v>
      </c>
      <c r="AYG14" t="str">
        <f t="shared" si="70"/>
        <v>"mfg":"PHOENIX CONTACT",</v>
      </c>
      <c r="AYH14" t="str">
        <f t="shared" si="70"/>
        <v>"mfg":"PHOENIX CONTACT",</v>
      </c>
      <c r="AYI14" t="str">
        <f t="shared" si="70"/>
        <v>"mfg":"PHOENIX CONTACT",</v>
      </c>
      <c r="AYJ14" t="str">
        <f t="shared" si="70"/>
        <v>"mfg":"INFINEON TECHNOLOGIES",</v>
      </c>
      <c r="AYK14" t="str">
        <f t="shared" si="70"/>
        <v>"mfg":"INFINEON TECHNOLOGIES",</v>
      </c>
      <c r="AYL14" t="str">
        <f t="shared" si="70"/>
        <v>"mfg":"YAGEO",</v>
      </c>
      <c r="AYM14" t="str">
        <f t="shared" si="70"/>
        <v>"mfg":"KEMET",</v>
      </c>
      <c r="AYN14" t="str">
        <f t="shared" si="70"/>
        <v>"mfg":"AVX",</v>
      </c>
      <c r="AYO14" t="str">
        <f t="shared" si="70"/>
        <v>"mfg":"SAMSUNG",</v>
      </c>
      <c r="AYP14" t="str">
        <f t="shared" si="70"/>
        <v>"mfg":"NICHICON",</v>
      </c>
      <c r="AYQ14" t="str">
        <f t="shared" si="70"/>
        <v>"mfg":"NICHICON",</v>
      </c>
      <c r="AYR14" t="str">
        <f t="shared" si="70"/>
        <v>"mfg":"NIPPON CHEMI-CON",</v>
      </c>
      <c r="AYS14" t="str">
        <f t="shared" si="70"/>
        <v>"mfg":"SAMWHA",</v>
      </c>
      <c r="AYT14" t="str">
        <f t="shared" si="70"/>
        <v>"mfg":"RUBYCON",</v>
      </c>
      <c r="AYU14" t="str">
        <f t="shared" si="70"/>
        <v>"mfg":"UNITED CHEMI-CON",</v>
      </c>
      <c r="AYV14" t="str">
        <f t="shared" si="70"/>
        <v>"mfg":"YAGEO",</v>
      </c>
      <c r="AYW14" t="str">
        <f t="shared" si="70"/>
        <v>"mfg":"PANASONIC",</v>
      </c>
      <c r="AYX14" t="str">
        <f t="shared" si="70"/>
        <v>"mfg":"YAGEO",</v>
      </c>
      <c r="AYY14" t="str">
        <f t="shared" si="70"/>
        <v>"mfg":"ROHM SEMICONDUCTOR",</v>
      </c>
      <c r="AYZ14" t="str">
        <f t="shared" si="70"/>
        <v>"mfg":"KOA",</v>
      </c>
      <c r="AZA14" t="str">
        <f t="shared" si="70"/>
        <v>"mfg":"ROYAL OHM",</v>
      </c>
      <c r="AZB14" t="str">
        <f t="shared" si="70"/>
        <v>"mfg":"VISHAY",</v>
      </c>
      <c r="AZC14" t="str">
        <f t="shared" si="70"/>
        <v>"mfg":"KOA",</v>
      </c>
      <c r="AZD14" t="str">
        <f t="shared" si="70"/>
        <v>"mfg":"ROYAL OHM",</v>
      </c>
      <c r="AZE14" t="str">
        <f t="shared" si="70"/>
        <v>"mfg":"INTER KAPPA CORPORATION",</v>
      </c>
      <c r="AZF14" t="str">
        <f t="shared" ref="AZF14:BBQ14" si="71">_xlfn.CONCAT("""",$L$8,"""",":","""",AZF8,"""",",")</f>
        <v>"mfg":"WALSIN",</v>
      </c>
      <c r="AZG14" t="str">
        <f t="shared" si="71"/>
        <v>"mfg":"YAGEO",</v>
      </c>
      <c r="AZH14" t="str">
        <f t="shared" si="71"/>
        <v>"mfg":"ROYAL OHM",</v>
      </c>
      <c r="AZI14" t="str">
        <f t="shared" si="71"/>
        <v>"mfg":"YAGEO",</v>
      </c>
      <c r="AZJ14" t="str">
        <f t="shared" si="71"/>
        <v>"mfg":"VISHAY",</v>
      </c>
      <c r="AZK14" t="str">
        <f t="shared" si="71"/>
        <v>"mfg":"BOURNS",</v>
      </c>
      <c r="AZL14" t="str">
        <f t="shared" si="71"/>
        <v>"mfg":"ON SEMICONDUCTOR",</v>
      </c>
      <c r="AZM14" t="str">
        <f t="shared" si="71"/>
        <v>"mfg":"STMICROELECTRONICS",</v>
      </c>
      <c r="AZN14" t="str">
        <f t="shared" si="71"/>
        <v>"mfg":"YAGEO",</v>
      </c>
      <c r="AZO14" t="str">
        <f t="shared" si="71"/>
        <v>"mfg":"BOURNS",</v>
      </c>
      <c r="AZP14" t="str">
        <f t="shared" si="71"/>
        <v>"mfg":"FCI",</v>
      </c>
      <c r="AZQ14" t="str">
        <f t="shared" si="71"/>
        <v>"mfg":"TE CONNECTIVITY",</v>
      </c>
      <c r="AZR14" t="str">
        <f t="shared" si="71"/>
        <v>"mfg":"EATON",</v>
      </c>
      <c r="AZS14" t="str">
        <f t="shared" si="71"/>
        <v>"mfg":"LEGRAND",</v>
      </c>
      <c r="AZT14" t="str">
        <f t="shared" si="71"/>
        <v>"mfg":"LITTELFUSE",</v>
      </c>
      <c r="AZU14" t="str">
        <f t="shared" si="71"/>
        <v>"mfg":"TE CONNECTIVITY",</v>
      </c>
      <c r="AZV14" t="str">
        <f t="shared" si="71"/>
        <v>"mfg":"DiodeES INC.",</v>
      </c>
      <c r="AZW14" t="str">
        <f t="shared" si="71"/>
        <v>"mfg":"FAIRCHILD SEMICONDUCTOR",</v>
      </c>
      <c r="AZX14" t="str">
        <f t="shared" si="71"/>
        <v>"mfg":"STMICROELECTRONICS",</v>
      </c>
      <c r="AZY14" t="str">
        <f t="shared" si="71"/>
        <v>"mfg":"ON SEMICONDUCTOR",</v>
      </c>
      <c r="AZZ14" t="str">
        <f t="shared" si="71"/>
        <v>"mfg":"YAGEO",</v>
      </c>
      <c r="BAA14" t="str">
        <f t="shared" si="71"/>
        <v>"mfg":"SAMSUNG",</v>
      </c>
      <c r="BAB14" t="str">
        <f t="shared" si="71"/>
        <v>"mfg":"TDK",</v>
      </c>
      <c r="BAC14" t="str">
        <f t="shared" si="71"/>
        <v>"mfg":"WALSIN",</v>
      </c>
      <c r="BAD14" t="str">
        <f t="shared" si="71"/>
        <v>"mfg":"IXYS",</v>
      </c>
      <c r="BAE14" t="str">
        <f t="shared" si="71"/>
        <v>"mfg":"STMICROELECTRONICS",</v>
      </c>
      <c r="BAF14" t="str">
        <f t="shared" si="71"/>
        <v>"mfg":"EPCOS/TDK",</v>
      </c>
      <c r="BAG14" t="str">
        <f t="shared" si="71"/>
        <v>"mfg":"EPCOS/TDK",</v>
      </c>
      <c r="BAH14" t="str">
        <f t="shared" si="71"/>
        <v>"mfg":"FARATRONIC",</v>
      </c>
      <c r="BAI14" t="str">
        <f t="shared" si="71"/>
        <v>"mfg":"FARATRONIC",</v>
      </c>
      <c r="BAJ14" t="str">
        <f t="shared" si="71"/>
        <v>"mfg":"VISHAY",</v>
      </c>
      <c r="BAK14" t="str">
        <f t="shared" si="71"/>
        <v>"mfg":"DiodeES INC.",</v>
      </c>
      <c r="BAL14" t="str">
        <f t="shared" si="71"/>
        <v>"mfg":"YAGEO",</v>
      </c>
      <c r="BAM14" t="str">
        <f t="shared" si="71"/>
        <v>"mfg":"NICHICON",</v>
      </c>
      <c r="BAN14" t="str">
        <f t="shared" si="71"/>
        <v>"mfg":"NIPPON CHEMI-CON",</v>
      </c>
      <c r="BAO14" t="str">
        <f t="shared" si="71"/>
        <v>"mfg":"RUBYCON",</v>
      </c>
      <c r="BAP14" t="str">
        <f t="shared" si="71"/>
        <v>"mfg":"WIMA",</v>
      </c>
      <c r="BAQ14" t="str">
        <f t="shared" si="71"/>
        <v>"mfg":"WURTH ELEKTRONIK",</v>
      </c>
      <c r="BAR14" t="str">
        <f t="shared" si="71"/>
        <v>"mfg":"YAGEO",</v>
      </c>
      <c r="BAS14" t="str">
        <f t="shared" si="71"/>
        <v>"mfg":"MURATA MANUFACTURING",</v>
      </c>
      <c r="BAT14" t="str">
        <f t="shared" si="71"/>
        <v>"mfg":"MURATA MANUFACTURING",</v>
      </c>
      <c r="BAU14" t="str">
        <f t="shared" si="71"/>
        <v>"mfg":"MURATA MANUFACTURING",</v>
      </c>
      <c r="BAV14" t="str">
        <f t="shared" si="71"/>
        <v>"mfg":"ROYAL OHM",</v>
      </c>
      <c r="BAW14" t="str">
        <f t="shared" si="71"/>
        <v>"mfg":"MOLEX",</v>
      </c>
      <c r="BAX14" t="str">
        <f t="shared" si="71"/>
        <v>"mfg":"HONGFA",</v>
      </c>
      <c r="BAY14" t="str">
        <f t="shared" si="71"/>
        <v>"mfg":"OMRON",</v>
      </c>
      <c r="BAZ14" t="str">
        <f t="shared" si="71"/>
        <v>"mfg":"ZETTLER ELECTRON",</v>
      </c>
      <c r="BBA14" t="str">
        <f t="shared" si="71"/>
        <v>"mfg":"ESSENTRA",</v>
      </c>
      <c r="BBB14" t="str">
        <f t="shared" si="71"/>
        <v>"mfg":"ESSENTRA",</v>
      </c>
      <c r="BBC14" t="str">
        <f t="shared" si="71"/>
        <v>"mfg":"ESSENTRA",</v>
      </c>
      <c r="BBD14" t="str">
        <f t="shared" si="71"/>
        <v>"mfg":"EVERLIGHT",</v>
      </c>
      <c r="BBE14" t="str">
        <f t="shared" si="71"/>
        <v>"mfg":"EVERLIGHT",</v>
      </c>
      <c r="BBF14" t="str">
        <f t="shared" si="71"/>
        <v>"mfg":"EVERLIGHT",</v>
      </c>
      <c r="BBG14" t="str">
        <f t="shared" si="71"/>
        <v>"mfg":"KINGBRIGHT",</v>
      </c>
      <c r="BBH14" t="str">
        <f t="shared" si="71"/>
        <v>"mfg":"WALSIN",</v>
      </c>
      <c r="BBI14" t="str">
        <f t="shared" si="71"/>
        <v>"mfg":"STACKPOLE ELECTRONICS INC",</v>
      </c>
      <c r="BBJ14" t="str">
        <f t="shared" si="71"/>
        <v>"mfg":"DiodeES INC.",</v>
      </c>
      <c r="BBK14" t="str">
        <f t="shared" si="71"/>
        <v>"mfg":"DDM HOPT+SCHULER",</v>
      </c>
      <c r="BBL14" t="str">
        <f t="shared" si="71"/>
        <v>"mfg":"LITTELFUSE",</v>
      </c>
      <c r="BBM14" t="str">
        <f t="shared" si="71"/>
        <v>"mfg":"VISHAY",</v>
      </c>
      <c r="BBN14" t="str">
        <f t="shared" si="71"/>
        <v>"mfg":"UNITED CHEMI-CON",</v>
      </c>
      <c r="BBO14" t="str">
        <f t="shared" si="71"/>
        <v>"mfg":"VISHAY",</v>
      </c>
      <c r="BBP14" t="str">
        <f t="shared" si="71"/>
        <v>"mfg":"DiodeES INC.",</v>
      </c>
      <c r="BBQ14" t="str">
        <f t="shared" si="71"/>
        <v>"mfg":"ON SEMICONDUCTOR",</v>
      </c>
      <c r="BBR14" t="str">
        <f t="shared" ref="BBR14:BEC14" si="72">_xlfn.CONCAT("""",$L$8,"""",":","""",BBR8,"""",",")</f>
        <v>"mfg":"TAIWAN SEMICONDUCTOR",</v>
      </c>
      <c r="BBS14" t="str">
        <f t="shared" si="72"/>
        <v>"mfg":"MURATA MANUFACTURING",</v>
      </c>
      <c r="BBT14" t="str">
        <f t="shared" si="72"/>
        <v>"mfg":"ON SEMICONDUCTOR",</v>
      </c>
      <c r="BBU14" t="str">
        <f t="shared" si="72"/>
        <v>"mfg":"ON SEMICONDUCTOR",</v>
      </c>
      <c r="BBV14" t="str">
        <f t="shared" si="72"/>
        <v>"mfg":"LITTELFUSE",</v>
      </c>
      <c r="BBW14" t="str">
        <f t="shared" si="72"/>
        <v>"mfg":"BOURNS",</v>
      </c>
      <c r="BBX14" t="str">
        <f t="shared" si="72"/>
        <v>"mfg":"RUBYCON",</v>
      </c>
      <c r="BBY14" t="str">
        <f t="shared" si="72"/>
        <v>"mfg":"AISHI",</v>
      </c>
      <c r="BBZ14" t="str">
        <f t="shared" si="72"/>
        <v>"mfg":"YAGEO",</v>
      </c>
      <c r="BCA14" t="str">
        <f t="shared" si="72"/>
        <v>"mfg":"BOURNS",</v>
      </c>
      <c r="BCB14" t="str">
        <f t="shared" si="72"/>
        <v>"mfg":"YAGEO",</v>
      </c>
      <c r="BCC14" t="str">
        <f t="shared" si="72"/>
        <v>"mfg":"TAIYO YUDEN",</v>
      </c>
      <c r="BCD14" t="str">
        <f t="shared" si="72"/>
        <v>"mfg":"TDK",</v>
      </c>
      <c r="BCE14" t="str">
        <f t="shared" si="72"/>
        <v>"mfg":"YAGEO",</v>
      </c>
      <c r="BCF14" t="str">
        <f t="shared" si="72"/>
        <v>"mfg":"EPCOS/TDK",</v>
      </c>
      <c r="BCG14" t="str">
        <f t="shared" si="72"/>
        <v>"mfg":"KEMET",</v>
      </c>
      <c r="BCH14" t="str">
        <f t="shared" si="72"/>
        <v>"mfg":"VISHAY",</v>
      </c>
      <c r="BCI14" t="str">
        <f t="shared" si="72"/>
        <v>"mfg":"AVX",</v>
      </c>
      <c r="BCJ14" t="str">
        <f t="shared" si="72"/>
        <v>"mfg":"AVX",</v>
      </c>
      <c r="BCK14" t="str">
        <f t="shared" si="72"/>
        <v>"mfg":"YAGEO",</v>
      </c>
      <c r="BCL14" t="str">
        <f t="shared" si="72"/>
        <v>"mfg":"YAGEO",</v>
      </c>
      <c r="BCM14" t="str">
        <f t="shared" si="72"/>
        <v>"mfg":"KEMET",</v>
      </c>
      <c r="BCN14" t="str">
        <f t="shared" si="72"/>
        <v>"mfg":"SAMSUNG",</v>
      </c>
      <c r="BCO14" t="str">
        <f t="shared" si="72"/>
        <v>"mfg":"NIPPON CHEMI-CON",</v>
      </c>
      <c r="BCP14" t="str">
        <f t="shared" si="72"/>
        <v>"mfg":"RUBYCON",</v>
      </c>
      <c r="BCQ14" t="str">
        <f t="shared" si="72"/>
        <v>"mfg":"AISHI",</v>
      </c>
      <c r="BCR14" t="str">
        <f t="shared" si="72"/>
        <v>"mfg":"EPCOS/TDK",</v>
      </c>
      <c r="BCS14" t="str">
        <f t="shared" si="72"/>
        <v>"mfg":"KEMET",</v>
      </c>
      <c r="BCT14" t="str">
        <f t="shared" si="72"/>
        <v>"mfg":"MURATA MANUFACTURING",</v>
      </c>
      <c r="BCU14" t="str">
        <f t="shared" si="72"/>
        <v>"mfg":"TAIYO YUDEN",</v>
      </c>
      <c r="BCV14" t="str">
        <f t="shared" si="72"/>
        <v>"mfg":"TAIYO YUDEN",</v>
      </c>
      <c r="BCW14" t="str">
        <f t="shared" si="72"/>
        <v>"mfg":"KYOCERA",</v>
      </c>
      <c r="BCX14" t="str">
        <f t="shared" si="72"/>
        <v>"mfg":"YAGEO",</v>
      </c>
      <c r="BCY14" t="str">
        <f t="shared" si="72"/>
        <v>"mfg":"VISHAY",</v>
      </c>
      <c r="BCZ14" t="str">
        <f t="shared" si="72"/>
        <v>"mfg":"KEMET",</v>
      </c>
      <c r="BDA14" t="str">
        <f t="shared" si="72"/>
        <v>"mfg":"AVX",</v>
      </c>
      <c r="BDB14" t="str">
        <f t="shared" si="72"/>
        <v>"mfg":"AVX",</v>
      </c>
      <c r="BDC14" t="str">
        <f t="shared" si="72"/>
        <v>"mfg":"YAGEO",</v>
      </c>
      <c r="BDD14" t="str">
        <f t="shared" si="72"/>
        <v>"mfg":"YAGEO",</v>
      </c>
      <c r="BDE14" t="str">
        <f t="shared" si="72"/>
        <v>"mfg":"YAGEO",</v>
      </c>
      <c r="BDF14" t="str">
        <f t="shared" si="72"/>
        <v>"mfg":"YAGEO",</v>
      </c>
      <c r="BDG14" t="str">
        <f t="shared" si="72"/>
        <v>"mfg":"YAGEO",</v>
      </c>
      <c r="BDH14" t="str">
        <f t="shared" si="72"/>
        <v>"mfg":"KEMET",</v>
      </c>
      <c r="BDI14" t="str">
        <f t="shared" si="72"/>
        <v>"mfg":"KEMET",</v>
      </c>
      <c r="BDJ14" t="str">
        <f t="shared" si="72"/>
        <v>"mfg":"SILICONLABS",</v>
      </c>
      <c r="BDK14" t="str">
        <f t="shared" si="72"/>
        <v>"mfg":"BOURNS",</v>
      </c>
      <c r="BDL14" t="str">
        <f t="shared" si="72"/>
        <v>"mfg":"MEGGITT",</v>
      </c>
      <c r="BDM14" t="str">
        <f t="shared" si="72"/>
        <v>"mfg":"KEMET",</v>
      </c>
      <c r="BDN14" t="str">
        <f t="shared" si="72"/>
        <v>"mfg":"KEMET",</v>
      </c>
      <c r="BDO14" t="str">
        <f t="shared" si="72"/>
        <v>"mfg":"VISHAY",</v>
      </c>
      <c r="BDP14" t="str">
        <f t="shared" si="72"/>
        <v>"mfg":"TDK",</v>
      </c>
      <c r="BDQ14" t="str">
        <f t="shared" si="72"/>
        <v>"mfg":"YAGEO",</v>
      </c>
      <c r="BDR14" t="str">
        <f t="shared" si="72"/>
        <v>"mfg":"TE CONNECTIVITY",</v>
      </c>
      <c r="BDS14" t="str">
        <f t="shared" si="72"/>
        <v>"mfg":"VISHAY",</v>
      </c>
      <c r="BDT14" t="str">
        <f t="shared" si="72"/>
        <v>"mfg":"EPCOS/TDK",</v>
      </c>
      <c r="BDU14" t="str">
        <f t="shared" si="72"/>
        <v>"mfg":"SAMSUNG",</v>
      </c>
      <c r="BDV14" t="str">
        <f t="shared" si="72"/>
        <v>"mfg":"PANASONIC",</v>
      </c>
      <c r="BDW14" t="str">
        <f t="shared" si="72"/>
        <v>"mfg":"EPCOS/TDK",</v>
      </c>
      <c r="BDX14" t="str">
        <f t="shared" si="72"/>
        <v>"mfg":"EPCOS/TDK",</v>
      </c>
      <c r="BDY14" t="str">
        <f t="shared" si="72"/>
        <v>"mfg":"FARATRONIC",</v>
      </c>
      <c r="BDZ14" t="str">
        <f t="shared" si="72"/>
        <v>"mfg":"WIMA",</v>
      </c>
      <c r="BEA14" t="str">
        <f t="shared" si="72"/>
        <v>"mfg":"WIMA",</v>
      </c>
      <c r="BEB14" t="str">
        <f t="shared" si="72"/>
        <v>"mfg":"VISHAY",</v>
      </c>
      <c r="BEC14" t="str">
        <f t="shared" si="72"/>
        <v>"mfg":"VISHAY",</v>
      </c>
      <c r="BED14" t="str">
        <f t="shared" ref="BED14:BGO14" si="73">_xlfn.CONCAT("""",$L$8,"""",":","""",BED8,"""",",")</f>
        <v>"mfg":"DUPONT",</v>
      </c>
      <c r="BEE14" t="str">
        <f t="shared" si="73"/>
        <v>"mfg":"DUPONT",</v>
      </c>
      <c r="BEF14" t="str">
        <f t="shared" si="73"/>
        <v>"mfg":"DUPONT",</v>
      </c>
      <c r="BEG14" t="str">
        <f t="shared" si="73"/>
        <v>"mfg":"LITTELFUSE",</v>
      </c>
      <c r="BEH14" t="str">
        <f t="shared" si="73"/>
        <v>"mfg":"STMICROELECTRONICS",</v>
      </c>
      <c r="BEI14" t="str">
        <f t="shared" si="73"/>
        <v>"mfg":"MCC",</v>
      </c>
      <c r="BEJ14" t="str">
        <f t="shared" si="73"/>
        <v>"mfg":"MURATA MANUFACTURING",</v>
      </c>
      <c r="BEK14" t="str">
        <f t="shared" si="73"/>
        <v>"mfg":"AVX",</v>
      </c>
      <c r="BEL14" t="str">
        <f t="shared" si="73"/>
        <v>"mfg":"EPCOS/TDK",</v>
      </c>
      <c r="BEM14" t="str">
        <f t="shared" si="73"/>
        <v>"mfg":"EPCOS/TDK",</v>
      </c>
      <c r="BEN14" t="str">
        <f t="shared" si="73"/>
        <v>"mfg":"EPCOS/TDK",</v>
      </c>
      <c r="BEO14" t="str">
        <f t="shared" si="73"/>
        <v>"mfg":"AVX",</v>
      </c>
      <c r="BEP14" t="str">
        <f t="shared" si="73"/>
        <v>"mfg":"FAIRCHILD SEMICONDUCTOR",</v>
      </c>
      <c r="BEQ14" t="str">
        <f t="shared" si="73"/>
        <v>"mfg":"ON SEMICONDUCTOR",</v>
      </c>
      <c r="BER14" t="str">
        <f t="shared" si="73"/>
        <v>"mfg":"TE",</v>
      </c>
      <c r="BES14" t="str">
        <f t="shared" si="73"/>
        <v>"mfg":"JOHANSON",</v>
      </c>
      <c r="BET14" t="str">
        <f t="shared" si="73"/>
        <v>"mfg":"JOHANSON",</v>
      </c>
      <c r="BEU14" t="str">
        <f t="shared" si="73"/>
        <v>"mfg":"JOHANSON",</v>
      </c>
      <c r="BEV14" t="str">
        <f t="shared" si="73"/>
        <v>"mfg":"VISHAY",</v>
      </c>
      <c r="BEW14" t="str">
        <f t="shared" si="73"/>
        <v>"mfg":"LITTELFUSE",</v>
      </c>
      <c r="BEX14" t="str">
        <f t="shared" si="73"/>
        <v>"mfg":"MORNSUN",</v>
      </c>
      <c r="BEY14" t="str">
        <f t="shared" si="73"/>
        <v>"mfg":"KYOCERA",</v>
      </c>
      <c r="BEZ14" t="str">
        <f t="shared" si="73"/>
        <v>"mfg":"VISHAY",</v>
      </c>
      <c r="BFA14" t="str">
        <f t="shared" si="73"/>
        <v>"mfg":"ROYAL OHM",</v>
      </c>
      <c r="BFB14" t="str">
        <f t="shared" si="73"/>
        <v>"mfg":"STACKPOLE ELECTRONICS INC",</v>
      </c>
      <c r="BFC14" t="str">
        <f t="shared" si="73"/>
        <v>"mfg":"DiodeES INC.",</v>
      </c>
      <c r="BFD14" t="str">
        <f t="shared" si="73"/>
        <v>"mfg":"SAMSUNG",</v>
      </c>
      <c r="BFE14" t="str">
        <f t="shared" si="73"/>
        <v>"mfg":"SAMSUNG",</v>
      </c>
      <c r="BFF14" t="str">
        <f t="shared" si="73"/>
        <v>"mfg":"AMP",</v>
      </c>
      <c r="BFG14" t="str">
        <f t="shared" si="73"/>
        <v>"mfg":"TE CONNECTIVITY",</v>
      </c>
      <c r="BFH14" t="str">
        <f t="shared" si="73"/>
        <v>"mfg":"TEXAS INSTRUMENTS",</v>
      </c>
      <c r="BFI14" t="str">
        <f t="shared" si="73"/>
        <v>"mfg":"TEXAS INSTRUMENTS",</v>
      </c>
      <c r="BFJ14" t="str">
        <f t="shared" si="73"/>
        <v>"mfg":"ANALOG DEVICES",</v>
      </c>
      <c r="BFK14" t="str">
        <f t="shared" si="73"/>
        <v>"mfg":"LINEAR TECHNOLOGY",</v>
      </c>
      <c r="BFL14" t="str">
        <f t="shared" si="73"/>
        <v>"mfg":"LITTELFUSE",</v>
      </c>
      <c r="BFM14" t="str">
        <f t="shared" si="73"/>
        <v>"mfg":"YAGEO",</v>
      </c>
      <c r="BFN14" t="str">
        <f t="shared" si="73"/>
        <v>"mfg":"WALSIN",</v>
      </c>
      <c r="BFO14" t="str">
        <f t="shared" si="73"/>
        <v>"mfg":"EPCOS/TDK",</v>
      </c>
      <c r="BFP14" t="str">
        <f t="shared" si="73"/>
        <v>"mfg":"KANSAI FELT",</v>
      </c>
      <c r="BFQ14" t="str">
        <f t="shared" si="73"/>
        <v>"mfg":"KANSAI FELT",</v>
      </c>
      <c r="BFR14" t="str">
        <f t="shared" si="73"/>
        <v>"mfg":"FABRITECH",</v>
      </c>
      <c r="BFS14" t="str">
        <f t="shared" si="73"/>
        <v>"mfg":"VISHAY",</v>
      </c>
      <c r="BFT14" t="str">
        <f t="shared" si="73"/>
        <v>"mfg":"TEXAS INSTRUMENTS",</v>
      </c>
      <c r="BFU14" t="str">
        <f t="shared" si="73"/>
        <v>"mfg":"TEXAS INSTRUMENTS",</v>
      </c>
      <c r="BFV14" t="str">
        <f t="shared" si="73"/>
        <v>"mfg":"TEXAS INSTRUMENTS",</v>
      </c>
      <c r="BFW14" t="str">
        <f t="shared" si="73"/>
        <v>"mfg":"TEXAS INSTRUMENTS",</v>
      </c>
      <c r="BFX14" t="str">
        <f t="shared" si="73"/>
        <v>"mfg":"MAXIM",</v>
      </c>
      <c r="BFY14" t="str">
        <f t="shared" si="73"/>
        <v>"mfg":"ON SEMICONDUCTOR",</v>
      </c>
      <c r="BFZ14" t="str">
        <f t="shared" si="73"/>
        <v>"mfg":"VISHAY",</v>
      </c>
      <c r="BGA14" t="str">
        <f t="shared" si="73"/>
        <v>"mfg":"MPS -MonolithICower Sys",</v>
      </c>
      <c r="BGB14" t="str">
        <f t="shared" si="73"/>
        <v>"mfg":"POWER INTEGRATIONS",</v>
      </c>
      <c r="BGC14" t="str">
        <f t="shared" si="73"/>
        <v>"mfg":"IXYS",</v>
      </c>
      <c r="BGD14" t="str">
        <f t="shared" si="73"/>
        <v>"mfg":"STMICROELECTRONICS",</v>
      </c>
      <c r="BGE14" t="str">
        <f t="shared" si="73"/>
        <v>"mfg":"MICROSEMI",</v>
      </c>
      <c r="BGF14" t="str">
        <f t="shared" si="73"/>
        <v>"mfg":"JOHANSON",</v>
      </c>
      <c r="BGG14" t="str">
        <f t="shared" si="73"/>
        <v>"mfg":"PANASONIC",</v>
      </c>
      <c r="BGH14" t="str">
        <f t="shared" si="73"/>
        <v>"mfg":"VISHAY",</v>
      </c>
      <c r="BGI14" t="str">
        <f t="shared" si="73"/>
        <v>"mfg":"MULTICOMP",</v>
      </c>
      <c r="BGJ14" t="str">
        <f t="shared" si="73"/>
        <v>"mfg":"AVX",</v>
      </c>
      <c r="BGK14" t="str">
        <f t="shared" si="73"/>
        <v>"mfg":"TDK",</v>
      </c>
      <c r="BGL14" t="str">
        <f t="shared" si="73"/>
        <v>"mfg":"ROHM SEMICONDUCTOR",</v>
      </c>
      <c r="BGM14" t="str">
        <f t="shared" si="73"/>
        <v>"mfg":"NEXPERIA",</v>
      </c>
      <c r="BGN14" t="str">
        <f t="shared" si="73"/>
        <v>"mfg":"SAMSUNG",</v>
      </c>
      <c r="BGO14" t="str">
        <f t="shared" si="73"/>
        <v>"mfg":"YAGEO",</v>
      </c>
      <c r="BGP14" t="str">
        <f t="shared" ref="BGP14:BHC14" si="74">_xlfn.CONCAT("""",$L$8,"""",":","""",BGP8,"""",",")</f>
        <v>"mfg":"KEMET",</v>
      </c>
      <c r="BGQ14" t="str">
        <f t="shared" si="74"/>
        <v>"mfg":"AVX",</v>
      </c>
      <c r="BGR14" t="str">
        <f t="shared" si="74"/>
        <v>"mfg":"MURATA MANUFACTURING",</v>
      </c>
      <c r="BGS14" t="str">
        <f t="shared" si="74"/>
        <v>"mfg":"YAGEO",</v>
      </c>
      <c r="BGT14" t="str">
        <f t="shared" si="74"/>
        <v>"mfg":"KOA",</v>
      </c>
      <c r="BGU14" t="str">
        <f t="shared" si="74"/>
        <v>"mfg":"ROYAL OHM",</v>
      </c>
      <c r="BGV14" t="str">
        <f t="shared" si="74"/>
        <v>"mfg":"DiodeES INC.",</v>
      </c>
      <c r="BGW14" t="str">
        <f t="shared" si="74"/>
        <v>"mfg":"ON SEMICONDUCTOR",</v>
      </c>
      <c r="BGX14" t="str">
        <f t="shared" si="74"/>
        <v>"mfg":"ON SEMICONDUCTOR",</v>
      </c>
      <c r="BGY14" t="str">
        <f t="shared" si="74"/>
        <v>"mfg":"TDK",</v>
      </c>
      <c r="BGZ14" t="str">
        <f t="shared" si="74"/>
        <v>"mfg":"TDK",</v>
      </c>
      <c r="BHA14" t="str">
        <f t="shared" si="74"/>
        <v>"mfg":"NICHIA CORPORATION",</v>
      </c>
      <c r="BHB14" t="str">
        <f t="shared" si="74"/>
        <v>"mfg":"GREAT LEOFLON",</v>
      </c>
      <c r="BHC14" t="str">
        <f t="shared" si="74"/>
        <v>"mfg":"KOA",</v>
      </c>
    </row>
    <row r="15" spans="5:1563" x14ac:dyDescent="0.25">
      <c r="E15" t="s">
        <v>2405</v>
      </c>
      <c r="F15" t="s">
        <v>2406</v>
      </c>
      <c r="G15" t="s">
        <v>2467</v>
      </c>
      <c r="H15" t="s">
        <v>21</v>
      </c>
      <c r="I15">
        <v>128362</v>
      </c>
      <c r="M15" t="str">
        <f>_xlfn.CONCAT("""",$L$9,"""",":","""",M9,"""",",")</f>
        <v>"pn":"RK73B2ATTD103J",</v>
      </c>
      <c r="N15" t="str">
        <f t="shared" ref="N15:BY15" si="75">_xlfn.CONCAT("""",$L$9,"""",":","""",N9,"""",",")</f>
        <v>"pn":"SG73P2ATTD1002F",</v>
      </c>
      <c r="O15" t="str">
        <f t="shared" si="75"/>
        <v>"pn":"CL05B104KO5NNNC",</v>
      </c>
      <c r="P15" t="str">
        <f t="shared" si="75"/>
        <v>"pn":"0402B104K160CT",</v>
      </c>
      <c r="Q15" t="str">
        <f t="shared" si="75"/>
        <v>"pn":"RC0603JR-07100KL",</v>
      </c>
      <c r="R15" t="str">
        <f t="shared" si="75"/>
        <v>"pn":"WR06X104 JTL",</v>
      </c>
      <c r="S15" t="str">
        <f t="shared" si="75"/>
        <v>"pn":"RC0603JR-074K7L",</v>
      </c>
      <c r="T15" t="str">
        <f t="shared" si="75"/>
        <v>"pn":"WR06X472JTL",</v>
      </c>
      <c r="U15" t="str">
        <f t="shared" si="75"/>
        <v>"pn":"RC0603FR-071K69L",</v>
      </c>
      <c r="V15" t="str">
        <f t="shared" si="75"/>
        <v>"pn":"SMAZ12-13-F",</v>
      </c>
      <c r="W15" t="str">
        <f t="shared" si="75"/>
        <v>"pn":"HCPL-817-30LE",</v>
      </c>
      <c r="X15" t="str">
        <f t="shared" si="75"/>
        <v>"pn":"HCPL-817-50LE",</v>
      </c>
      <c r="Y15" t="str">
        <f t="shared" si="75"/>
        <v>"pn":"74HC125D,653",</v>
      </c>
      <c r="Z15" t="str">
        <f t="shared" si="75"/>
        <v>"pn":"MC74HC125ADR2G",</v>
      </c>
      <c r="AA15" t="str">
        <f t="shared" si="75"/>
        <v>"pn":"74HC125D,653",</v>
      </c>
      <c r="AB15" t="str">
        <f t="shared" si="75"/>
        <v>"pn":"RC0603JR-07220RL",</v>
      </c>
      <c r="AC15" t="str">
        <f t="shared" si="75"/>
        <v>"pn":"WR06X221JTL",</v>
      </c>
      <c r="AD15" t="str">
        <f t="shared" si="75"/>
        <v>"pn":"CC0402MRX5R6BB475",</v>
      </c>
      <c r="AE15" t="str">
        <f t="shared" si="75"/>
        <v>"pn":"CL05A475MP5NRNC",</v>
      </c>
      <c r="AF15" t="str">
        <f t="shared" si="75"/>
        <v>"pn":"NTCLE100E3473HB0",</v>
      </c>
      <c r="AG15" t="str">
        <f t="shared" si="75"/>
        <v>"pn":"NTCLE100E3473HB0A",</v>
      </c>
      <c r="AH15" t="str">
        <f t="shared" si="75"/>
        <v>"pn":"NTCLE100E3473JB0",</v>
      </c>
      <c r="AI15" t="str">
        <f t="shared" si="75"/>
        <v>"pn":"NTCLE100E3473JB0A",</v>
      </c>
      <c r="AJ15" t="str">
        <f t="shared" si="75"/>
        <v>"pn":"2381 640 63473",</v>
      </c>
      <c r="AK15" t="str">
        <f t="shared" si="75"/>
        <v>"pn":"WR06X2372FTL",</v>
      </c>
      <c r="AL15" t="str">
        <f t="shared" si="75"/>
        <v>"pn":"LTF5022T-3R3N2R5-LC",</v>
      </c>
      <c r="AM15" t="str">
        <f t="shared" si="75"/>
        <v>"pn":"C0805C102J5RACTU",</v>
      </c>
      <c r="AN15" t="str">
        <f t="shared" si="75"/>
        <v>"pn":"08055C102JAT2A",</v>
      </c>
      <c r="AO15" t="str">
        <f t="shared" si="75"/>
        <v>"pn":"CL21B102JBANNNC",</v>
      </c>
      <c r="AP15" t="str">
        <f t="shared" si="75"/>
        <v>"pn":"0805B102K250CT",</v>
      </c>
      <c r="AQ15" t="str">
        <f t="shared" si="75"/>
        <v>"pn":"0805B102K500CT",</v>
      </c>
      <c r="AR15" t="str">
        <f t="shared" si="75"/>
        <v>"pn":"CC0805KKX7R8BB105",</v>
      </c>
      <c r="AS15" t="str">
        <f t="shared" si="75"/>
        <v>"pn":"C0805C105K3RACTU",</v>
      </c>
      <c r="AT15" t="str">
        <f t="shared" si="75"/>
        <v>"pn":"CL21B105KAFNNNE",</v>
      </c>
      <c r="AU15" t="str">
        <f t="shared" si="75"/>
        <v>"pn":"SMBJ5.0A",</v>
      </c>
      <c r="AV15" t="str">
        <f t="shared" si="75"/>
        <v>"pn":"SMBJ5.0A-E3",</v>
      </c>
      <c r="AW15" t="str">
        <f t="shared" si="75"/>
        <v>"pn":"SMBJ5.0A-E3/52",</v>
      </c>
      <c r="AX15" t="str">
        <f t="shared" si="75"/>
        <v>"pn":"SMBJ5.0A",</v>
      </c>
      <c r="AY15" t="str">
        <f t="shared" si="75"/>
        <v>"pn":"LTF5022T-2R2N3R2-LC",</v>
      </c>
      <c r="AZ15" t="str">
        <f t="shared" si="75"/>
        <v>"pn":"GRM155R61E105KA12D",</v>
      </c>
      <c r="BA15" t="str">
        <f t="shared" si="75"/>
        <v>"pn":"CL05A105KA5NNNC",</v>
      </c>
      <c r="BB15" t="str">
        <f t="shared" si="75"/>
        <v>"pn":"CC0402KRX7R9BB202",</v>
      </c>
      <c r="BC15" t="str">
        <f t="shared" si="75"/>
        <v>"pn":"GRM155R71H202KA01D",</v>
      </c>
      <c r="BD15" t="str">
        <f t="shared" si="75"/>
        <v>"pn":"0402B202K500CT",</v>
      </c>
      <c r="BE15" t="str">
        <f t="shared" si="75"/>
        <v>"pn":"CL10C330JB8NNNC",</v>
      </c>
      <c r="BF15" t="str">
        <f t="shared" si="75"/>
        <v>"pn":"CL10C330KB8NNNC",</v>
      </c>
      <c r="BG15" t="str">
        <f t="shared" si="75"/>
        <v>"pn":"GRM32ER71H106KA12L",</v>
      </c>
      <c r="BH15" t="str">
        <f t="shared" si="75"/>
        <v>"pn":"UMJ325KB7106KMHP",</v>
      </c>
      <c r="BI15" t="str">
        <f t="shared" si="75"/>
        <v>"pn":"UMK325AB7106KM-P",</v>
      </c>
      <c r="BJ15" t="str">
        <f t="shared" si="75"/>
        <v>"pn":"UMK325AB7106KM-T",</v>
      </c>
      <c r="BK15" t="str">
        <f t="shared" si="75"/>
        <v>"pn":"UMK325AB7106KMHP",</v>
      </c>
      <c r="BL15" t="str">
        <f t="shared" si="75"/>
        <v>"pn":"UMK325AB7106KMHT",</v>
      </c>
      <c r="BM15" t="str">
        <f t="shared" si="75"/>
        <v>"pn":"CL32B106KBJNFNE",</v>
      </c>
      <c r="BN15" t="str">
        <f t="shared" si="75"/>
        <v>"pn":"WR06X1243FTL",</v>
      </c>
      <c r="BO15" t="str">
        <f t="shared" si="75"/>
        <v>"pn":"FAN5333BSX",</v>
      </c>
      <c r="BP15" t="str">
        <f t="shared" si="75"/>
        <v>"pn":"RC0805FR-07 127K",</v>
      </c>
      <c r="BQ15" t="str">
        <f t="shared" si="75"/>
        <v>"pn":"RC0805FR-07127KL",</v>
      </c>
      <c r="BR15" t="str">
        <f t="shared" si="75"/>
        <v>"pn":"CRCW0805127KFKEA",</v>
      </c>
      <c r="BS15" t="str">
        <f t="shared" si="75"/>
        <v>"pn":"RK73H2ATTD1273F",</v>
      </c>
      <c r="BT15" t="str">
        <f t="shared" si="75"/>
        <v>"pn":"WR08X1273FTL",</v>
      </c>
      <c r="BU15" t="str">
        <f t="shared" si="75"/>
        <v>"pn":"CR0805-FX-1273ELF",</v>
      </c>
      <c r="BV15" t="str">
        <f t="shared" si="75"/>
        <v>"pn":"TAJA226K010RNJ",</v>
      </c>
      <c r="BW15" t="str">
        <f t="shared" si="75"/>
        <v>"pn":"2N7002W-7-F",</v>
      </c>
      <c r="BX15" t="str">
        <f t="shared" si="75"/>
        <v>"pn":"2N7002WT1G",</v>
      </c>
      <c r="BY15" t="str">
        <f t="shared" si="75"/>
        <v>"pn":"2N7002BKW,115",</v>
      </c>
      <c r="BZ15" t="str">
        <f t="shared" ref="BZ15:EK15" si="76">_xlfn.CONCAT("""",$L$9,"""",":","""",BZ9,"""",",")</f>
        <v>"pn":"CC0603KRX7R8BB104",</v>
      </c>
      <c r="CA15" t="str">
        <f t="shared" si="76"/>
        <v>"pn":"C0603C104K4RACTU",</v>
      </c>
      <c r="CB15" t="str">
        <f t="shared" si="76"/>
        <v>"pn":"C0603C104K4RAC7867",</v>
      </c>
      <c r="CC15" t="str">
        <f t="shared" si="76"/>
        <v>"pn":"GCM188R71C104KA37D",</v>
      </c>
      <c r="CD15" t="str">
        <f t="shared" si="76"/>
        <v>"pn":"0603YC104KAT2A",</v>
      </c>
      <c r="CE15" t="str">
        <f t="shared" si="76"/>
        <v>"pn":"CL10B104KO8NNNC",</v>
      </c>
      <c r="CF15" t="str">
        <f t="shared" si="76"/>
        <v>"pn":"0603B104K500LT",</v>
      </c>
      <c r="CG15" t="str">
        <f t="shared" si="76"/>
        <v>"pn":"AC1206JR-0733KL",</v>
      </c>
      <c r="CH15" t="str">
        <f t="shared" si="76"/>
        <v>"pn":"RC1206FR-0733KL",</v>
      </c>
      <c r="CI15" t="str">
        <f t="shared" si="76"/>
        <v>"pn":"RC1206JR-0733KL",</v>
      </c>
      <c r="CJ15" t="str">
        <f t="shared" si="76"/>
        <v>"pn":"WR12X3302FTL",</v>
      </c>
      <c r="CK15" t="str">
        <f t="shared" si="76"/>
        <v>"pn":"CRCW0603100RJNEA",</v>
      </c>
      <c r="CL15" t="str">
        <f t="shared" si="76"/>
        <v>"pn":"LS T670-J1K2-1-0-10",</v>
      </c>
      <c r="CM15" t="str">
        <f t="shared" si="76"/>
        <v>"pn":"LS T670-J1K2-1-0-10-R-18Z",</v>
      </c>
      <c r="CN15" t="str">
        <f t="shared" si="76"/>
        <v>"pn":"LS T670-J1L2-1",</v>
      </c>
      <c r="CO15" t="str">
        <f t="shared" si="76"/>
        <v>"pn":"LS T670-J1L2-1-0-10",</v>
      </c>
      <c r="CP15" t="str">
        <f t="shared" si="76"/>
        <v>"pn":"LS T670-J1L2-1-0-10-R-18Z",</v>
      </c>
      <c r="CQ15" t="str">
        <f t="shared" si="76"/>
        <v>"pn":"LS T676-P2S1-1-0-20-R18-Z",</v>
      </c>
      <c r="CR15" t="str">
        <f t="shared" si="76"/>
        <v>"pn":"LST670-J1L2-1-Z",</v>
      </c>
      <c r="CS15" t="str">
        <f t="shared" si="76"/>
        <v>"pn":"RT1206BRD07100KL",</v>
      </c>
      <c r="CT15" t="str">
        <f t="shared" si="76"/>
        <v>"pn":"RC0603JR-0715KL",</v>
      </c>
      <c r="CU15" t="str">
        <f t="shared" si="76"/>
        <v>"pn":"WR06X153JTL",</v>
      </c>
      <c r="CV15" t="str">
        <f t="shared" si="76"/>
        <v>"pn":"FKP1J011004B00JSSD",</v>
      </c>
      <c r="CW15" t="str">
        <f t="shared" si="76"/>
        <v>"pn":"FKP1J011004B00KSSD",</v>
      </c>
      <c r="CX15" t="str">
        <f t="shared" si="76"/>
        <v>"pn":"C0603C560J5GACTU",</v>
      </c>
      <c r="CY15" t="str">
        <f t="shared" si="76"/>
        <v>"pn":"VJ0603A560JXACW1BC",</v>
      </c>
      <c r="CZ15" t="str">
        <f t="shared" si="76"/>
        <v>"pn":"0603N560J500CT",</v>
      </c>
      <c r="DA15" t="str">
        <f t="shared" si="76"/>
        <v>"pn":"57-21/R7C-FR1S1B/2T",</v>
      </c>
      <c r="DB15" t="str">
        <f t="shared" si="76"/>
        <v>"pn":"KA-4040-OS630",</v>
      </c>
      <c r="DC15" t="str">
        <f t="shared" si="76"/>
        <v>"pn":"KA-4040SURCKT",</v>
      </c>
      <c r="DD15" t="str">
        <f t="shared" si="76"/>
        <v>"pn":"LS A676-R1S1-1",</v>
      </c>
      <c r="DE15" t="str">
        <f t="shared" si="76"/>
        <v>"pn":"LS A676-R1S1-1-0-20",</v>
      </c>
      <c r="DF15" t="str">
        <f t="shared" si="76"/>
        <v>"pn":"LS A676-R1S1-1-0-20-R33-Z",</v>
      </c>
      <c r="DG15" t="str">
        <f t="shared" si="76"/>
        <v>"pn":"597-2001-213F",</v>
      </c>
      <c r="DH15" t="str">
        <f t="shared" si="76"/>
        <v>"pn":"CL10C150JB8NNNC",</v>
      </c>
      <c r="DI15" t="str">
        <f t="shared" si="76"/>
        <v>"pn":"RT7736GGE",</v>
      </c>
      <c r="DJ15" t="str">
        <f t="shared" si="76"/>
        <v>"pn":"WR06X302JTL",</v>
      </c>
      <c r="DK15" t="str">
        <f t="shared" si="76"/>
        <v>"pn":"C0805C104K3RACTU",</v>
      </c>
      <c r="DL15" t="str">
        <f t="shared" si="76"/>
        <v>"pn":"08053C104KAT2A",</v>
      </c>
      <c r="DM15" t="str">
        <f t="shared" si="76"/>
        <v>"pn":"0805B104K250CT",</v>
      </c>
      <c r="DN15" t="str">
        <f t="shared" si="76"/>
        <v>"pn":"OPA4277UA/2K5",</v>
      </c>
      <c r="DO15" t="str">
        <f t="shared" si="76"/>
        <v>"pn":"ISL28417FBBZ",</v>
      </c>
      <c r="DP15" t="str">
        <f t="shared" si="76"/>
        <v>"pn":"OPA4277UA/2K5",</v>
      </c>
      <c r="DQ15" t="str">
        <f t="shared" si="76"/>
        <v>"pn":"CC0805JRNPO9BN102",</v>
      </c>
      <c r="DR15" t="str">
        <f t="shared" si="76"/>
        <v>"pn":"0805N102K250CT",</v>
      </c>
      <c r="DS15" t="str">
        <f t="shared" si="76"/>
        <v>"pn":"0805N102K500",</v>
      </c>
      <c r="DT15" t="str">
        <f t="shared" si="76"/>
        <v>"pn":"CC0805JRX7R8BB223",</v>
      </c>
      <c r="DU15" t="str">
        <f t="shared" si="76"/>
        <v>"pn":"CL21B223KBANNNC",</v>
      </c>
      <c r="DV15" t="str">
        <f t="shared" si="76"/>
        <v>"pn":"22-27-2021",</v>
      </c>
      <c r="DW15" t="str">
        <f t="shared" si="76"/>
        <v>"pn":"CL10C220JB8NNNC",</v>
      </c>
      <c r="DX15" t="str">
        <f t="shared" si="76"/>
        <v>"pn":"0603N220J500CT",</v>
      </c>
      <c r="DY15" t="str">
        <f t="shared" si="76"/>
        <v>"pn":"RC0603JR-071KL",</v>
      </c>
      <c r="DZ15" t="str">
        <f t="shared" si="76"/>
        <v>"pn":"WR06X102JTL",</v>
      </c>
      <c r="EA15" t="str">
        <f t="shared" si="76"/>
        <v>"pn":"CC1206KKX7R9BB105",</v>
      </c>
      <c r="EB15" t="str">
        <f t="shared" si="76"/>
        <v>"pn":"C1206C105K5RACTU",</v>
      </c>
      <c r="EC15" t="str">
        <f t="shared" si="76"/>
        <v>"pn":"C1206C105K5RAC7800",</v>
      </c>
      <c r="ED15" t="str">
        <f t="shared" si="76"/>
        <v>"pn":"CL31B105KBHNNNE",</v>
      </c>
      <c r="EE15" t="str">
        <f t="shared" si="76"/>
        <v>"pn":"1206B105K500LT",</v>
      </c>
      <c r="EF15" t="str">
        <f t="shared" si="76"/>
        <v>"pn":"19-217/R6C-P1Q2/3T",</v>
      </c>
      <c r="EG15" t="str">
        <f t="shared" si="76"/>
        <v>"pn":"WR06X220JTL",</v>
      </c>
      <c r="EH15" t="str">
        <f t="shared" si="76"/>
        <v>"pn":"ERJ-6GEYJ220V",</v>
      </c>
      <c r="EI15" t="str">
        <f t="shared" si="76"/>
        <v>"pn":"WR08X220 JTL",</v>
      </c>
      <c r="EJ15" t="str">
        <f t="shared" si="76"/>
        <v>"pn":"WR12X60R4FTL",</v>
      </c>
      <c r="EK15" t="str">
        <f t="shared" si="76"/>
        <v>"pn":"0505020MXP",</v>
      </c>
      <c r="EL15" t="str">
        <f t="shared" ref="EL15:GW15" si="77">_xlfn.CONCAT("""",$L$9,"""",":","""",EL9,"""",",")</f>
        <v>"pn":"744765039A",</v>
      </c>
      <c r="EM15" t="str">
        <f t="shared" si="77"/>
        <v>"pn":"BWCS001207073N9J00",</v>
      </c>
      <c r="EN15" t="str">
        <f t="shared" si="77"/>
        <v>"pn":"GRM21BR71A106KA73L",</v>
      </c>
      <c r="EO15" t="str">
        <f t="shared" si="77"/>
        <v>"pn":"0805B106K100LT(CT)",</v>
      </c>
      <c r="EP15" t="str">
        <f t="shared" si="77"/>
        <v>"pn":"RC0805FR-07470KL",</v>
      </c>
      <c r="EQ15" t="str">
        <f t="shared" si="77"/>
        <v>"pn":"CS0603KRX7R9BB103",</v>
      </c>
      <c r="ER15" t="str">
        <f t="shared" si="77"/>
        <v>"pn":"C0603C103K5RACTU",</v>
      </c>
      <c r="ES15" t="str">
        <f t="shared" si="77"/>
        <v>"pn":"CC1206KRX7R9BB104",</v>
      </c>
      <c r="ET15" t="str">
        <f t="shared" si="77"/>
        <v>"pn":"1206B104K250CT",</v>
      </c>
      <c r="EU15" t="str">
        <f t="shared" si="77"/>
        <v>"pn":"1206B104K500CT",</v>
      </c>
      <c r="EV15" t="str">
        <f t="shared" si="77"/>
        <v>"pn":"BAV99-13-F",</v>
      </c>
      <c r="EW15" t="str">
        <f t="shared" si="77"/>
        <v>"pn":"BAV99-7-F",</v>
      </c>
      <c r="EX15" t="str">
        <f t="shared" si="77"/>
        <v>"pn":"BAV99LT1G",</v>
      </c>
      <c r="EY15" t="str">
        <f t="shared" si="77"/>
        <v>"pn":"SBAV99LT1G",</v>
      </c>
      <c r="EZ15" t="str">
        <f t="shared" si="77"/>
        <v>"pn":"1551953-1",</v>
      </c>
      <c r="FA15" t="str">
        <f t="shared" si="77"/>
        <v>"pn":"RH2W336M12030BB",</v>
      </c>
      <c r="FB15" t="str">
        <f t="shared" si="77"/>
        <v>"pn":"RMCF1206FT10R0",</v>
      </c>
      <c r="FC15" t="str">
        <f t="shared" si="77"/>
        <v>"pn":"WR08X153 JTL",</v>
      </c>
      <c r="FD15" t="str">
        <f t="shared" si="77"/>
        <v>"pn":"CC1206KKX5R9BB106",</v>
      </c>
      <c r="FE15" t="str">
        <f t="shared" si="77"/>
        <v>"pn":"CL31A106KBHNNNE",</v>
      </c>
      <c r="FF15" t="str">
        <f t="shared" si="77"/>
        <v>"pn":"RC1206FR-07274KL",</v>
      </c>
      <c r="FG15" t="str">
        <f t="shared" si="77"/>
        <v>"pn":"PESD5V2S2UT,215",</v>
      </c>
      <c r="FH15" t="str">
        <f t="shared" si="77"/>
        <v>"pn":"PESD5V2S2UT,215",</v>
      </c>
      <c r="FI15" t="str">
        <f t="shared" si="77"/>
        <v>"pn":"C0805C105K4RACTU",</v>
      </c>
      <c r="FJ15" t="str">
        <f t="shared" si="77"/>
        <v>"pn":"C0805C105K4RAC7800",</v>
      </c>
      <c r="FK15" t="str">
        <f t="shared" si="77"/>
        <v>"pn":"GRM21BR71C105KA01",</v>
      </c>
      <c r="FL15" t="str">
        <f t="shared" si="77"/>
        <v>"pn":"P6KE220CA",</v>
      </c>
      <c r="FM15" t="str">
        <f t="shared" si="77"/>
        <v>"pn":"P6KE220CA",</v>
      </c>
      <c r="FN15" t="str">
        <f t="shared" si="77"/>
        <v>"pn":"HLMP1302",</v>
      </c>
      <c r="FO15" t="str">
        <f t="shared" si="77"/>
        <v>"pn":"HLMP1302/QT264-3ID",</v>
      </c>
      <c r="FP15" t="str">
        <f t="shared" si="77"/>
        <v>"pn":"HLMP1302",</v>
      </c>
      <c r="FQ15" t="str">
        <f t="shared" si="77"/>
        <v>"pn":"RP171N331D-TR-FE",</v>
      </c>
      <c r="FR15" t="str">
        <f t="shared" si="77"/>
        <v>"pn":"RP171N331D-TR-FE",</v>
      </c>
      <c r="FS15" t="str">
        <f t="shared" si="77"/>
        <v>"pn":"WR06X100 JTL",</v>
      </c>
      <c r="FT15" t="str">
        <f t="shared" si="77"/>
        <v>"pn":"AP1510SG-13",</v>
      </c>
      <c r="FU15" t="str">
        <f t="shared" si="77"/>
        <v>"pn":"AP1533SG-13",</v>
      </c>
      <c r="FV15" t="str">
        <f t="shared" si="77"/>
        <v>"pn":"CPW 0.7X0.7MM 1/2H",</v>
      </c>
      <c r="FW15" t="str">
        <f t="shared" si="77"/>
        <v>"pn":"CPW 0.7X0.7MM3/4H",</v>
      </c>
      <c r="FX15" t="str">
        <f t="shared" si="77"/>
        <v>"pn":"C0603C222K5RACTU",</v>
      </c>
      <c r="FY15" t="str">
        <f t="shared" si="77"/>
        <v>"pn":"CL10B222KB8NNNC",</v>
      </c>
      <c r="FZ15" t="str">
        <f t="shared" si="77"/>
        <v>"pn":"0603B222K500CT",</v>
      </c>
      <c r="GA15" t="str">
        <f t="shared" si="77"/>
        <v>"pn":"CL31B225KAHNNNE",</v>
      </c>
      <c r="GB15" t="str">
        <f t="shared" si="77"/>
        <v>"pn":"C3216X7R1E225K160AA",</v>
      </c>
      <c r="GC15" t="str">
        <f t="shared" si="77"/>
        <v>"pn":"1206B225K250CT",</v>
      </c>
      <c r="GD15" t="str">
        <f t="shared" si="77"/>
        <v>"pn":"RV1206JR-0727ML",</v>
      </c>
      <c r="GE15" t="str">
        <f t="shared" si="77"/>
        <v>"pn":"0022013027",</v>
      </c>
      <c r="GF15" t="str">
        <f t="shared" si="77"/>
        <v>"pn":"22-01-3027",</v>
      </c>
      <c r="GG15" t="str">
        <f t="shared" si="77"/>
        <v>"pn":"22013027",</v>
      </c>
      <c r="GH15" t="str">
        <f t="shared" si="77"/>
        <v>"pn":"UVZ1E102MPD1TD",</v>
      </c>
      <c r="GI15" t="str">
        <f t="shared" si="77"/>
        <v>"pn":"RD1E108M10020PA159",</v>
      </c>
      <c r="GJ15" t="str">
        <f t="shared" si="77"/>
        <v>"pn":"WR08X152JTL",</v>
      </c>
      <c r="GK15" t="str">
        <f t="shared" si="77"/>
        <v>"pn":"RC0805FR-0710RL",</v>
      </c>
      <c r="GL15" t="str">
        <f t="shared" si="77"/>
        <v>"pn":"FAN3224TMPX",</v>
      </c>
      <c r="GM15" t="str">
        <f t="shared" si="77"/>
        <v>"pn":"FAN3224TMPX",</v>
      </c>
      <c r="GN15" t="str">
        <f t="shared" si="77"/>
        <v>"pn":"RC1206FR-071ML",</v>
      </c>
      <c r="GO15" t="str">
        <f t="shared" si="77"/>
        <v>"pn":"EEE-HA1V100R",</v>
      </c>
      <c r="GP15" t="str">
        <f t="shared" si="77"/>
        <v>"pn":"MAL215370109E3",</v>
      </c>
      <c r="GQ15" t="str">
        <f t="shared" si="77"/>
        <v>"pn":"UWT1V100MCL1GB",</v>
      </c>
      <c r="GR15" t="str">
        <f t="shared" si="77"/>
        <v>"pn":"RC1V106M05005VR",</v>
      </c>
      <c r="GS15" t="str">
        <f t="shared" si="77"/>
        <v>"pn":"42815-0012",</v>
      </c>
      <c r="GT15" t="str">
        <f t="shared" si="77"/>
        <v>"pn":"RC0805FR-07680RL",</v>
      </c>
      <c r="GU15" t="str">
        <f t="shared" si="77"/>
        <v>"pn":"CC0603KRX7R7BB104",</v>
      </c>
      <c r="GV15" t="str">
        <f t="shared" si="77"/>
        <v>"pn":"LTF5022T-2R2N2R8-D",</v>
      </c>
      <c r="GW15" t="str">
        <f t="shared" si="77"/>
        <v>"pn":"ERA-3AEB1183V",</v>
      </c>
      <c r="GX15" t="str">
        <f t="shared" ref="GX15:JI15" si="78">_xlfn.CONCAT("""",$L$9,"""",":","""",GX9,"""",",")</f>
        <v>"pn":"WR08X60R4FTL",</v>
      </c>
      <c r="GY15" t="str">
        <f t="shared" si="78"/>
        <v>"pn":"C0603C220J5GACTU",</v>
      </c>
      <c r="GZ15" t="str">
        <f t="shared" si="78"/>
        <v>"pn":"VJ0603A220JXACW1BC",</v>
      </c>
      <c r="HA15" t="str">
        <f t="shared" si="78"/>
        <v>"pn":"RC0805FR-07 33K",</v>
      </c>
      <c r="HB15" t="str">
        <f t="shared" si="78"/>
        <v>"pn":"RC0805FR-0733KL",</v>
      </c>
      <c r="HC15" t="str">
        <f t="shared" si="78"/>
        <v>"pn":"CPW 0,6X0,6 MM 1/2H",</v>
      </c>
      <c r="HD15" t="str">
        <f t="shared" si="78"/>
        <v>"pn":"RC2512FK-073R9L",</v>
      </c>
      <c r="HE15" t="str">
        <f t="shared" si="78"/>
        <v>"pn":"RC2512JK-7W3R9L",</v>
      </c>
      <c r="HF15" t="str">
        <f t="shared" si="78"/>
        <v>"pn":"WF25P3R9JTL",</v>
      </c>
      <c r="HG15" t="str">
        <f t="shared" si="78"/>
        <v>"pn":"CRGH2512J3R9",</v>
      </c>
      <c r="HH15" t="str">
        <f t="shared" si="78"/>
        <v>"pn":"V320LA20AP",</v>
      </c>
      <c r="HI15" t="str">
        <f t="shared" si="78"/>
        <v>"pn":"V320LA20APW",</v>
      </c>
      <c r="HJ15" t="str">
        <f t="shared" si="78"/>
        <v>"pn":"C823D603KB2B550",</v>
      </c>
      <c r="HK15" t="str">
        <f t="shared" si="78"/>
        <v>"pn":"RC1206FR-07332RL",</v>
      </c>
      <c r="HL15" t="str">
        <f t="shared" si="78"/>
        <v>"pn":"BYG80D",</v>
      </c>
      <c r="HM15" t="str">
        <f t="shared" si="78"/>
        <v>"pn":"ES1D",</v>
      </c>
      <c r="HN15" t="str">
        <f t="shared" si="78"/>
        <v>"pn":"STPR120A",</v>
      </c>
      <c r="HO15" t="str">
        <f t="shared" si="78"/>
        <v>"pn":"ES1D",</v>
      </c>
      <c r="HP15" t="str">
        <f t="shared" si="78"/>
        <v>"pn":"ES1D R3G",</v>
      </c>
      <c r="HQ15" t="str">
        <f t="shared" si="78"/>
        <v>"pn":"RC0805JR-07100RL",</v>
      </c>
      <c r="HR15" t="str">
        <f t="shared" si="78"/>
        <v>"pn":"WR08X101JTL",</v>
      </c>
      <c r="HS15" t="str">
        <f t="shared" si="78"/>
        <v>"pn":"RN73R2ATTD1002B25",</v>
      </c>
      <c r="HT15" t="str">
        <f t="shared" si="78"/>
        <v>"pn":"RN732ATTD1002B25",</v>
      </c>
      <c r="HU15" t="str">
        <f t="shared" si="78"/>
        <v>"pn":"RC1206FR-0727K4L",</v>
      </c>
      <c r="HV15" t="str">
        <f t="shared" si="78"/>
        <v>"pn":"74477824",</v>
      </c>
      <c r="HW15" t="str">
        <f t="shared" si="78"/>
        <v>"pn":"RC0805FR-07 120R",</v>
      </c>
      <c r="HX15" t="str">
        <f t="shared" si="78"/>
        <v>"pn":"RC0805FR-07120RL",</v>
      </c>
      <c r="HY15" t="str">
        <f t="shared" si="78"/>
        <v>"pn":"WR08X1200FTL",</v>
      </c>
      <c r="HZ15" t="str">
        <f t="shared" si="78"/>
        <v>"pn":"WR06X331 JTL",</v>
      </c>
      <c r="IA15" t="str">
        <f t="shared" si="78"/>
        <v>"pn":"B32529C0104K289",</v>
      </c>
      <c r="IB15" t="str">
        <f t="shared" si="78"/>
        <v>"pn":"R82DC3100DQ50K",</v>
      </c>
      <c r="IC15" t="str">
        <f t="shared" si="78"/>
        <v>"pn":"BFC247075104",</v>
      </c>
      <c r="ID15" t="str">
        <f t="shared" si="78"/>
        <v>"pn":"RC0603FR-0710KL",</v>
      </c>
      <c r="IE15" t="str">
        <f t="shared" si="78"/>
        <v>"pn":"RK73H1JTTD1002F",</v>
      </c>
      <c r="IF15" t="str">
        <f t="shared" si="78"/>
        <v>"pn":"0603WAF1002T5E",</v>
      </c>
      <c r="IG15" t="str">
        <f t="shared" si="78"/>
        <v>"pn":"RMCF0603FT10K0",</v>
      </c>
      <c r="IH15" t="str">
        <f t="shared" si="78"/>
        <v>"pn":"RC1206FR-072K43L",</v>
      </c>
      <c r="II15" t="str">
        <f t="shared" si="78"/>
        <v>"pn":"RC1206FR-072K21L",</v>
      </c>
      <c r="IJ15" t="str">
        <f t="shared" si="78"/>
        <v>"pn":"VSSAF5M10-M3/H",</v>
      </c>
      <c r="IK15" t="str">
        <f t="shared" si="78"/>
        <v>"pn":"SK510AFL-TP",</v>
      </c>
      <c r="IL15" t="str">
        <f t="shared" si="78"/>
        <v>"pn":"CC0805KRX7R9BB103",</v>
      </c>
      <c r="IM15" t="str">
        <f t="shared" si="78"/>
        <v>"pn":"C0805C103K4RACTU",</v>
      </c>
      <c r="IN15" t="str">
        <f t="shared" si="78"/>
        <v>"pn":"08055C103KAT2A",</v>
      </c>
      <c r="IO15" t="str">
        <f t="shared" si="78"/>
        <v>"pn":"UUD1H100MCL1GS",</v>
      </c>
      <c r="IP15" t="str">
        <f t="shared" si="78"/>
        <v>"pn":"1206S4J0331T5E",</v>
      </c>
      <c r="IQ15" t="str">
        <f t="shared" si="78"/>
        <v>"pn":"1206W4J0331T5E",</v>
      </c>
      <c r="IR15" t="str">
        <f t="shared" si="78"/>
        <v>"pn":"WR12X331JTL",</v>
      </c>
      <c r="IS15" t="str">
        <f t="shared" si="78"/>
        <v>"pn":"VJ2220Y472KXUSTX1",</v>
      </c>
      <c r="IT15" t="str">
        <f t="shared" si="78"/>
        <v>"pn":"GA355DR7GF472KW01L",</v>
      </c>
      <c r="IU15" t="str">
        <f t="shared" si="78"/>
        <v>"pn":"2220YA250472KXTB16",</v>
      </c>
      <c r="IV15" t="str">
        <f t="shared" si="78"/>
        <v>"pn":"2450AT43B100E",</v>
      </c>
      <c r="IW15" t="str">
        <f t="shared" si="78"/>
        <v>"pn":"0449.375MR",</v>
      </c>
      <c r="IX15" t="str">
        <f t="shared" si="78"/>
        <v>"pn":"CL21C150JBANNNC",</v>
      </c>
      <c r="IY15" t="str">
        <f t="shared" si="78"/>
        <v>"pn":"CL21B473KBCNNNC",</v>
      </c>
      <c r="IZ15" t="str">
        <f t="shared" si="78"/>
        <v>"pn":"0805S8J0392T5E",</v>
      </c>
      <c r="JA15" t="str">
        <f t="shared" si="78"/>
        <v>"pn":"0805W8J0392T5E",</v>
      </c>
      <c r="JB15" t="str">
        <f t="shared" si="78"/>
        <v>"pn":"MV53642",</v>
      </c>
      <c r="JC15" t="str">
        <f t="shared" si="78"/>
        <v>"pn":"CR0805-JW-821ELF",</v>
      </c>
      <c r="JD15" t="str">
        <f t="shared" si="78"/>
        <v>"pn":"HM76-30101JLFTR13",</v>
      </c>
      <c r="JE15" t="str">
        <f t="shared" si="78"/>
        <v>"pn":"ERJ-8GEYJ102V",</v>
      </c>
      <c r="JF15" t="str">
        <f t="shared" si="78"/>
        <v>"pn":"WR12X102 JTL",</v>
      </c>
      <c r="JG15" t="str">
        <f t="shared" si="78"/>
        <v>"pn":"RC0603FR-071K21L",</v>
      </c>
      <c r="JH15" t="str">
        <f t="shared" si="78"/>
        <v>"pn":"VLRK31Q1R2-GS08",</v>
      </c>
      <c r="JI15" t="str">
        <f t="shared" si="78"/>
        <v>"pn":"LS T776-P2S1-1-0-20-R18-Z",</v>
      </c>
      <c r="JJ15" t="str">
        <f t="shared" ref="JJ15:LU15" si="79">_xlfn.CONCAT("""",$L$9,"""",":","""",JJ9,"""",",")</f>
        <v>"pn":"ERJ-3EKF1000V",</v>
      </c>
      <c r="JK15" t="str">
        <f t="shared" si="79"/>
        <v>"pn":"RC0603FR-07100RL",</v>
      </c>
      <c r="JL15" t="str">
        <f t="shared" si="79"/>
        <v>"pn":"RK73H1JTTD1000F",</v>
      </c>
      <c r="JM15" t="str">
        <f t="shared" si="79"/>
        <v>"pn":"0603WAF1000T5E",</v>
      </c>
      <c r="JN15" t="str">
        <f t="shared" si="79"/>
        <v>"pn":"CRCW08051K00FKEAC",</v>
      </c>
      <c r="JO15" t="str">
        <f t="shared" si="79"/>
        <v>"pn":"RK73H2ATTD1001F",</v>
      </c>
      <c r="JP15" t="str">
        <f t="shared" si="79"/>
        <v>"pn":"RK73H2ATTE1001F",</v>
      </c>
      <c r="JQ15" t="str">
        <f t="shared" si="79"/>
        <v>"pn":"0805W8F1001T5E",</v>
      </c>
      <c r="JR15" t="str">
        <f t="shared" si="79"/>
        <v>"pn":"CR0805-FX-1001ELF",</v>
      </c>
      <c r="JS15" t="str">
        <f t="shared" si="79"/>
        <v>"pn":"CR0805FX-1001ELF",</v>
      </c>
      <c r="JT15" t="str">
        <f t="shared" si="79"/>
        <v>"pn":"3003",</v>
      </c>
      <c r="JU15" t="str">
        <f t="shared" si="79"/>
        <v>"pn":"RC0402FR-0775KL",</v>
      </c>
      <c r="JV15" t="str">
        <f t="shared" si="79"/>
        <v>"pn":"BT155W-1200T-AQ",</v>
      </c>
      <c r="JW15" t="str">
        <f t="shared" si="79"/>
        <v>"pn":"BT155W-1200TQ",</v>
      </c>
      <c r="JX15" t="str">
        <f t="shared" si="79"/>
        <v>"pn":"CC0402KRX7R7BB103",</v>
      </c>
      <c r="JY15" t="str">
        <f t="shared" si="79"/>
        <v>"pn":"STTH212U",</v>
      </c>
      <c r="JZ15" t="str">
        <f t="shared" si="79"/>
        <v>"pn":"04023A470JAT2A",</v>
      </c>
      <c r="KA15" t="str">
        <f t="shared" si="79"/>
        <v>"pn":"LM2931M-5.0/NOPB",</v>
      </c>
      <c r="KB15" t="str">
        <f t="shared" si="79"/>
        <v>"pn":"LM2931MX-5.0/NOPB",</v>
      </c>
      <c r="KC15" t="str">
        <f t="shared" si="79"/>
        <v>"pn":"LM2931AD-5.0R2G",</v>
      </c>
      <c r="KD15" t="str">
        <f t="shared" si="79"/>
        <v>"pn":"B72214S0301K101",</v>
      </c>
      <c r="KE15" t="str">
        <f t="shared" si="79"/>
        <v>"pn":"B72214S0301K101 (S14K300)",</v>
      </c>
      <c r="KF15" t="str">
        <f t="shared" si="79"/>
        <v>"pn":"S14K300 (B72214S0301K101)",</v>
      </c>
      <c r="KG15" t="str">
        <f t="shared" si="79"/>
        <v>"pn":"C0603C102K5RACTU",</v>
      </c>
      <c r="KH15" t="str">
        <f t="shared" si="79"/>
        <v>"pn":"C0603C102K5RAC7867",</v>
      </c>
      <c r="KI15" t="str">
        <f t="shared" si="79"/>
        <v>"pn":"RC1206FR-0768K1L",</v>
      </c>
      <c r="KJ15" t="str">
        <f t="shared" si="79"/>
        <v>"pn":"PZTA42T1G",</v>
      </c>
      <c r="KK15" t="str">
        <f t="shared" si="79"/>
        <v>"pn":"RC0603FR-072K2L",</v>
      </c>
      <c r="KL15" t="str">
        <f t="shared" si="79"/>
        <v>"pn":"RK73H1JTTD2201F",</v>
      </c>
      <c r="KM15" t="str">
        <f t="shared" si="79"/>
        <v>"pn":"0603WAF2201T5E",</v>
      </c>
      <c r="KN15" t="str">
        <f t="shared" si="79"/>
        <v>"pn":"RMCF0603FT2K20",</v>
      </c>
      <c r="KO15" t="str">
        <f t="shared" si="79"/>
        <v>"pn":"C1206C103JBGACTU",</v>
      </c>
      <c r="KP15" t="str">
        <f t="shared" si="79"/>
        <v>"pn":"C1206C103JBGAC7800",</v>
      </c>
      <c r="KQ15" t="str">
        <f t="shared" si="79"/>
        <v>"pn":"C1206C103JBGA7800",</v>
      </c>
      <c r="KR15" t="str">
        <f t="shared" si="79"/>
        <v>"pn":"CGA5L4C0G2J103J160AA",</v>
      </c>
      <c r="KS15" t="str">
        <f t="shared" si="79"/>
        <v>"pn":"RC0805FR-0743K2L",</v>
      </c>
      <c r="KT15" t="str">
        <f t="shared" si="79"/>
        <v>"pn":"ACNW3190-300E",</v>
      </c>
      <c r="KU15" t="str">
        <f t="shared" si="79"/>
        <v>"pn":"ACNW3190-300E (TUBE)",</v>
      </c>
      <c r="KV15" t="str">
        <f t="shared" si="79"/>
        <v>"pn":"ACNW3190-500E",</v>
      </c>
      <c r="KW15" t="str">
        <f t="shared" si="79"/>
        <v>"pn":"RT0805FRE07124KL",</v>
      </c>
      <c r="KX15" t="str">
        <f t="shared" si="79"/>
        <v>"pn":"CRCW0805124KFKEA",</v>
      </c>
      <c r="KY15" t="str">
        <f t="shared" si="79"/>
        <v>"pn":"TZMC13-GS08",</v>
      </c>
      <c r="KZ15" t="str">
        <f t="shared" si="79"/>
        <v>"pn":"SMAZ5925B-E3/61",</v>
      </c>
      <c r="LA15" t="str">
        <f t="shared" si="79"/>
        <v>"pn":"SMAZ10-13-F",</v>
      </c>
      <c r="LB15" t="str">
        <f t="shared" si="79"/>
        <v>"pn":"1SMA5925BT3G",</v>
      </c>
      <c r="LC15" t="str">
        <f t="shared" si="79"/>
        <v>"pn":"CC0805KRX7R9BB104",</v>
      </c>
      <c r="LD15" t="str">
        <f t="shared" si="79"/>
        <v>"pn":"C0805C104K5RACTU",</v>
      </c>
      <c r="LE15" t="str">
        <f t="shared" si="79"/>
        <v>"pn":"CL21B104KBCNNNC",</v>
      </c>
      <c r="LF15" t="str">
        <f t="shared" si="79"/>
        <v>"pn":"0805B104K250CT",</v>
      </c>
      <c r="LG15" t="str">
        <f t="shared" si="79"/>
        <v>"pn":"0805B104K500CT",</v>
      </c>
      <c r="LH15" t="str">
        <f t="shared" si="79"/>
        <v>"pn":"RC0805FR-07 18K",</v>
      </c>
      <c r="LI15" t="str">
        <f t="shared" si="79"/>
        <v>"pn":"RC0805FR-0718KL",</v>
      </c>
      <c r="LJ15" t="str">
        <f t="shared" si="79"/>
        <v>"pn":"WR08X1802FTL",</v>
      </c>
      <c r="LK15" t="str">
        <f t="shared" si="79"/>
        <v>"pn":"CC0402JRNPO9BN100",</v>
      </c>
      <c r="LL15" t="str">
        <f t="shared" si="79"/>
        <v>"pn":"CRCW0402100RFKED",</v>
      </c>
      <c r="LM15" t="str">
        <f t="shared" si="79"/>
        <v>"pn":"0402WGF1000TCE",</v>
      </c>
      <c r="LN15" t="str">
        <f t="shared" si="79"/>
        <v>"pn":"CC0402JRNPO9BN101",</v>
      </c>
      <c r="LO15" t="str">
        <f t="shared" si="79"/>
        <v>"pn":"C0402C101J5GACTU",</v>
      </c>
      <c r="LP15" t="str">
        <f t="shared" si="79"/>
        <v>"pn":"KGM05ACG1H101JH",</v>
      </c>
      <c r="LQ15" t="str">
        <f t="shared" si="79"/>
        <v>"pn":"C1005NP01H101J050BA",</v>
      </c>
      <c r="LR15" t="str">
        <f t="shared" si="79"/>
        <v>"pn":"RC0402FR-07470KL",</v>
      </c>
      <c r="LS15" t="str">
        <f t="shared" si="79"/>
        <v>"pn":"RC0402FR-13470KL",</v>
      </c>
      <c r="LT15" t="str">
        <f t="shared" si="79"/>
        <v>"pn":"0402WGF4703TCE",</v>
      </c>
      <c r="LU15" t="str">
        <f t="shared" si="79"/>
        <v>"pn":"RC0805FR-07121KL",</v>
      </c>
      <c r="LV15" t="str">
        <f t="shared" ref="LV15:OG15" si="80">_xlfn.CONCAT("""",$L$9,"""",":","""",LV9,"""",",")</f>
        <v>"pn":"RC0402FR-072K2L",</v>
      </c>
      <c r="LW15" t="str">
        <f t="shared" si="80"/>
        <v>"pn":"0402WGF2201TCE",</v>
      </c>
      <c r="LX15" t="str">
        <f t="shared" si="80"/>
        <v>"pn":"B32674S3106K507",</v>
      </c>
      <c r="LY15" t="str">
        <f t="shared" si="80"/>
        <v>"pn":"RC1206FR-0722R1L",</v>
      </c>
      <c r="LZ15" t="str">
        <f t="shared" si="80"/>
        <v>"pn":"RC0805FR-0751K1L",</v>
      </c>
      <c r="MA15" t="str">
        <f t="shared" si="80"/>
        <v>"pn":"CRCW0402220RFKED",</v>
      </c>
      <c r="MB15" t="str">
        <f t="shared" si="80"/>
        <v>"pn":"CQ02WGF2200TCE",</v>
      </c>
      <c r="MC15" t="str">
        <f t="shared" si="80"/>
        <v>"pn":"RK73H2ATTD1201F",</v>
      </c>
      <c r="MD15" t="str">
        <f t="shared" si="80"/>
        <v>"pn":"HP05W3F1201T5E",</v>
      </c>
      <c r="ME15" t="str">
        <f t="shared" si="80"/>
        <v>"pn":"RC0603FR-07330KL",</v>
      </c>
      <c r="MF15" t="str">
        <f t="shared" si="80"/>
        <v>"pn":"RC0805FR-07 39K",</v>
      </c>
      <c r="MG15" t="str">
        <f t="shared" si="80"/>
        <v>"pn":"CHIP0805393P",</v>
      </c>
      <c r="MH15" t="str">
        <f t="shared" si="80"/>
        <v>"pn":"WR08X3902FTL",</v>
      </c>
      <c r="MI15" t="str">
        <f t="shared" si="80"/>
        <v>"pn":"RF0071-000",</v>
      </c>
      <c r="MJ15" t="str">
        <f t="shared" si="80"/>
        <v>"pn":"TRF600-160",</v>
      </c>
      <c r="MK15" t="str">
        <f t="shared" si="80"/>
        <v>"pn":"RC1206FR-074K75L",</v>
      </c>
      <c r="ML15" t="str">
        <f t="shared" si="80"/>
        <v>"pn":"GRM155R71C224KA12D",</v>
      </c>
      <c r="MM15" t="str">
        <f t="shared" si="80"/>
        <v>"pn":"RC2512FK-07120RL",</v>
      </c>
      <c r="MN15" t="str">
        <f t="shared" si="80"/>
        <v>"pn":"RC2512JK-7W120RL",</v>
      </c>
      <c r="MO15" t="str">
        <f t="shared" si="80"/>
        <v>"pn":"WF25P121JTL",</v>
      </c>
      <c r="MP15" t="str">
        <f t="shared" si="80"/>
        <v>"pn":"CRGH2512J120R",</v>
      </c>
      <c r="MQ15" t="str">
        <f t="shared" si="80"/>
        <v>"pn":"CC0402KRX7R8BB104",</v>
      </c>
      <c r="MR15" t="str">
        <f t="shared" si="80"/>
        <v>"pn":"04023C104KAT2A",</v>
      </c>
      <c r="MS15" t="str">
        <f t="shared" si="80"/>
        <v>"pn":"C1005X7R1E104K050BB",</v>
      </c>
      <c r="MT15" t="str">
        <f t="shared" si="80"/>
        <v>"pn":"RC2512FK-071KL",</v>
      </c>
      <c r="MU15" t="str">
        <f t="shared" si="80"/>
        <v>"pn":"WR25X1001FTL",</v>
      </c>
      <c r="MV15" t="str">
        <f t="shared" si="80"/>
        <v>"pn":"RMCF0805FT221R",</v>
      </c>
      <c r="MW15" t="str">
        <f t="shared" si="80"/>
        <v>"pn":"CRCW1206100KFKEAC",</v>
      </c>
      <c r="MX15" t="str">
        <f t="shared" si="80"/>
        <v>"pn":"C1812W224KCRACTU",</v>
      </c>
      <c r="MY15" t="str">
        <f t="shared" si="80"/>
        <v>"pn":"C1812W224KCRAC7800",</v>
      </c>
      <c r="MZ15" t="str">
        <f t="shared" si="80"/>
        <v>"pn":"501S43W224KV4E",</v>
      </c>
      <c r="NA15" t="str">
        <f t="shared" si="80"/>
        <v>"pn":"0402WGF1302TCE",</v>
      </c>
      <c r="NB15" t="str">
        <f t="shared" si="80"/>
        <v>"pn":"19-213/R6C-AM2P1VY/",</v>
      </c>
      <c r="NC15" t="str">
        <f t="shared" si="80"/>
        <v>"pn":"HSMH-C190",</v>
      </c>
      <c r="ND15" t="str">
        <f t="shared" si="80"/>
        <v>"pn":"RC0603FR-0775KL",</v>
      </c>
      <c r="NE15" t="str">
        <f t="shared" si="80"/>
        <v>"pn":"CR0603-FX-7502ELF",</v>
      </c>
      <c r="NF15" t="str">
        <f t="shared" si="80"/>
        <v>"pn":"RC1206JR-074R7L",</v>
      </c>
      <c r="NG15" t="str">
        <f t="shared" si="80"/>
        <v>"pn":"125LET",</v>
      </c>
      <c r="NH15" t="str">
        <f t="shared" si="80"/>
        <v>"pn":"BYG20G-E3/TR",</v>
      </c>
      <c r="NI15" t="str">
        <f t="shared" si="80"/>
        <v>"pn":"RFN2L4S",</v>
      </c>
      <c r="NJ15" t="str">
        <f t="shared" si="80"/>
        <v>"pn":"CC0402KRX7R6BB104",</v>
      </c>
      <c r="NK15" t="str">
        <f t="shared" si="80"/>
        <v>"pn":"1658621-4",</v>
      </c>
      <c r="NL15" t="str">
        <f t="shared" si="80"/>
        <v>"pn":"RC0402FR-070RL",</v>
      </c>
      <c r="NM15" t="str">
        <f t="shared" si="80"/>
        <v>"pn":"RC0402JR-070RL",</v>
      </c>
      <c r="NN15" t="str">
        <f t="shared" si="80"/>
        <v>"pn":"TS321IL",</v>
      </c>
      <c r="NO15" t="str">
        <f t="shared" si="80"/>
        <v>"pn":"TS321ILT",</v>
      </c>
      <c r="NP15" t="str">
        <f t="shared" si="80"/>
        <v>"pn":"IXTH4N150",</v>
      </c>
      <c r="NQ15" t="str">
        <f t="shared" si="80"/>
        <v>"pn":"STW4N150",</v>
      </c>
      <c r="NR15" t="str">
        <f t="shared" si="80"/>
        <v>"pn":"RC0402FR-0747KL",</v>
      </c>
      <c r="NS15" t="str">
        <f t="shared" si="80"/>
        <v>"pn":"0402WGF4702TCE",</v>
      </c>
      <c r="NT15" t="str">
        <f t="shared" si="80"/>
        <v>"pn":"RC0402FR-0768RL",</v>
      </c>
      <c r="NU15" t="str">
        <f t="shared" si="80"/>
        <v>"pn":"0402WGF680JTCE",</v>
      </c>
      <c r="NV15" t="str">
        <f t="shared" si="80"/>
        <v>"pn":"RC0805FR-07 22K",</v>
      </c>
      <c r="NW15" t="str">
        <f t="shared" si="80"/>
        <v>"pn":"RC0805FR-0722KL",</v>
      </c>
      <c r="NX15" t="str">
        <f t="shared" si="80"/>
        <v>"pn":"RC1206FR-07100RL",</v>
      </c>
      <c r="NY15" t="str">
        <f t="shared" si="80"/>
        <v>"pn":"RC2512JK-071RL",</v>
      </c>
      <c r="NZ15" t="str">
        <f t="shared" si="80"/>
        <v>"pn":"CR2512-F/-1R00ELF",</v>
      </c>
      <c r="OA15" t="str">
        <f t="shared" si="80"/>
        <v>"pn":"RC0603FR-07100RL",</v>
      </c>
      <c r="OB15" t="str">
        <f t="shared" si="80"/>
        <v>"pn":"CR0603-FX-1000ELF",</v>
      </c>
      <c r="OC15" t="str">
        <f t="shared" si="80"/>
        <v>"pn":"TC1264-2,5VDBTR",</v>
      </c>
      <c r="OD15" t="str">
        <f t="shared" si="80"/>
        <v>"pn":"TC1264-2.5VDBTR",</v>
      </c>
      <c r="OE15" t="str">
        <f t="shared" si="80"/>
        <v>"pn":"RC1206FR-0730R1L",</v>
      </c>
      <c r="OF15" t="str">
        <f t="shared" si="80"/>
        <v>"pn":"GRM155R60J475ME",</v>
      </c>
      <c r="OG15" t="str">
        <f t="shared" si="80"/>
        <v>"pn":"GRM155R60J475ME47D",</v>
      </c>
      <c r="OH15" t="str">
        <f t="shared" ref="OH15:QS15" si="81">_xlfn.CONCAT("""",$L$9,"""",":","""",OH9,"""",",")</f>
        <v>"pn":"GRM155R60J475ME87D",</v>
      </c>
      <c r="OI15" t="str">
        <f t="shared" si="81"/>
        <v>"pn":"CSR2512FTR500",</v>
      </c>
      <c r="OJ15" t="str">
        <f t="shared" si="81"/>
        <v>"pn":"LR2512-R50FW",</v>
      </c>
      <c r="OK15" t="str">
        <f t="shared" si="81"/>
        <v>"pn":"LR2512-R50FW",</v>
      </c>
      <c r="OL15" t="str">
        <f t="shared" si="81"/>
        <v>"pn":"RC2512JK-074K7L",</v>
      </c>
      <c r="OM15" t="str">
        <f t="shared" si="81"/>
        <v>"pn":"BSP318SH6327XTSA1",</v>
      </c>
      <c r="ON15" t="str">
        <f t="shared" si="81"/>
        <v>"pn":"BSP318SL6327HTSA1",</v>
      </c>
      <c r="OO15" t="str">
        <f t="shared" si="81"/>
        <v>"pn":"GJM1555C1H1R0BB01D",</v>
      </c>
      <c r="OP15" t="str">
        <f t="shared" si="81"/>
        <v>"pn":"MURS360-E3/9AT",</v>
      </c>
      <c r="OQ15" t="str">
        <f t="shared" si="81"/>
        <v>"pn":"MURS360T3G",</v>
      </c>
      <c r="OR15" t="str">
        <f t="shared" si="81"/>
        <v>"pn":"RC0402FR-0710KL",</v>
      </c>
      <c r="OS15" t="str">
        <f t="shared" si="81"/>
        <v>"pn":"CRCW040210K0FKED",</v>
      </c>
      <c r="OT15" t="str">
        <f t="shared" si="81"/>
        <v>"pn":"0402WGF1002TCE",</v>
      </c>
      <c r="OU15" t="str">
        <f t="shared" si="81"/>
        <v>"pn":"WR04X1002FTL",</v>
      </c>
      <c r="OV15" t="str">
        <f t="shared" si="81"/>
        <v>"pn":"R60MF3100AA6AJ",</v>
      </c>
      <c r="OW15" t="str">
        <f t="shared" si="81"/>
        <v>"pn":"MKT1820410405",</v>
      </c>
      <c r="OX15" t="str">
        <f t="shared" si="81"/>
        <v>"pn":"B32521E6104K000",</v>
      </c>
      <c r="OY15" t="str">
        <f t="shared" si="81"/>
        <v>"pn":"RC0603JR-071ML",</v>
      </c>
      <c r="OZ15" t="str">
        <f t="shared" si="81"/>
        <v>"pn":"CR0603-JW-105ELF",</v>
      </c>
      <c r="PA15" t="str">
        <f t="shared" si="81"/>
        <v>"pn":"CC0603KRX5R6BB225",</v>
      </c>
      <c r="PB15" t="str">
        <f t="shared" si="81"/>
        <v>"pn":"RC0603FR-071ML",</v>
      </c>
      <c r="PC15" t="str">
        <f t="shared" si="81"/>
        <v>"pn":"CRCW06031M00FKEA",</v>
      </c>
      <c r="PD15" t="str">
        <f t="shared" si="81"/>
        <v>"pn":"CG21000L",</v>
      </c>
      <c r="PE15" t="str">
        <f t="shared" si="81"/>
        <v>"pn":"CG21000LTR",</v>
      </c>
      <c r="PF15" t="str">
        <f t="shared" si="81"/>
        <v>"pn":"JD222MY5VY1",</v>
      </c>
      <c r="PG15" t="str">
        <f t="shared" si="81"/>
        <v>"pn":"JD222MY5VY1",</v>
      </c>
      <c r="PH15" t="str">
        <f t="shared" si="81"/>
        <v>"pn":"0Y10088",</v>
      </c>
      <c r="PI15" t="str">
        <f t="shared" si="81"/>
        <v>"pn":"RC0603JR-0715KL",</v>
      </c>
      <c r="PJ15" t="str">
        <f t="shared" si="81"/>
        <v>"pn":"RC0603FR-07113KL",</v>
      </c>
      <c r="PK15" t="str">
        <f t="shared" si="81"/>
        <v>"pn":"JD101KY5PY1",</v>
      </c>
      <c r="PL15" t="str">
        <f t="shared" si="81"/>
        <v>"pn":"JD101KY5PY1",</v>
      </c>
      <c r="PM15" t="str">
        <f t="shared" si="81"/>
        <v>"pn":"70Y10112",</v>
      </c>
      <c r="PN15" t="str">
        <f t="shared" si="81"/>
        <v>"pn":"2W10G-E4/51",</v>
      </c>
      <c r="PO15" t="str">
        <f t="shared" si="81"/>
        <v>"pn":"2W10G",</v>
      </c>
      <c r="PP15" t="str">
        <f t="shared" si="81"/>
        <v>"pn":"2W10",</v>
      </c>
      <c r="PQ15" t="str">
        <f t="shared" si="81"/>
        <v>"pn":"0402B103K500CT",</v>
      </c>
      <c r="PR15" t="str">
        <f t="shared" si="81"/>
        <v>"pn":"885012207063",</v>
      </c>
      <c r="PS15" t="str">
        <f t="shared" si="81"/>
        <v>"pn":"RC0603FR-0747R5L",</v>
      </c>
      <c r="PT15" t="str">
        <f t="shared" si="81"/>
        <v>"pn":"RT0805BRD07100KL",</v>
      </c>
      <c r="PU15" t="str">
        <f t="shared" si="81"/>
        <v>"pn":"MCU08050D1003BP100",</v>
      </c>
      <c r="PV15" t="str">
        <f t="shared" si="81"/>
        <v>"pn":"RP73D2A100KBTDF",</v>
      </c>
      <c r="PW15" t="str">
        <f t="shared" si="81"/>
        <v>"pn":"CC0402KRX7R8BB103",</v>
      </c>
      <c r="PX15" t="str">
        <f t="shared" si="81"/>
        <v>"pn":"C0402C103J3RACTU",</v>
      </c>
      <c r="PY15" t="str">
        <f t="shared" si="81"/>
        <v>"pn":"SZMM5Z3V9T1G",</v>
      </c>
      <c r="PZ15" t="str">
        <f t="shared" si="81"/>
        <v>"pn":"CC0402KRX5R8BB105",</v>
      </c>
      <c r="QA15" t="str">
        <f t="shared" si="81"/>
        <v>"pn":"GRM155R61E105KA12D",</v>
      </c>
      <c r="QB15" t="str">
        <f t="shared" si="81"/>
        <v>"pn":"CL05A105KA5NQNC",</v>
      </c>
      <c r="QC15" t="str">
        <f t="shared" si="81"/>
        <v>"pn":"C1005X5R1E105K050BE",</v>
      </c>
      <c r="QD15" t="str">
        <f t="shared" si="81"/>
        <v>"pn":"RC0805FR-071K02L",</v>
      </c>
      <c r="QE15" t="str">
        <f t="shared" si="81"/>
        <v>"pn":"CRCW08051K02FKEA",</v>
      </c>
      <c r="QF15" t="str">
        <f t="shared" si="81"/>
        <v>"pn":"CHIP08051.02KF",</v>
      </c>
      <c r="QG15" t="str">
        <f t="shared" si="81"/>
        <v>"pn":"WR08X1021FTL",</v>
      </c>
      <c r="QH15" t="str">
        <f t="shared" si="81"/>
        <v>"pn":"045101.5 MRL",</v>
      </c>
      <c r="QI15" t="str">
        <f t="shared" si="81"/>
        <v>"pn":"045101.5MRL",</v>
      </c>
      <c r="QJ15" t="str">
        <f t="shared" si="81"/>
        <v>"pn":"RC0402FR-0715RL",</v>
      </c>
      <c r="QK15" t="str">
        <f t="shared" si="81"/>
        <v>"pn":"0402WGF150JTCE",</v>
      </c>
      <c r="QL15" t="str">
        <f t="shared" si="81"/>
        <v>"pn":"RC0805FR-073K32L",</v>
      </c>
      <c r="QM15" t="str">
        <f t="shared" si="81"/>
        <v>"pn":"GJM1555C1HR90WB01D",</v>
      </c>
      <c r="QN15" t="str">
        <f t="shared" si="81"/>
        <v>"pn":"500R07S0R9AV4T",</v>
      </c>
      <c r="QO15" t="str">
        <f t="shared" si="81"/>
        <v>"pn":"RC0603JR-072K2L",</v>
      </c>
      <c r="QP15" t="str">
        <f t="shared" si="81"/>
        <v>"pn":"GCM155R72A102KA37D",</v>
      </c>
      <c r="QQ15" t="str">
        <f t="shared" si="81"/>
        <v>"pn":"0402B102K101CT",</v>
      </c>
      <c r="QR15" t="str">
        <f t="shared" si="81"/>
        <v>"pn":"LQG15WZ10NJ02D",</v>
      </c>
      <c r="QS15" t="str">
        <f t="shared" si="81"/>
        <v>"pn":"FNQ-R-1/2",</v>
      </c>
      <c r="QT15" t="str">
        <f t="shared" ref="QT15:TE15" si="82">_xlfn.CONCAT("""",$L$9,"""",":","""",QT9,"""",",")</f>
        <v>"pn":"744 231 091",</v>
      </c>
      <c r="QU15" t="str">
        <f t="shared" si="82"/>
        <v>"pn":"DF02S-E3",</v>
      </c>
      <c r="QV15" t="str">
        <f t="shared" si="82"/>
        <v>"pn":"DF02S-E3/77",</v>
      </c>
      <c r="QW15" t="str">
        <f t="shared" si="82"/>
        <v>"pn":"DBLS203G",</v>
      </c>
      <c r="QX15" t="str">
        <f t="shared" si="82"/>
        <v>"pn":"DBLS203G RD",</v>
      </c>
      <c r="QY15" t="str">
        <f t="shared" si="82"/>
        <v>"pn":"DBLS203G RDG",</v>
      </c>
      <c r="QZ15" t="str">
        <f t="shared" si="82"/>
        <v>"pn":"DBLS203G RD",</v>
      </c>
      <c r="RA15" t="str">
        <f t="shared" si="82"/>
        <v>"pn":"DBLS203G RDG",</v>
      </c>
      <c r="RB15" t="str">
        <f t="shared" si="82"/>
        <v>"pn":"RC0603FR-073K65L",</v>
      </c>
      <c r="RC15" t="str">
        <f t="shared" si="82"/>
        <v>"pn":"RC0603FR-075K11L",</v>
      </c>
      <c r="RD15" t="str">
        <f t="shared" si="82"/>
        <v>"pn":"RC0603FR-07182KL",</v>
      </c>
      <c r="RE15" t="str">
        <f t="shared" si="82"/>
        <v>"pn":"MIC2039AYM6-TR",</v>
      </c>
      <c r="RF15" t="str">
        <f t="shared" si="82"/>
        <v>"pn":"ERJ-6ENF1002V",</v>
      </c>
      <c r="RG15" t="str">
        <f t="shared" si="82"/>
        <v>"pn":"CQ05W8F1002T5E",</v>
      </c>
      <c r="RH15" t="str">
        <f t="shared" si="82"/>
        <v>"pn":"RMCF0805FT10K0",</v>
      </c>
      <c r="RI15" t="str">
        <f t="shared" si="82"/>
        <v>"pn":"0043 N S H G2",</v>
      </c>
      <c r="RJ15" t="str">
        <f t="shared" si="82"/>
        <v>"pn":"0043 N S F G2",</v>
      </c>
      <c r="RK15" t="str">
        <f t="shared" si="82"/>
        <v>"pn":"926887-1",</v>
      </c>
      <c r="RL15" t="str">
        <f t="shared" si="82"/>
        <v>"pn":"DSEI60-02A",</v>
      </c>
      <c r="RM15" t="str">
        <f t="shared" si="82"/>
        <v>"pn":"RC2512JK-7W1R5L",</v>
      </c>
      <c r="RN15" t="str">
        <f t="shared" si="82"/>
        <v>"pn":"CRM2512-FX-2R00ELF",</v>
      </c>
      <c r="RO15" t="str">
        <f t="shared" si="82"/>
        <v>"pn":"CRM2512-JW-2R0ELF",</v>
      </c>
      <c r="RP15" t="str">
        <f t="shared" si="82"/>
        <v>"pn":"CPW 0.5X0.5MM 3/4H",</v>
      </c>
      <c r="RQ15" t="str">
        <f t="shared" si="82"/>
        <v>"pn":"RC1206FR-071RL",</v>
      </c>
      <c r="RR15" t="str">
        <f t="shared" si="82"/>
        <v>"pn":"RCS12061R00FKEA",</v>
      </c>
      <c r="RS15" t="str">
        <f t="shared" si="82"/>
        <v>"pn":"RC1206FR-0749K9L",</v>
      </c>
      <c r="RT15" t="str">
        <f t="shared" si="82"/>
        <v>"pn":"NFE31PT222Z1E9L",</v>
      </c>
      <c r="RU15" t="str">
        <f t="shared" si="82"/>
        <v>"pn":"CRCW2512100KFKEH",</v>
      </c>
      <c r="RV15" t="str">
        <f t="shared" si="82"/>
        <v>"pn":"CRCW2512100KJNEH",</v>
      </c>
      <c r="RW15" t="str">
        <f t="shared" si="82"/>
        <v>"pn":"WK25V104JTL",</v>
      </c>
      <c r="RX15" t="str">
        <f t="shared" si="82"/>
        <v>"pn":"MFR50SFTE52-120R",</v>
      </c>
      <c r="RY15" t="str">
        <f t="shared" si="82"/>
        <v>"pn":"MKDS 5 HV/ 2-9,52",</v>
      </c>
      <c r="RZ15" t="str">
        <f t="shared" si="82"/>
        <v>"pn":"MKDS 5 HV/2-9,52",</v>
      </c>
      <c r="SA15" t="str">
        <f t="shared" si="82"/>
        <v>"pn":"MKDS5HV/2-9.52",</v>
      </c>
      <c r="SB15" t="str">
        <f t="shared" si="82"/>
        <v>"pn":"1017-1",</v>
      </c>
      <c r="SC15" t="str">
        <f t="shared" si="82"/>
        <v>"pn":"RB751S40T1G",</v>
      </c>
      <c r="SD15" t="str">
        <f t="shared" si="82"/>
        <v>"pn":"RB751S40T5G",</v>
      </c>
      <c r="SE15" t="str">
        <f t="shared" si="82"/>
        <v>"pn":"RB751S40,115",</v>
      </c>
      <c r="SF15" t="str">
        <f t="shared" si="82"/>
        <v>"pn":"RMCF1206FT1K00",</v>
      </c>
      <c r="SG15" t="str">
        <f t="shared" si="82"/>
        <v>"pn":"RC0603FR-07680RL",</v>
      </c>
      <c r="SH15" t="str">
        <f t="shared" si="82"/>
        <v>"pn":"CRCW0603680RFKEA",</v>
      </c>
      <c r="SI15" t="str">
        <f t="shared" si="82"/>
        <v>"pn":"MU00389-32.768K",</v>
      </c>
      <c r="SJ15" t="str">
        <f t="shared" si="82"/>
        <v>"pn":"RC2512JK-073K3L",</v>
      </c>
      <c r="SK15" t="str">
        <f t="shared" si="82"/>
        <v>"pn":"RT0805FRE0723K7L",</v>
      </c>
      <c r="SL15" t="str">
        <f t="shared" si="82"/>
        <v>"pn":"CRCW080523K7FKEA",</v>
      </c>
      <c r="SM15" t="str">
        <f t="shared" si="82"/>
        <v>"pn":"06035C102KAT2A",</v>
      </c>
      <c r="SN15" t="str">
        <f t="shared" si="82"/>
        <v>"pn":"CC0402MRX5R6BB106",</v>
      </c>
      <c r="SO15" t="str">
        <f t="shared" si="82"/>
        <v>"pn":"GRM155R61A106ME11D",</v>
      </c>
      <c r="SP15" t="str">
        <f t="shared" si="82"/>
        <v>"pn":"ZRB15XR61A106ME01D",</v>
      </c>
      <c r="SQ15" t="str">
        <f t="shared" si="82"/>
        <v>"pn":"0402ZD106MAT2A",</v>
      </c>
      <c r="SR15" t="str">
        <f t="shared" si="82"/>
        <v>"pn":"CL05A106MP5NUNC",</v>
      </c>
      <c r="SS15" t="str">
        <f t="shared" si="82"/>
        <v>"pn":"CC1206JRNPOABN101",</v>
      </c>
      <c r="ST15" t="str">
        <f t="shared" si="82"/>
        <v>"pn":"10207101009",</v>
      </c>
      <c r="SU15" t="str">
        <f t="shared" si="82"/>
        <v>"pn":"RN73R2ATTD4703B25",</v>
      </c>
      <c r="SV15" t="str">
        <f t="shared" si="82"/>
        <v>"pn":"RN732ATTD4703B25",</v>
      </c>
      <c r="SW15" t="str">
        <f t="shared" si="82"/>
        <v>"pn":"RMCF0603FT200K",</v>
      </c>
      <c r="SX15" t="str">
        <f t="shared" si="82"/>
        <v>"pn":"CC0402KRX5R6BB105",</v>
      </c>
      <c r="SY15" t="str">
        <f t="shared" si="82"/>
        <v>"pn":"C0402C105K8PAC",</v>
      </c>
      <c r="SZ15" t="str">
        <f t="shared" si="82"/>
        <v>"pn":"RMCF0603JT4K70",</v>
      </c>
      <c r="TA15" t="str">
        <f t="shared" si="82"/>
        <v>"pn":"CRCW04021K00FKEDC",</v>
      </c>
      <c r="TB15" t="str">
        <f t="shared" si="82"/>
        <v>"pn":"RC0603FR-0722RL",</v>
      </c>
      <c r="TC15" t="str">
        <f t="shared" si="82"/>
        <v>"pn":"ERJ-3EKF2200V",</v>
      </c>
      <c r="TD15" t="str">
        <f t="shared" si="82"/>
        <v>"pn":"RMCF0805FT10R0",</v>
      </c>
      <c r="TE15" t="str">
        <f t="shared" si="82"/>
        <v>"pn":"CRCW06031K50FKEA",</v>
      </c>
      <c r="TF15" t="str">
        <f t="shared" ref="TF15:VQ15" si="83">_xlfn.CONCAT("""",$L$9,"""",":","""",TF9,"""",",")</f>
        <v>"pn":"RMCF0603FT1K50",</v>
      </c>
      <c r="TG15" t="str">
        <f t="shared" si="83"/>
        <v>"pn":"RMCF0603FT100K",</v>
      </c>
      <c r="TH15" t="str">
        <f t="shared" si="83"/>
        <v>"pn":"RC0805JR-073K3L",</v>
      </c>
      <c r="TI15" t="str">
        <f t="shared" si="83"/>
        <v>"pn":"LQW15AN3N3B80D",</v>
      </c>
      <c r="TJ15" t="str">
        <f t="shared" si="83"/>
        <v>"pn":"RC0603FR-073K9L",</v>
      </c>
      <c r="TK15" t="str">
        <f t="shared" si="83"/>
        <v>"pn":"0603WAF3901T5E",</v>
      </c>
      <c r="TL15" t="str">
        <f t="shared" si="83"/>
        <v>"pn":"RCS12060000Z0EA",</v>
      </c>
      <c r="TM15" t="str">
        <f t="shared" si="83"/>
        <v>"pn":"0603WAF2002T5E",</v>
      </c>
      <c r="TN15" t="str">
        <f t="shared" si="83"/>
        <v>"pn":"RMCF0603FT20K0",</v>
      </c>
      <c r="TO15" t="str">
        <f t="shared" si="83"/>
        <v>"pn":"YC164-JR-07100RL",</v>
      </c>
      <c r="TP15" t="str">
        <f t="shared" si="83"/>
        <v>"pn":"BCN164AB101J7",</v>
      </c>
      <c r="TQ15" t="str">
        <f t="shared" si="83"/>
        <v>"pn":"CAY16-101J4LF",</v>
      </c>
      <c r="TR15" t="str">
        <f t="shared" si="83"/>
        <v>"pn":"RK73B1JTTD103J",</v>
      </c>
      <c r="TS15" t="str">
        <f t="shared" si="83"/>
        <v>"pn":"RMCF0805FT2K00",</v>
      </c>
      <c r="TT15" t="str">
        <f t="shared" si="83"/>
        <v>"pn":"CC1206JRNPOBBN471",</v>
      </c>
      <c r="TU15" t="str">
        <f t="shared" si="83"/>
        <v>"pn":"RC0805FR-07110KL",</v>
      </c>
      <c r="TV15" t="str">
        <f t="shared" si="83"/>
        <v>"pn":"ERJ-2RKF4701X",</v>
      </c>
      <c r="TW15" t="str">
        <f t="shared" si="83"/>
        <v>"pn":"CRCW0603390RFKEA",</v>
      </c>
      <c r="TX15" t="str">
        <f t="shared" si="83"/>
        <v>"pn":"RMCF0805JT10K0",</v>
      </c>
      <c r="TY15" t="str">
        <f t="shared" si="83"/>
        <v>"pn":"NSPR510GS",</v>
      </c>
      <c r="TZ15" t="str">
        <f t="shared" si="83"/>
        <v>"pn":"NSPA510BS",</v>
      </c>
      <c r="UA15" t="str">
        <f t="shared" si="83"/>
        <v>"pn":"LQW15AN2N7C00D",</v>
      </c>
      <c r="UB15" t="str">
        <f t="shared" si="83"/>
        <v>"pn":"CQ05W8F100KT5E",</v>
      </c>
      <c r="UC15" t="str">
        <f t="shared" si="83"/>
        <v>"pn":"0805W8F100KT5E",</v>
      </c>
      <c r="UD15" t="str">
        <f t="shared" si="83"/>
        <v>"pn":"RMCF0805FT1R00",</v>
      </c>
      <c r="UE15" t="str">
        <f t="shared" si="83"/>
        <v>"pn":"RC0805FR-071K2L",</v>
      </c>
      <c r="UF15" t="str">
        <f t="shared" si="83"/>
        <v>"pn":"0805W8F1201T5E",</v>
      </c>
      <c r="UG15" t="str">
        <f t="shared" si="83"/>
        <v>"pn":"RC0805FR-072K7L",</v>
      </c>
      <c r="UH15" t="str">
        <f t="shared" si="83"/>
        <v>"pn":"1206W4F2202T5E",</v>
      </c>
      <c r="UI15" t="str">
        <f t="shared" si="83"/>
        <v>"pn":"CR1206-FX-2202ELF",</v>
      </c>
      <c r="UJ15" t="str">
        <f t="shared" si="83"/>
        <v>"pn":"CC0402JRX7R8BB103",</v>
      </c>
      <c r="UK15" t="str">
        <f t="shared" si="83"/>
        <v>"pn":"RK73B2ATTD753J",</v>
      </c>
      <c r="UL15" t="str">
        <f t="shared" si="83"/>
        <v>"pn":"ERJ-6GEY0R00V",</v>
      </c>
      <c r="UM15" t="str">
        <f t="shared" si="83"/>
        <v>"pn":"0805W8J0000T5E",</v>
      </c>
      <c r="UN15" t="str">
        <f t="shared" si="83"/>
        <v>"pn":"SMAZ5V6-13-F",</v>
      </c>
      <c r="UO15" t="str">
        <f t="shared" si="83"/>
        <v>"pn":"RC0603FR-076K81L",</v>
      </c>
      <c r="UP15" t="str">
        <f t="shared" si="83"/>
        <v>"pn":"HEF4049BT,653",</v>
      </c>
      <c r="UQ15" t="str">
        <f t="shared" si="83"/>
        <v>"pn":"HEF4049BT,653",</v>
      </c>
      <c r="UR15" t="str">
        <f t="shared" si="83"/>
        <v>"pn":"08055C223KAT2A",</v>
      </c>
      <c r="US15" t="str">
        <f t="shared" si="83"/>
        <v>"pn":"SI2308BDS-T1-GE3",</v>
      </c>
      <c r="UT15" t="str">
        <f t="shared" si="83"/>
        <v>"pn":"SI2308CDS-T1-GE3",</v>
      </c>
      <c r="UU15" t="str">
        <f t="shared" si="83"/>
        <v>"pn":"SI2308DS-T1-E3",</v>
      </c>
      <c r="UV15" t="str">
        <f t="shared" si="83"/>
        <v>"pn":"1658621-3",</v>
      </c>
      <c r="UW15" t="str">
        <f t="shared" si="83"/>
        <v>"pn":"HLMP1523",</v>
      </c>
      <c r="UX15" t="str">
        <f t="shared" si="83"/>
        <v>"pn":"HLMP1523/QT264-3GD",</v>
      </c>
      <c r="UY15" t="str">
        <f t="shared" si="83"/>
        <v>"pn":"WR08X1210FTL",</v>
      </c>
      <c r="UZ15" t="str">
        <f t="shared" si="83"/>
        <v>"pn":"C1206C102J5GAC",</v>
      </c>
      <c r="VA15" t="str">
        <f t="shared" si="83"/>
        <v>"pn":"BSS138N",</v>
      </c>
      <c r="VB15" t="str">
        <f t="shared" si="83"/>
        <v>"pn":"BSS138-7-F",</v>
      </c>
      <c r="VC15" t="str">
        <f t="shared" si="83"/>
        <v>"pn":"BSS138",</v>
      </c>
      <c r="VD15" t="str">
        <f t="shared" si="83"/>
        <v>"pn":"04023J1R0ABSTR",</v>
      </c>
      <c r="VE15" t="str">
        <f t="shared" si="83"/>
        <v>"pn":"AA4040CGSK",</v>
      </c>
      <c r="VF15" t="str">
        <f t="shared" si="83"/>
        <v>"pn":"KA-4040-OS570",</v>
      </c>
      <c r="VG15" t="str">
        <f t="shared" si="83"/>
        <v>"pn":"KA-4040CGCKT",</v>
      </c>
      <c r="VH15" t="str">
        <f t="shared" si="83"/>
        <v>"pn":"KA-4040CGSK",</v>
      </c>
      <c r="VI15" t="str">
        <f t="shared" si="83"/>
        <v>"pn":"LG A676-P1Q2-24-0-2",</v>
      </c>
      <c r="VJ15" t="str">
        <f t="shared" si="83"/>
        <v>"pn":"LG A676-P1Q2-24-0-20R33-Z",</v>
      </c>
      <c r="VK15" t="str">
        <f t="shared" si="83"/>
        <v>"pn":"597-2301-213F",</v>
      </c>
      <c r="VL15" t="str">
        <f t="shared" si="83"/>
        <v>"pn":"XZVG67S",</v>
      </c>
      <c r="VM15" t="str">
        <f t="shared" si="83"/>
        <v>"pn":"RC0805FR-076K8L",</v>
      </c>
      <c r="VN15" t="str">
        <f t="shared" si="83"/>
        <v>"pn":"0805W8F6801T5E",</v>
      </c>
      <c r="VO15" t="str">
        <f t="shared" si="83"/>
        <v>"pn":"RMCF0805FT6K80",</v>
      </c>
      <c r="VP15" t="str">
        <f t="shared" si="83"/>
        <v>"pn":"RC0402JR-0710KL",</v>
      </c>
      <c r="VQ15" t="str">
        <f t="shared" si="83"/>
        <v>"pn":"0402WGJ0103TCE",</v>
      </c>
      <c r="VR15" t="str">
        <f t="shared" ref="VR15:YC15" si="84">_xlfn.CONCAT("""",$L$9,"""",":","""",VR9,"""",",")</f>
        <v>"pn":"SI8238BB-D-IS1R",</v>
      </c>
      <c r="VS15" t="str">
        <f t="shared" si="84"/>
        <v>"pn":"R5F5631PDDFM#V0",</v>
      </c>
      <c r="VT15" t="str">
        <f t="shared" si="84"/>
        <v>"pn":"R5F5631PDDFM#10",</v>
      </c>
      <c r="VU15" t="str">
        <f t="shared" si="84"/>
        <v>"pn":"STPS1H100U",</v>
      </c>
      <c r="VV15" t="str">
        <f t="shared" si="84"/>
        <v>"pn":"CRCW08054K70JNEAC",</v>
      </c>
      <c r="VW15" t="str">
        <f t="shared" si="84"/>
        <v>"pn":"C0402C101J5GACTU",</v>
      </c>
      <c r="VX15" t="str">
        <f t="shared" si="84"/>
        <v>"pn":"0402N101J500CT",</v>
      </c>
      <c r="VY15" t="str">
        <f t="shared" si="84"/>
        <v>"pn":"CRCW06031K00FKEA",</v>
      </c>
      <c r="VZ15" t="str">
        <f t="shared" si="84"/>
        <v>"pn":"ERJ3GEYJ151V",</v>
      </c>
      <c r="WA15" t="str">
        <f t="shared" si="84"/>
        <v>"pn":"RC0603JR-07150RL",</v>
      </c>
      <c r="WB15" t="str">
        <f t="shared" si="84"/>
        <v>"pn":"CR0603-JW-151ELF",</v>
      </c>
      <c r="WC15" t="str">
        <f t="shared" si="84"/>
        <v>"pn":"PTVS8V5S1UR,115",</v>
      </c>
      <c r="WD15" t="str">
        <f t="shared" si="84"/>
        <v>"pn":"0603WAF4701T5E",</v>
      </c>
      <c r="WE15" t="str">
        <f t="shared" si="84"/>
        <v>"pn":"RMCF0603FT4K70",</v>
      </c>
      <c r="WF15" t="str">
        <f t="shared" si="84"/>
        <v>"pn":"RC0805FR-07470KL",</v>
      </c>
      <c r="WG15" t="str">
        <f t="shared" si="84"/>
        <v>"pn":"0805W8F4703T5E",</v>
      </c>
      <c r="WH15" t="str">
        <f t="shared" si="84"/>
        <v>"pn":"0008500031",</v>
      </c>
      <c r="WI15" t="str">
        <f t="shared" si="84"/>
        <v>"pn":"08-50-0031",</v>
      </c>
      <c r="WJ15" t="str">
        <f t="shared" si="84"/>
        <v>"pn":"08-50-0032",</v>
      </c>
      <c r="WK15" t="str">
        <f t="shared" si="84"/>
        <v>"pn":"8500031",</v>
      </c>
      <c r="WL15" t="str">
        <f t="shared" si="84"/>
        <v>"pn":"SMAJ15CA",</v>
      </c>
      <c r="WM15" t="str">
        <f t="shared" si="84"/>
        <v>"pn":"SMAJ15CA",</v>
      </c>
      <c r="WN15" t="str">
        <f t="shared" si="84"/>
        <v>"pn":"RC1206JR-073R3L",</v>
      </c>
      <c r="WO15" t="str">
        <f t="shared" si="84"/>
        <v>"pn":"CL21B224KBFNNNE",</v>
      </c>
      <c r="WP15" t="str">
        <f t="shared" si="84"/>
        <v>"pn":"CL21B224KBFNNNF",</v>
      </c>
      <c r="WQ15" t="str">
        <f t="shared" si="84"/>
        <v>"pn":"0805B224K500CT",</v>
      </c>
      <c r="WR15" t="str">
        <f t="shared" si="84"/>
        <v>"pn":"RC0805FR-0747KL",</v>
      </c>
      <c r="WS15" t="str">
        <f t="shared" si="84"/>
        <v>"pn":"0805W8F4702T5E",</v>
      </c>
      <c r="WT15" t="str">
        <f t="shared" si="84"/>
        <v>"pn":"RC0603FR-0724KL",</v>
      </c>
      <c r="WU15" t="str">
        <f t="shared" si="84"/>
        <v>"pn":"RK73H1JTTD4750F",</v>
      </c>
      <c r="WV15" t="str">
        <f t="shared" si="84"/>
        <v>"pn":"0603WAF4750T5E",</v>
      </c>
      <c r="WW15" t="str">
        <f t="shared" si="84"/>
        <v>"pn":"CRCW0402160RFKED",</v>
      </c>
      <c r="WX15" t="str">
        <f t="shared" si="84"/>
        <v>"pn":"CQ02WGF1600TCE",</v>
      </c>
      <c r="WY15" t="str">
        <f t="shared" si="84"/>
        <v>"pn":"CRCW1206150KFKEA",</v>
      </c>
      <c r="WZ15" t="str">
        <f t="shared" si="84"/>
        <v>"pn":"RC1206FR-0722K1L",</v>
      </c>
      <c r="XA15" t="str">
        <f t="shared" si="84"/>
        <v>"pn":"CRCW1206470KFKEA",</v>
      </c>
      <c r="XB15" t="str">
        <f t="shared" si="84"/>
        <v>"pn":"LM2904DMR2G",</v>
      </c>
      <c r="XC15" t="str">
        <f t="shared" si="84"/>
        <v>"pn":"LM2904S",</v>
      </c>
      <c r="XD15" t="str">
        <f t="shared" si="84"/>
        <v>"pn":"LM2904ST",</v>
      </c>
      <c r="XE15" t="str">
        <f t="shared" si="84"/>
        <v>"pn":"CRCW040247K0FKED",</v>
      </c>
      <c r="XF15" t="str">
        <f t="shared" si="84"/>
        <v>"pn":"CRCW0402100KFKED",</v>
      </c>
      <c r="XG15" t="str">
        <f t="shared" si="84"/>
        <v>"pn":"0402WGF1003TCE",</v>
      </c>
      <c r="XH15" t="str">
        <f t="shared" si="84"/>
        <v>"pn":"RMCF0402FT100K",</v>
      </c>
      <c r="XI15" t="str">
        <f t="shared" si="84"/>
        <v>"pn":"F611AP224K400R",</v>
      </c>
      <c r="XJ15" t="str">
        <f t="shared" si="84"/>
        <v>"pn":"MKS4G032203G00KSSD",</v>
      </c>
      <c r="XK15" t="str">
        <f t="shared" si="84"/>
        <v>"pn":"RK73B2BTTD150J",</v>
      </c>
      <c r="XL15" t="str">
        <f t="shared" si="84"/>
        <v>"pn":"VCAN33A2-03S-E3-08",</v>
      </c>
      <c r="XM15" t="str">
        <f t="shared" si="84"/>
        <v>"pn":"DESD3512SO-7",</v>
      </c>
      <c r="XN15" t="str">
        <f t="shared" si="84"/>
        <v>"pn":"ESDCAN06-2BLY",</v>
      </c>
      <c r="XO15" t="str">
        <f t="shared" si="84"/>
        <v>"pn":"PESD2CANFD27L-TR",</v>
      </c>
      <c r="XP15" t="str">
        <f t="shared" si="84"/>
        <v>"pn":"08053D106KAT2A",</v>
      </c>
      <c r="XQ15" t="str">
        <f t="shared" si="84"/>
        <v>"pn":"LQH32CN4R7M23L",</v>
      </c>
      <c r="XR15" t="str">
        <f t="shared" si="84"/>
        <v>"pn":"NLCV32T-4R7M-EF",</v>
      </c>
      <c r="XS15" t="str">
        <f t="shared" si="84"/>
        <v>"pn":"NLCV32T-4R7M-PF",</v>
      </c>
      <c r="XT15" t="str">
        <f t="shared" si="84"/>
        <v>"pn":"RC0603FR-0747K5L",</v>
      </c>
      <c r="XU15" t="str">
        <f t="shared" si="84"/>
        <v>"pn":"CC0603JRNPO9BN471",</v>
      </c>
      <c r="XV15" t="str">
        <f t="shared" si="84"/>
        <v>"pn":"C0603C471J5GACTU",</v>
      </c>
      <c r="XW15" t="str">
        <f t="shared" si="84"/>
        <v>"pn":"VJ0603A471JXACW1BC",</v>
      </c>
      <c r="XX15" t="str">
        <f t="shared" si="84"/>
        <v>"pn":"RCG08053K30JNEA",</v>
      </c>
      <c r="XY15" t="str">
        <f t="shared" si="84"/>
        <v>"pn":"0805W8J0332T5E",</v>
      </c>
      <c r="XZ15" t="str">
        <f t="shared" si="84"/>
        <v>"pn":"RC0805FR-07470RL",</v>
      </c>
      <c r="YA15" t="str">
        <f t="shared" si="84"/>
        <v>"pn":"0805W8F4700T5E",</v>
      </c>
      <c r="YB15" t="str">
        <f t="shared" si="84"/>
        <v>"pn":"AC1206FR-07220KL",</v>
      </c>
      <c r="YC15" t="str">
        <f t="shared" si="84"/>
        <v>"pn":"1206W4F2203T5E",</v>
      </c>
      <c r="YD15" t="str">
        <f t="shared" ref="YD15:AAO15" si="85">_xlfn.CONCAT("""",$L$9,"""",":","""",YD9,"""",",")</f>
        <v>"pn":"ERJ-6ENF1000V",</v>
      </c>
      <c r="YE15" t="str">
        <f t="shared" si="85"/>
        <v>"pn":"RMCF0805FT100R",</v>
      </c>
      <c r="YF15" t="str">
        <f t="shared" si="85"/>
        <v>"pn":"RC1206FR-(**)33K2L",</v>
      </c>
      <c r="YG15" t="str">
        <f t="shared" si="85"/>
        <v>"pn":"RC1206FR-0733K2L",</v>
      </c>
      <c r="YH15" t="str">
        <f t="shared" si="85"/>
        <v>"pn":"WR12X3322FTL",</v>
      </c>
      <c r="YI15" t="str">
        <f t="shared" si="85"/>
        <v>"pn":"CC0402KRX7R8BB223",</v>
      </c>
      <c r="YJ15" t="str">
        <f t="shared" si="85"/>
        <v>"pn":"C0402C223K3RAC7867",</v>
      </c>
      <c r="YK15" t="str">
        <f t="shared" si="85"/>
        <v>"pn":"KGM05AR71E223KH",</v>
      </c>
      <c r="YL15" t="str">
        <f t="shared" si="85"/>
        <v>"pn":"CL05B223KA5NNNC",</v>
      </c>
      <c r="YM15" t="str">
        <f t="shared" si="85"/>
        <v>"pn":"C1005X7R1E223K050BB",</v>
      </c>
      <c r="YN15" t="str">
        <f t="shared" si="85"/>
        <v>"pn":"CC0402KRX7R9BB103",</v>
      </c>
      <c r="YO15" t="str">
        <f t="shared" si="85"/>
        <v>"pn":"C0402C103K5RACTU",</v>
      </c>
      <c r="YP15" t="str">
        <f t="shared" si="85"/>
        <v>"pn":"GRM155R71H103KA88D",</v>
      </c>
      <c r="YQ15" t="str">
        <f t="shared" si="85"/>
        <v>"pn":"CGA2B3X7R1H103K050BB",</v>
      </c>
      <c r="YR15" t="str">
        <f t="shared" si="85"/>
        <v>"pn":"0402B103K500CT",</v>
      </c>
      <c r="YS15" t="str">
        <f t="shared" si="85"/>
        <v>"pn":"WR06X471JTL",</v>
      </c>
      <c r="YT15" t="str">
        <f t="shared" si="85"/>
        <v>"pn":"CRCW0402316KFKED",</v>
      </c>
      <c r="YU15" t="str">
        <f t="shared" si="85"/>
        <v>"pn":"0402WGF3163TCE",</v>
      </c>
      <c r="YV15" t="str">
        <f t="shared" si="85"/>
        <v>"pn":"3566",</v>
      </c>
      <c r="YW15" t="str">
        <f t="shared" si="85"/>
        <v>"pn":"BAW56,215",</v>
      </c>
      <c r="YX15" t="str">
        <f t="shared" si="85"/>
        <v>"pn":"RC0603JR-0747KL",</v>
      </c>
      <c r="YY15" t="str">
        <f t="shared" si="85"/>
        <v>"pn":"RK73B1JTTD473J",</v>
      </c>
      <c r="YZ15" t="str">
        <f t="shared" si="85"/>
        <v>"pn":"0603WAJ0473T5E",</v>
      </c>
      <c r="ZA15" t="str">
        <f t="shared" si="85"/>
        <v>"pn":"BAS321,115",</v>
      </c>
      <c r="ZB15" t="str">
        <f t="shared" si="85"/>
        <v>"pn":"RK73H2AT(**)1823F",</v>
      </c>
      <c r="ZC15" t="str">
        <f t="shared" si="85"/>
        <v>"pn":"0805W8F1823T5E",</v>
      </c>
      <c r="ZD15" t="str">
        <f t="shared" si="85"/>
        <v>"pn":"WR08X1823FTL",</v>
      </c>
      <c r="ZE15" t="str">
        <f t="shared" si="85"/>
        <v>"pn":"292161-4",</v>
      </c>
      <c r="ZF15" t="str">
        <f t="shared" si="85"/>
        <v>"pn":"PCF8574TS/3,118",</v>
      </c>
      <c r="ZG15" t="str">
        <f t="shared" si="85"/>
        <v>"pn":"PCF8574TS/3,118",</v>
      </c>
      <c r="ZH15" t="str">
        <f t="shared" si="85"/>
        <v>"pn":"RC0603FR-07499RL",</v>
      </c>
      <c r="ZI15" t="str">
        <f t="shared" si="85"/>
        <v>"pn":"RC0603FR-10499RL",</v>
      </c>
      <c r="ZJ15" t="str">
        <f t="shared" si="85"/>
        <v>"pn":"EMK107BB7225KA-T",</v>
      </c>
      <c r="ZK15" t="str">
        <f t="shared" si="85"/>
        <v>"pn":"0603YC225KAT2A",</v>
      </c>
      <c r="ZL15" t="str">
        <f t="shared" si="85"/>
        <v>"pn":"L-7104QBC-D",</v>
      </c>
      <c r="ZM15" t="str">
        <f t="shared" si="85"/>
        <v>"pn":"RC0603JR-07100KL",</v>
      </c>
      <c r="ZN15" t="str">
        <f t="shared" si="85"/>
        <v>"pn":"CR0603-JW104ELF",</v>
      </c>
      <c r="ZO15" t="str">
        <f t="shared" si="85"/>
        <v>"pn":"CC0603KRX7R9BB331",</v>
      </c>
      <c r="ZP15" t="str">
        <f t="shared" si="85"/>
        <v>"pn":"CYBLE-222014-01",</v>
      </c>
      <c r="ZQ15" t="str">
        <f t="shared" si="85"/>
        <v>"pn":"0603WAF3920T5E",</v>
      </c>
      <c r="ZR15" t="str">
        <f t="shared" si="85"/>
        <v>"pn":"RMCF0603FT392R",</v>
      </c>
      <c r="ZS15" t="str">
        <f t="shared" si="85"/>
        <v>"pn":"CC0805KRX7R9BB104",</v>
      </c>
      <c r="ZT15" t="str">
        <f t="shared" si="85"/>
        <v>"pn":"CL21B104KBCNNNC",</v>
      </c>
      <c r="ZU15" t="str">
        <f t="shared" si="85"/>
        <v>"pn":"CLI-RM4/5/I",</v>
      </c>
      <c r="ZV15" t="str">
        <f t="shared" si="85"/>
        <v>"pn":"0805W8F3002T5E",</v>
      </c>
      <c r="ZW15" t="str">
        <f t="shared" si="85"/>
        <v>"pn":"RMCF0805FT30K0",</v>
      </c>
      <c r="ZX15" t="str">
        <f t="shared" si="85"/>
        <v>"pn":"RC1206FR-072K74L",</v>
      </c>
      <c r="ZY15" t="str">
        <f t="shared" si="85"/>
        <v>"pn":"B32021A3102",</v>
      </c>
      <c r="ZZ15" t="str">
        <f t="shared" si="85"/>
        <v>"pn":"B32021A3102M289",</v>
      </c>
      <c r="AAA15" t="str">
        <f t="shared" si="85"/>
        <v>"pn":"R413F11000000M",</v>
      </c>
      <c r="AAB15" t="str">
        <f t="shared" si="85"/>
        <v>"pn":"WSLF2512L5000FEA",</v>
      </c>
      <c r="AAC15" t="str">
        <f t="shared" si="85"/>
        <v>"pn":"PSR100KTQFF0L50",</v>
      </c>
      <c r="AAD15" t="str">
        <f t="shared" si="85"/>
        <v>"pn":"CSS2H-2512R-L500F",</v>
      </c>
      <c r="AAE15" t="str">
        <f t="shared" si="85"/>
        <v>"pn":"CC0603KPX7R7BB223",</v>
      </c>
      <c r="AAF15" t="str">
        <f t="shared" si="85"/>
        <v>"pn":"0402WGF1801TCE",</v>
      </c>
      <c r="AAG15" t="str">
        <f t="shared" si="85"/>
        <v>"pn":"ESR18EZPF1503",</v>
      </c>
      <c r="AAH15" t="str">
        <f t="shared" si="85"/>
        <v>"pn":"HP06W2F1503T5E",</v>
      </c>
      <c r="AAI15" t="str">
        <f t="shared" si="85"/>
        <v>"pn":"RC0805FR-0710KL",</v>
      </c>
      <c r="AAJ15" t="str">
        <f t="shared" si="85"/>
        <v>"pn":"0805W8F1002T5E",</v>
      </c>
      <c r="AAK15" t="str">
        <f t="shared" si="85"/>
        <v>"pn":"CC0603JRNPO9BN100",</v>
      </c>
      <c r="AAL15" t="str">
        <f t="shared" si="85"/>
        <v>"pn":"C0603C100J5GACTU",</v>
      </c>
      <c r="AAM15" t="str">
        <f t="shared" si="85"/>
        <v>"pn":"CL10C100JB8NCNC",</v>
      </c>
      <c r="AAN15" t="str">
        <f t="shared" si="85"/>
        <v>"pn":"500R14N100JV4T",</v>
      </c>
      <c r="AAO15" t="str">
        <f t="shared" si="85"/>
        <v>"pn":"CC0805JRNPO0BN470",</v>
      </c>
      <c r="AAP15" t="str">
        <f t="shared" ref="AAP15:ADA15" si="86">_xlfn.CONCAT("""",$L$9,"""",":","""",AAP9,"""",",")</f>
        <v>"pn":"C0805C470J1GAC",</v>
      </c>
      <c r="AAQ15" t="str">
        <f t="shared" si="86"/>
        <v>"pn":"C0805C470J1GACTU",</v>
      </c>
      <c r="AAR15" t="str">
        <f t="shared" si="86"/>
        <v>"pn":"CC0805KRX7R9BB221",</v>
      </c>
      <c r="AAS15" t="str">
        <f t="shared" si="86"/>
        <v>"pn":"BAV99W,115",</v>
      </c>
      <c r="AAT15" t="str">
        <f t="shared" si="86"/>
        <v>"pn":"RL2512JK-070R68L",</v>
      </c>
      <c r="AAU15" t="str">
        <f t="shared" si="86"/>
        <v>"pn":"RCWL2512R680JNEA",</v>
      </c>
      <c r="AAV15" t="str">
        <f t="shared" si="86"/>
        <v>"pn":"25121WJ068KT4E",</v>
      </c>
      <c r="AAW15" t="str">
        <f t="shared" si="86"/>
        <v>"pn":"BLM21BD222TN1D",</v>
      </c>
      <c r="AAX15" t="str">
        <f t="shared" si="86"/>
        <v>"pn":"RMCF0805FT1K00",</v>
      </c>
      <c r="AAY15" t="str">
        <f t="shared" si="86"/>
        <v>"pn":"CC0603JRNPO9BN101",</v>
      </c>
      <c r="AAZ15" t="str">
        <f t="shared" si="86"/>
        <v>"pn":"CC0603JRNPO9BN470",</v>
      </c>
      <c r="ABA15" t="str">
        <f t="shared" si="86"/>
        <v>"pn":"C0603C470J1GACTU",</v>
      </c>
      <c r="ABB15" t="str">
        <f t="shared" si="86"/>
        <v>"pn":"06031A470JAT2A",</v>
      </c>
      <c r="ABC15" t="str">
        <f t="shared" si="86"/>
        <v>"pn":"CC0603KRX5R6BB105",</v>
      </c>
      <c r="ABD15" t="str">
        <f t="shared" si="86"/>
        <v>"pn":"C0603C105K8PACTU",</v>
      </c>
      <c r="ABE15" t="str">
        <f t="shared" si="86"/>
        <v>"pn":"GRM188R61A105K",</v>
      </c>
      <c r="ABF15" t="str">
        <f t="shared" si="86"/>
        <v>"pn":"CRCW080552K3FKEA",</v>
      </c>
      <c r="ABG15" t="str">
        <f t="shared" si="86"/>
        <v>"pn":"RC0805FR-07221KL",</v>
      </c>
      <c r="ABH15" t="str">
        <f t="shared" si="86"/>
        <v>"pn":"RC0805FR-0712KL",</v>
      </c>
      <c r="ABI15" t="str">
        <f t="shared" si="86"/>
        <v>"pn":"WR08X1202FTL",</v>
      </c>
      <c r="ABJ15" t="str">
        <f t="shared" si="86"/>
        <v>"pn":"ERJ-3EKF3321V",</v>
      </c>
      <c r="ABK15" t="str">
        <f t="shared" si="86"/>
        <v>"pn":"RK73H1JTTD3321F",</v>
      </c>
      <c r="ABL15" t="str">
        <f t="shared" si="86"/>
        <v>"pn":"0603WAF3321T5E",</v>
      </c>
      <c r="ABM15" t="str">
        <f t="shared" si="86"/>
        <v>"pn":"C0805C103K2RACTU",</v>
      </c>
      <c r="ABN15" t="str">
        <f t="shared" si="86"/>
        <v>"pn":"08052C103KAT2A",</v>
      </c>
      <c r="ABO15" t="str">
        <f t="shared" si="86"/>
        <v>"pn":"CC0603KRX7R9BB472",</v>
      </c>
      <c r="ABP15" t="str">
        <f t="shared" si="86"/>
        <v>"pn":"BAT54S,215",</v>
      </c>
      <c r="ABQ15" t="str">
        <f t="shared" si="86"/>
        <v>"pn":"RC0603FR-07470KL",</v>
      </c>
      <c r="ABR15" t="str">
        <f t="shared" si="86"/>
        <v>"pn":"CR0603FX4703ELF",</v>
      </c>
      <c r="ABS15" t="str">
        <f t="shared" si="86"/>
        <v>"pn":"WSL120600000ZEA9",</v>
      </c>
      <c r="ABT15" t="str">
        <f t="shared" si="86"/>
        <v>"pn":"1206W4J0000T5E",</v>
      </c>
      <c r="ABU15" t="str">
        <f t="shared" si="86"/>
        <v>"pn":"HP122WJ0000T4E",</v>
      </c>
      <c r="ABV15" t="str">
        <f t="shared" si="86"/>
        <v>"pn":"HCJ2512ZT0R00",</v>
      </c>
      <c r="ABW15" t="str">
        <f t="shared" si="86"/>
        <v>"pn":"RK73B2BTTD100J",</v>
      </c>
      <c r="ABX15" t="str">
        <f t="shared" si="86"/>
        <v>"pn":"1206W4F100JT5E",</v>
      </c>
      <c r="ABY15" t="str">
        <f t="shared" si="86"/>
        <v>"pn":"CRCW080547R0FKEA",</v>
      </c>
      <c r="ABZ15" t="str">
        <f t="shared" si="86"/>
        <v>"pn":"0805W8F470JT5E",</v>
      </c>
      <c r="ACA15" t="str">
        <f t="shared" si="86"/>
        <v>"pn":"0805W8F1802T5E",</v>
      </c>
      <c r="ACB15" t="str">
        <f t="shared" si="86"/>
        <v>"pn":"CR0805-FX-1802ELF",</v>
      </c>
      <c r="ACC15" t="str">
        <f t="shared" si="86"/>
        <v>"pn":"RC0603FR-0720KL",</v>
      </c>
      <c r="ACD15" t="str">
        <f t="shared" si="86"/>
        <v>"pn":"CR0603FX202ELF",</v>
      </c>
      <c r="ACE15" t="str">
        <f t="shared" si="86"/>
        <v>"pn":"C0805C121J5GACTU",</v>
      </c>
      <c r="ACF15" t="str">
        <f t="shared" si="86"/>
        <v>"pn":"C0805C121J5GAC7800",</v>
      </c>
      <c r="ACG15" t="str">
        <f t="shared" si="86"/>
        <v>"pn":"RK73B2ATTD471J",</v>
      </c>
      <c r="ACH15" t="str">
        <f t="shared" si="86"/>
        <v>"pn":"C43Q1472K30C000",</v>
      </c>
      <c r="ACI15" t="str">
        <f t="shared" si="86"/>
        <v>"pn":"RC0805FR-078K2L",</v>
      </c>
      <c r="ACJ15" t="str">
        <f t="shared" si="86"/>
        <v>"pn":"0805W8F8201T5E",</v>
      </c>
      <c r="ACK15" t="str">
        <f t="shared" si="86"/>
        <v>"pn":"RC0603FR-07220RL",</v>
      </c>
      <c r="ACL15" t="str">
        <f t="shared" si="86"/>
        <v>"pn":"C0603C106M9PACTU",</v>
      </c>
      <c r="ACM15" t="str">
        <f t="shared" si="86"/>
        <v>"pn":"CL10A106MQ8NNNC",</v>
      </c>
      <c r="ACN15" t="str">
        <f t="shared" si="86"/>
        <v>"pn":"MPZ2012S331AT000",</v>
      </c>
      <c r="ACO15" t="str">
        <f t="shared" si="86"/>
        <v>"pn":"80LET",</v>
      </c>
      <c r="ACP15" t="str">
        <f t="shared" si="86"/>
        <v>"pn":"WR12X221JTL",</v>
      </c>
      <c r="ACQ15" t="str">
        <f t="shared" si="86"/>
        <v>"pn":"SR2512JK-7W1KL",</v>
      </c>
      <c r="ACR15" t="str">
        <f t="shared" si="86"/>
        <v>"pn":"AS122WJ0102T4E",</v>
      </c>
      <c r="ACS15" t="str">
        <f t="shared" si="86"/>
        <v>"pn":"HP122WJ0102T4E",</v>
      </c>
      <c r="ACT15" t="str">
        <f t="shared" si="86"/>
        <v>"pn":"RC1206FR-(**)82K5L",</v>
      </c>
      <c r="ACU15" t="str">
        <f t="shared" si="86"/>
        <v>"pn":"RC1206FR-0782K5L",</v>
      </c>
      <c r="ACV15" t="str">
        <f t="shared" si="86"/>
        <v>"pn":"WR12X8252FTL",</v>
      </c>
      <c r="ACW15" t="str">
        <f t="shared" si="86"/>
        <v>"pn":"CRCW120660R4FKEA",</v>
      </c>
      <c r="ACX15" t="str">
        <f t="shared" si="86"/>
        <v>"pn":"0603WAF2202T5E",</v>
      </c>
      <c r="ACY15" t="str">
        <f t="shared" si="86"/>
        <v>"pn":"ERA-3ARB3012V",</v>
      </c>
      <c r="ACZ15" t="str">
        <f t="shared" si="86"/>
        <v>"pn":"B32022B3473M",</v>
      </c>
      <c r="ADA15" t="str">
        <f t="shared" si="86"/>
        <v>"pn":"B32022B3473M  4N 1",</v>
      </c>
      <c r="ADB15" t="str">
        <f t="shared" ref="ADB15:AFM15" si="87">_xlfn.CONCAT("""",$L$9,"""",":","""",ADB9,"""",",")</f>
        <v>"pn":"B32022B3473M000",</v>
      </c>
      <c r="ADC15" t="str">
        <f t="shared" si="87"/>
        <v>"pn":"B32022B3473M189",</v>
      </c>
      <c r="ADD15" t="str">
        <f t="shared" si="87"/>
        <v>"pn":"SI2301CDS-T1-E3",</v>
      </c>
      <c r="ADE15" t="str">
        <f t="shared" si="87"/>
        <v>"pn":"SI2301CDS-T1-GE3",</v>
      </c>
      <c r="ADF15" t="str">
        <f t="shared" si="87"/>
        <v>"pn":"MKDSP 10N/ 2-10,16",</v>
      </c>
      <c r="ADG15" t="str">
        <f t="shared" si="87"/>
        <v>"pn":"MKDSP10N/2-10,16GY",</v>
      </c>
      <c r="ADH15" t="str">
        <f t="shared" si="87"/>
        <v>"pn":"ERJ-6ENF1501V",</v>
      </c>
      <c r="ADI15" t="str">
        <f t="shared" si="87"/>
        <v>"pn":"0805W8F1501T5E",</v>
      </c>
      <c r="ADJ15" t="str">
        <f t="shared" si="87"/>
        <v>"pn":"RMCF0805FT1K50",</v>
      </c>
      <c r="ADK15" t="str">
        <f t="shared" si="87"/>
        <v>"pn":"YC164-JR-071K5L",</v>
      </c>
      <c r="ADL15" t="str">
        <f t="shared" si="87"/>
        <v>"pn":"CRA06S0831K50FTA",</v>
      </c>
      <c r="ADM15" t="str">
        <f t="shared" si="87"/>
        <v>"pn":"BCN164A152J7",</v>
      </c>
      <c r="ADN15" t="str">
        <f t="shared" si="87"/>
        <v>"pn":"CAY16-152J4LF",</v>
      </c>
      <c r="ADO15" t="str">
        <f t="shared" si="87"/>
        <v>"pn":"CRCW0805180RFKEA",</v>
      </c>
      <c r="ADP15" t="str">
        <f t="shared" si="87"/>
        <v>"pn":"CRCW25121M00FKEG",</v>
      </c>
      <c r="ADQ15" t="str">
        <f t="shared" si="87"/>
        <v>"pn":"CRCW25121M00JNEG",</v>
      </c>
      <c r="ADR15" t="str">
        <f t="shared" si="87"/>
        <v>"pn":"25121WJ0105T4E",</v>
      </c>
      <c r="ADS15" t="str">
        <f t="shared" si="87"/>
        <v>"pn":"WK25V105JTL",</v>
      </c>
      <c r="ADT15" t="str">
        <f t="shared" si="87"/>
        <v>"pn":"CHV2512-JW-105ELF",</v>
      </c>
      <c r="ADU15" t="str">
        <f t="shared" si="87"/>
        <v>"pn":"CRGH2512J220K",</v>
      </c>
      <c r="ADV15" t="str">
        <f t="shared" si="87"/>
        <v>"pn":"HP122WJ0224T4E",</v>
      </c>
      <c r="ADW15" t="str">
        <f t="shared" si="87"/>
        <v>"pn":"RC0805FR-078K2L",</v>
      </c>
      <c r="ADX15" t="str">
        <f t="shared" si="87"/>
        <v>"pn":"CRCW08058K20FKEA",</v>
      </c>
      <c r="ADY15" t="str">
        <f t="shared" si="87"/>
        <v>"pn":"0805W8F8201T5E",</v>
      </c>
      <c r="ADZ15" t="str">
        <f t="shared" si="87"/>
        <v>"pn":"ERJU1TF1001U",</v>
      </c>
      <c r="AEA15" t="str">
        <f t="shared" si="87"/>
        <v>"pn":"25121WF1001T4E",</v>
      </c>
      <c r="AEB15" t="str">
        <f t="shared" si="87"/>
        <v>"pn":"744 773 133",</v>
      </c>
      <c r="AEC15" t="str">
        <f t="shared" si="87"/>
        <v>"pn":"MC9S08DZ32ACLF",</v>
      </c>
      <c r="AED15" t="str">
        <f t="shared" si="87"/>
        <v>"pn":"S9S08DZ32F2CLFR",</v>
      </c>
      <c r="AEE15" t="str">
        <f t="shared" si="87"/>
        <v>"pn":"S9S08DZ60F2MLFR",</v>
      </c>
      <c r="AEF15" t="str">
        <f t="shared" si="87"/>
        <v>"pn":"FUO50-16N",</v>
      </c>
      <c r="AEG15" t="str">
        <f t="shared" si="87"/>
        <v>"pn":"RC1206FR-073K32L",</v>
      </c>
      <c r="AEH15" t="str">
        <f t="shared" si="87"/>
        <v>"pn":"PZT2907AT1G",</v>
      </c>
      <c r="AEI15" t="str">
        <f t="shared" si="87"/>
        <v>"pn":"8500113",</v>
      </c>
      <c r="AEJ15" t="str">
        <f t="shared" si="87"/>
        <v>"pn":"BAT54WS-7-F",</v>
      </c>
      <c r="AEK15" t="str">
        <f t="shared" si="87"/>
        <v>"pn":"1PS76SB10",</v>
      </c>
      <c r="AEL15" t="str">
        <f t="shared" si="87"/>
        <v>"pn":"RC0805FR-072K2L",</v>
      </c>
      <c r="AEM15" t="str">
        <f t="shared" si="87"/>
        <v>"pn":"0805W8F2201T5E",</v>
      </c>
      <c r="AEN15" t="str">
        <f t="shared" si="87"/>
        <v>"pn":"WR08X6810FTL",</v>
      </c>
      <c r="AEO15" t="str">
        <f t="shared" si="87"/>
        <v>"pn":"CC0603JRNPO9BN101",</v>
      </c>
      <c r="AEP15" t="str">
        <f t="shared" si="87"/>
        <v>"pn":"RC0603FR-(**) 2K21 L",</v>
      </c>
      <c r="AEQ15" t="str">
        <f t="shared" si="87"/>
        <v>"pn":"RK73H1JT(**) 2211 F",</v>
      </c>
      <c r="AER15" t="str">
        <f t="shared" si="87"/>
        <v>"pn":"RK73H1JTTD2211F",</v>
      </c>
      <c r="AES15" t="str">
        <f t="shared" si="87"/>
        <v>"pn":"WR06X2211F(*)L",</v>
      </c>
      <c r="AET15" t="str">
        <f t="shared" si="87"/>
        <v>"pn":"B32652A6224J189",</v>
      </c>
      <c r="AEU15" t="str">
        <f t="shared" si="87"/>
        <v>"pn":"F426BV224J630C",</v>
      </c>
      <c r="AEV15" t="str">
        <f t="shared" si="87"/>
        <v>"pn":"CC0402JRNPO9BN150",</v>
      </c>
      <c r="AEW15" t="str">
        <f t="shared" si="87"/>
        <v>"pn":"C0402C150J5GAC7867",</v>
      </c>
      <c r="AEX15" t="str">
        <f t="shared" si="87"/>
        <v>"pn":"KGM05ACG1H150JH",</v>
      </c>
      <c r="AEY15" t="str">
        <f t="shared" si="87"/>
        <v>"pn":"CL05C150JB5NNNC",</v>
      </c>
      <c r="AEZ15" t="str">
        <f t="shared" si="87"/>
        <v>"pn":"C1005C0G1H150J050BA",</v>
      </c>
      <c r="AFA15" t="str">
        <f t="shared" si="87"/>
        <v>"pn":"RC0603FR-(**)90K9L",</v>
      </c>
      <c r="AFB15" t="str">
        <f t="shared" si="87"/>
        <v>"pn":"RC0603FR-0790K9L",</v>
      </c>
      <c r="AFC15" t="str">
        <f t="shared" si="87"/>
        <v>"pn":"RK73H1JT(**)9092F",</v>
      </c>
      <c r="AFD15" t="str">
        <f t="shared" si="87"/>
        <v>"pn":"WR06X9092F(*)L",</v>
      </c>
      <c r="AFE15" t="str">
        <f t="shared" si="87"/>
        <v>"pn":"WR06X9092FTL",</v>
      </c>
      <c r="AFF15" t="str">
        <f t="shared" si="87"/>
        <v>"pn":"ABM3B-20.000MHZ-B2T",</v>
      </c>
      <c r="AFG15" t="str">
        <f t="shared" si="87"/>
        <v>"pn":"ABM3B-20MHZ-B2T",</v>
      </c>
      <c r="AFH15" t="str">
        <f t="shared" si="87"/>
        <v>"pn":"C5S-20.000-12-3030-X",</v>
      </c>
      <c r="AFI15" t="str">
        <f t="shared" si="87"/>
        <v>"pn":"ECS-200-18-30B-AGN-TR",</v>
      </c>
      <c r="AFJ15" t="str">
        <f t="shared" si="87"/>
        <v>"pn":"7B-20.000MAAJ-T",</v>
      </c>
      <c r="AFK15" t="str">
        <f t="shared" si="87"/>
        <v>"pn":"20.000MHZ MJ/30/30/40/12P",</v>
      </c>
      <c r="AFL15" t="str">
        <f t="shared" si="87"/>
        <v>"pn":"RC1206FR-077K5L",</v>
      </c>
      <c r="AFM15" t="str">
        <f t="shared" si="87"/>
        <v>"pn":"CL21C220JBANNNC",</v>
      </c>
      <c r="AFN15" t="str">
        <f t="shared" ref="AFN15:AHY15" si="88">_xlfn.CONCAT("""",$L$9,"""",":","""",AFN9,"""",",")</f>
        <v>"pn":"BH1726NUC-E2",</v>
      </c>
      <c r="AFO15" t="str">
        <f t="shared" si="88"/>
        <v>"pn":"WSLF25122L000FEA",</v>
      </c>
      <c r="AFP15" t="str">
        <f t="shared" si="88"/>
        <v>"pn":"PSR100KTQFJ2L00",</v>
      </c>
      <c r="AFQ15" t="str">
        <f t="shared" si="88"/>
        <v>"pn":"B3U-1000P-B",</v>
      </c>
      <c r="AFR15" t="str">
        <f t="shared" si="88"/>
        <v>"pn":"MCU08050Z0000ZP500",</v>
      </c>
      <c r="AFS15" t="str">
        <f t="shared" si="88"/>
        <v>"pn":"HP05W3J0000T5E",</v>
      </c>
      <c r="AFT15" t="str">
        <f t="shared" si="88"/>
        <v>"pn":"MMBTA42",</v>
      </c>
      <c r="AFU15" t="str">
        <f t="shared" si="88"/>
        <v>"pn":"MMBTA42",</v>
      </c>
      <c r="AFV15" t="str">
        <f t="shared" si="88"/>
        <v>"pn":"MMBTA42LT1G",</v>
      </c>
      <c r="AFW15" t="str">
        <f t="shared" si="88"/>
        <v>"pn":"MMBTA42LT3G",</v>
      </c>
      <c r="AFX15" t="str">
        <f t="shared" si="88"/>
        <v>"pn":"SMMBTA42LT1G",</v>
      </c>
      <c r="AFY15" t="str">
        <f t="shared" si="88"/>
        <v>"pn":"SMMBTA42LT3G",</v>
      </c>
      <c r="AFZ15" t="str">
        <f t="shared" si="88"/>
        <v>"pn":"MMBTA42,215",</v>
      </c>
      <c r="AGA15" t="str">
        <f t="shared" si="88"/>
        <v>"pn":"RC1206FR-071K82L",</v>
      </c>
      <c r="AGB15" t="str">
        <f t="shared" si="88"/>
        <v>"pn":"RK73H2BTTD1821F",</v>
      </c>
      <c r="AGC15" t="str">
        <f t="shared" si="88"/>
        <v>"pn":"1206W4F1821T5E",</v>
      </c>
      <c r="AGD15" t="str">
        <f t="shared" si="88"/>
        <v>"pn":"1245",</v>
      </c>
      <c r="AGE15" t="str">
        <f t="shared" si="88"/>
        <v>"pn":"02-06-2101",</v>
      </c>
      <c r="AGF15" t="str">
        <f t="shared" si="88"/>
        <v>"pn":"RC0603FR-(**) 221R L",</v>
      </c>
      <c r="AGG15" t="str">
        <f t="shared" si="88"/>
        <v>"pn":"RC0603FR-07221RL",</v>
      </c>
      <c r="AGH15" t="str">
        <f t="shared" si="88"/>
        <v>"pn":"RK73H1JT(**) 2210 F",</v>
      </c>
      <c r="AGI15" t="str">
        <f t="shared" si="88"/>
        <v>"pn":"WR06X2210F(*)L",</v>
      </c>
      <c r="AGJ15" t="str">
        <f t="shared" si="88"/>
        <v>"pn":"1206W4J0221T5E",</v>
      </c>
      <c r="AGK15" t="str">
        <f t="shared" si="88"/>
        <v>"pn":"WR12X221JTL",</v>
      </c>
      <c r="AGL15" t="str">
        <f t="shared" si="88"/>
        <v>"pn":"STN1HNK60",</v>
      </c>
      <c r="AGM15" t="str">
        <f t="shared" si="88"/>
        <v>"pn":"VIPER26HDTR",</v>
      </c>
      <c r="AGN15" t="str">
        <f t="shared" si="88"/>
        <v>"pn":"UHW1K471MHD",</v>
      </c>
      <c r="AGO15" t="str">
        <f t="shared" si="88"/>
        <v>"pn":"UHW1K471MHD12,5X31,5",</v>
      </c>
      <c r="AGP15" t="str">
        <f t="shared" si="88"/>
        <v>"pn":"EKZN800ELL471MK30S",</v>
      </c>
      <c r="AGQ15" t="str">
        <f t="shared" si="88"/>
        <v>"pn":"LQ 1K 477 M 12030 BB",</v>
      </c>
      <c r="AGR15" t="str">
        <f t="shared" si="88"/>
        <v>"pn":"EKZN800ELL471MK30S",</v>
      </c>
      <c r="AGS15" t="str">
        <f t="shared" si="88"/>
        <v>"pn":"EKZN800ELL471MK301",</v>
      </c>
      <c r="AGT15" t="str">
        <f t="shared" si="88"/>
        <v>"pn":"02-06-1101",</v>
      </c>
      <c r="AGU15" t="str">
        <f t="shared" si="88"/>
        <v>"pn":"CC1206JRNPO0BN102",</v>
      </c>
      <c r="AGV15" t="str">
        <f t="shared" si="88"/>
        <v>"pn":"C1206C102J1GAC",</v>
      </c>
      <c r="AGW15" t="str">
        <f t="shared" si="88"/>
        <v>"pn":"744227",</v>
      </c>
      <c r="AGX15" t="str">
        <f t="shared" si="88"/>
        <v>"pn":"ZJYS81R5-2P50 -G01",</v>
      </c>
      <c r="AGY15" t="str">
        <f t="shared" si="88"/>
        <v>"pn":"DR331-513BE",</v>
      </c>
      <c r="AGZ15" t="str">
        <f t="shared" si="88"/>
        <v>"pn":"1N4007-TP",</v>
      </c>
      <c r="AHA15" t="str">
        <f t="shared" si="88"/>
        <v>"pn":"VS-8ETU04HN3",</v>
      </c>
      <c r="AHB15" t="str">
        <f t="shared" si="88"/>
        <v>"pn":"8ETU04HN3",</v>
      </c>
      <c r="AHC15" t="str">
        <f t="shared" si="88"/>
        <v>"pn":"MUR840G",</v>
      </c>
      <c r="AHD15" t="str">
        <f t="shared" si="88"/>
        <v>"pn":"M24512-WDW6TP",</v>
      </c>
      <c r="AHE15" t="str">
        <f t="shared" si="88"/>
        <v>"pn":"24LC512-I/ST",</v>
      </c>
      <c r="AHF15" t="str">
        <f t="shared" si="88"/>
        <v>"pn":"598-8710-307F",</v>
      </c>
      <c r="AHG15" t="str">
        <f t="shared" si="88"/>
        <v>"pn":"ZXTP25040DFH",</v>
      </c>
      <c r="AHH15" t="str">
        <f t="shared" si="88"/>
        <v>"pn":"ZXTP25040DFHTA",</v>
      </c>
      <c r="AHI15" t="str">
        <f t="shared" si="88"/>
        <v>"pn":"US1J-E3",</v>
      </c>
      <c r="AHJ15" t="str">
        <f t="shared" si="88"/>
        <v>"pn":"US1J-13-F",</v>
      </c>
      <c r="AHK15" t="str">
        <f t="shared" si="88"/>
        <v>"pn":"H3163-01",</v>
      </c>
      <c r="AHL15" t="str">
        <f t="shared" si="88"/>
        <v>"pn":"CC0603JRNPO9BN470",</v>
      </c>
      <c r="AHM15" t="str">
        <f t="shared" si="88"/>
        <v>"pn":"B37930-K5470J060",</v>
      </c>
      <c r="AHN15" t="str">
        <f t="shared" si="88"/>
        <v>"pn":"C0603C470J5GAC7867",</v>
      </c>
      <c r="AHO15" t="str">
        <f t="shared" si="88"/>
        <v>"pn":"VJ0603A470JXACW1BC",</v>
      </c>
      <c r="AHP15" t="str">
        <f t="shared" si="88"/>
        <v>"pn":"GRM1885C1H470JA01D",</v>
      </c>
      <c r="AHQ15" t="str">
        <f t="shared" si="88"/>
        <v>"pn":"C1608COG1H470J080AA",</v>
      </c>
      <c r="AHR15" t="str">
        <f t="shared" si="88"/>
        <v>"pn":"CC0805JRNPO9BN100",</v>
      </c>
      <c r="AHS15" t="str">
        <f t="shared" si="88"/>
        <v>"pn":"C0805C100J5GACTU",</v>
      </c>
      <c r="AHT15" t="str">
        <f t="shared" si="88"/>
        <v>"pn":"CL21C100CBANNNC",</v>
      </c>
      <c r="AHU15" t="str">
        <f t="shared" si="88"/>
        <v>"pn":"CL21C100JBANNNC",</v>
      </c>
      <c r="AHV15" t="str">
        <f t="shared" si="88"/>
        <v>"pn":"0805N100J500CT",</v>
      </c>
      <c r="AHW15" t="str">
        <f t="shared" si="88"/>
        <v>"pn":"C0603C102J5GACTU",</v>
      </c>
      <c r="AHX15" t="str">
        <f t="shared" si="88"/>
        <v>"pn":"C0603X102J5GACTU",</v>
      </c>
      <c r="AHY15" t="str">
        <f t="shared" si="88"/>
        <v>"pn":"VJ0603A102JXACW1BC",</v>
      </c>
      <c r="AHZ15" t="str">
        <f t="shared" ref="AHZ15:AKK15" si="89">_xlfn.CONCAT("""",$L$9,"""",":","""",AHZ9,"""",",")</f>
        <v>"pn":"GRM1885C1H102JA01D",</v>
      </c>
      <c r="AIA15" t="str">
        <f t="shared" si="89"/>
        <v>"pn":"SIA459EDJ-T1-GE3",</v>
      </c>
      <c r="AIB15" t="str">
        <f t="shared" si="89"/>
        <v>"pn":"C0805C680FBGACTU",</v>
      </c>
      <c r="AIC15" t="str">
        <f t="shared" si="89"/>
        <v>"pn":"GRM21A5C2J680FWA1D",</v>
      </c>
      <c r="AID15" t="str">
        <f t="shared" si="89"/>
        <v>"pn":"AT25DF041B-SSHN",</v>
      </c>
      <c r="AIE15" t="str">
        <f t="shared" si="89"/>
        <v>"pn":"AT25DF041B-SSHN-T",</v>
      </c>
      <c r="AIF15" t="str">
        <f t="shared" si="89"/>
        <v>"pn":"RC1206FR-0720KL",</v>
      </c>
      <c r="AIG15" t="str">
        <f t="shared" si="89"/>
        <v>"pn":"RC1206FR-0743K2L",</v>
      </c>
      <c r="AIH15" t="str">
        <f t="shared" si="89"/>
        <v>"pn":"2N7002,215",</v>
      </c>
      <c r="AII15" t="str">
        <f t="shared" si="89"/>
        <v>"pn":"2N7002BK,215",</v>
      </c>
      <c r="AIJ15" t="str">
        <f t="shared" si="89"/>
        <v>"pn":"MSM040FRM-T/R",</v>
      </c>
      <c r="AIK15" t="str">
        <f t="shared" si="89"/>
        <v>"pn":"151 051 YS0 400 0",</v>
      </c>
      <c r="AIL15" t="str">
        <f t="shared" si="89"/>
        <v>"pn":"RC1206FR-0760R4L",</v>
      </c>
      <c r="AIM15" t="str">
        <f t="shared" si="89"/>
        <v>"pn":"WR12X60R4FTL",</v>
      </c>
      <c r="AIN15" t="str">
        <f t="shared" si="89"/>
        <v>"pn":"RC0603FR-074K75L",</v>
      </c>
      <c r="AIO15" t="str">
        <f t="shared" si="89"/>
        <v>"pn":"LM1117DT-5.0/NOPB",</v>
      </c>
      <c r="AIP15" t="str">
        <f t="shared" si="89"/>
        <v>"pn":"LM1117DTX-5.0/NOPB",</v>
      </c>
      <c r="AIQ15" t="str">
        <f t="shared" si="89"/>
        <v>"pn":"LM1117DT50",</v>
      </c>
      <c r="AIR15" t="str">
        <f t="shared" si="89"/>
        <v>"pn":"CC0805JRNPO9BN560",</v>
      </c>
      <c r="AIS15" t="str">
        <f t="shared" si="89"/>
        <v>"pn":"CL21C560JBANNNC",</v>
      </c>
      <c r="AIT15" t="str">
        <f t="shared" si="89"/>
        <v>"pn":"MF0W4FF4701A50",</v>
      </c>
      <c r="AIU15" t="str">
        <f t="shared" si="89"/>
        <v>"pn":"SSB44-E3/52T",</v>
      </c>
      <c r="AIV15" t="str">
        <f t="shared" si="89"/>
        <v>"pn":"SSB44-HE3",</v>
      </c>
      <c r="AIW15" t="str">
        <f t="shared" si="89"/>
        <v>"pn":"C0603C331J5GACTU",</v>
      </c>
      <c r="AIX15" t="str">
        <f t="shared" si="89"/>
        <v>"pn":"CRCW040210K0JNED",</v>
      </c>
      <c r="AIY15" t="str">
        <f t="shared" si="89"/>
        <v>"pn":"RMCF0805FT475R",</v>
      </c>
      <c r="AIZ15" t="str">
        <f t="shared" si="89"/>
        <v>"pn":"CRCW040220K0FKED",</v>
      </c>
      <c r="AJA15" t="str">
        <f t="shared" si="89"/>
        <v>"pn":"P6SMB200A",</v>
      </c>
      <c r="AJB15" t="str">
        <f t="shared" si="89"/>
        <v>"pn":"SM6T200A-E3",</v>
      </c>
      <c r="AJC15" t="str">
        <f t="shared" si="89"/>
        <v>"pn":"SM6T200A",</v>
      </c>
      <c r="AJD15" t="str">
        <f t="shared" si="89"/>
        <v>"pn":"P6SMB200A TRTB",</v>
      </c>
      <c r="AJE15" t="str">
        <f t="shared" si="89"/>
        <v>"pn":"RC0603FR-075K62L",</v>
      </c>
      <c r="AJF15" t="str">
        <f t="shared" si="89"/>
        <v>"pn":"RT0402FRE07100KL",</v>
      </c>
      <c r="AJG15" t="str">
        <f t="shared" si="89"/>
        <v>"pn":"C0805C104K1RACTU",</v>
      </c>
      <c r="AJH15" t="str">
        <f t="shared" si="89"/>
        <v>"pn":"08051C104KAT2A",</v>
      </c>
      <c r="AJI15" t="str">
        <f t="shared" si="89"/>
        <v>"pn":"UCC25600DR",</v>
      </c>
      <c r="AJJ15" t="str">
        <f t="shared" si="89"/>
        <v>"pn":"UCC25600DR",</v>
      </c>
      <c r="AJK15" t="str">
        <f t="shared" si="89"/>
        <v>"pn":"LM258DT",</v>
      </c>
      <c r="AJL15" t="str">
        <f t="shared" si="89"/>
        <v>"pn":"RC1206FR-079K53L",</v>
      </c>
      <c r="AJM15" t="str">
        <f t="shared" si="89"/>
        <v>"pn":"RC0603JR-071ML",</v>
      </c>
      <c r="AJN15" t="str">
        <f t="shared" si="89"/>
        <v>"pn":"RC0603FR-0710K7L",</v>
      </c>
      <c r="AJO15" t="str">
        <f t="shared" si="89"/>
        <v>"pn":"CR0603FX1072ELF",</v>
      </c>
      <c r="AJP15" t="str">
        <f t="shared" si="89"/>
        <v>"pn":"YC-B-112",</v>
      </c>
      <c r="AJQ15" t="str">
        <f t="shared" si="89"/>
        <v>"pn":"CRCW040222R0FKED",</v>
      </c>
      <c r="AJR15" t="str">
        <f t="shared" si="89"/>
        <v>"pn":"CRCW080527K0FKEA",</v>
      </c>
      <c r="AJS15" t="str">
        <f t="shared" si="89"/>
        <v>"pn":"0805W8F2702T5E",</v>
      </c>
      <c r="AJT15" t="str">
        <f t="shared" si="89"/>
        <v>"pn":"C0805C102K5RACTU",</v>
      </c>
      <c r="AJU15" t="str">
        <f t="shared" si="89"/>
        <v>"pn":"CC0603KRX7R7BB105",</v>
      </c>
      <c r="AJV15" t="str">
        <f t="shared" si="89"/>
        <v>"pn":"C1608X7R1C105KT000N",</v>
      </c>
      <c r="AJW15" t="str">
        <f t="shared" si="89"/>
        <v>"pn":"C1608X7R1C105K080AC",</v>
      </c>
      <c r="AJX15" t="str">
        <f t="shared" si="89"/>
        <v>"pn":"CRCW1206220RFKEA",</v>
      </c>
      <c r="AJY15" t="str">
        <f t="shared" si="89"/>
        <v>"pn":"CQ06W4F2200T5E",</v>
      </c>
      <c r="AJZ15" t="str">
        <f t="shared" si="89"/>
        <v>"pn":"350778-1",</v>
      </c>
      <c r="AKA15" t="str">
        <f t="shared" si="89"/>
        <v>"pn":"SN7002NHXXXX",</v>
      </c>
      <c r="AKB15" t="str">
        <f t="shared" si="89"/>
        <v>"pn":"2N7002,215",</v>
      </c>
      <c r="AKC15" t="str">
        <f t="shared" si="89"/>
        <v>"pn":"2N7002K_R1_00001",</v>
      </c>
      <c r="AKD15" t="str">
        <f t="shared" si="89"/>
        <v>"pn":"2N7002K_R1_10001",</v>
      </c>
      <c r="AKE15" t="str">
        <f t="shared" si="89"/>
        <v>"pn":"TMOV14RP175E",</v>
      </c>
      <c r="AKF15" t="str">
        <f t="shared" si="89"/>
        <v>"pn":"TVT14271KAKGB510",</v>
      </c>
      <c r="AKG15" t="str">
        <f t="shared" si="89"/>
        <v>"pn":"C1206F475K4RACTU",</v>
      </c>
      <c r="AKH15" t="str">
        <f t="shared" si="89"/>
        <v>"pn":"GCM31CR71C475KA37",</v>
      </c>
      <c r="AKI15" t="str">
        <f t="shared" si="89"/>
        <v>"pn":"GCM31CR71C475KA37L",</v>
      </c>
      <c r="AKJ15" t="str">
        <f t="shared" si="89"/>
        <v>"pn":"1206B475K160LT",</v>
      </c>
      <c r="AKK15" t="str">
        <f t="shared" si="89"/>
        <v>"pn":"1206B475K160CT",</v>
      </c>
      <c r="AKL15" t="str">
        <f t="shared" ref="AKL15:AMW15" si="90">_xlfn.CONCAT("""",$L$9,"""",":","""",AKL9,"""",",")</f>
        <v>"pn":"R413I2100CK00K",</v>
      </c>
      <c r="AKM15" t="str">
        <f t="shared" si="90"/>
        <v>"pn":"R413I2100DQ00K",</v>
      </c>
      <c r="AKN15" t="str">
        <f t="shared" si="90"/>
        <v>"pn":"BFC233661103",</v>
      </c>
      <c r="AKO15" t="str">
        <f t="shared" si="90"/>
        <v>"pn":"SIHG47N60EF-GE3",</v>
      </c>
      <c r="AKP15" t="str">
        <f t="shared" si="90"/>
        <v>"pn":"LM2664M6X/NOPB",</v>
      </c>
      <c r="AKQ15" t="str">
        <f t="shared" si="90"/>
        <v>"pn":"C1206C106K4PAC",</v>
      </c>
      <c r="AKR15" t="str">
        <f t="shared" si="90"/>
        <v>"pn":"GRM31CR71C106KAC7",</v>
      </c>
      <c r="AKS15" t="str">
        <f t="shared" si="90"/>
        <v>"pn":"EMK316BJ106KL-T",</v>
      </c>
      <c r="AKT15" t="str">
        <f t="shared" si="90"/>
        <v>"pn":"CM316X5R106K16A",</v>
      </c>
      <c r="AKU15" t="str">
        <f t="shared" si="90"/>
        <v>"pn":"CC0402KRX7R8BB104",</v>
      </c>
      <c r="AKV15" t="str">
        <f t="shared" si="90"/>
        <v>"pn":"04023C104KAT2A",</v>
      </c>
      <c r="AKW15" t="str">
        <f t="shared" si="90"/>
        <v>"pn":"STMPS2141STR",</v>
      </c>
      <c r="AKX15" t="str">
        <f t="shared" si="90"/>
        <v>"pn":"39000061",</v>
      </c>
      <c r="AKY15" t="str">
        <f t="shared" si="90"/>
        <v>"pn":"CC0402JRNPO9BN220",</v>
      </c>
      <c r="AKZ15" t="str">
        <f t="shared" si="90"/>
        <v>"pn":"C0402C220J5GACTU",</v>
      </c>
      <c r="ALA15" t="str">
        <f t="shared" si="90"/>
        <v>"pn":"TCLT1012",</v>
      </c>
      <c r="ALB15" t="str">
        <f t="shared" si="90"/>
        <v>"pn":"HCPL-817-30AE",</v>
      </c>
      <c r="ALC15" t="str">
        <f t="shared" si="90"/>
        <v>"pn":"04023J2R7ABSTR",</v>
      </c>
      <c r="ALD15" t="str">
        <f t="shared" si="90"/>
        <v>"pn":"CC1206KKX7RBBB102",</v>
      </c>
      <c r="ALE15" t="str">
        <f t="shared" si="90"/>
        <v>"pn":"X7R 12062R102KDBB",</v>
      </c>
      <c r="ALF15" t="str">
        <f t="shared" si="90"/>
        <v>"pn":"RC1206FR-(**)15KL",</v>
      </c>
      <c r="ALG15" t="str">
        <f t="shared" si="90"/>
        <v>"pn":"RC1206FR-0715KL",</v>
      </c>
      <c r="ALH15" t="str">
        <f t="shared" si="90"/>
        <v>"pn":"WSLF25121L000FEA",</v>
      </c>
      <c r="ALI15" t="str">
        <f t="shared" si="90"/>
        <v>"pn":"PSR100KTQFH1L00",</v>
      </c>
      <c r="ALJ15" t="str">
        <f t="shared" si="90"/>
        <v>"pn":"CSS2H-2512R-1L00F",</v>
      </c>
      <c r="ALK15" t="str">
        <f t="shared" si="90"/>
        <v>"pn":"TLC555CDR",</v>
      </c>
      <c r="ALL15" t="str">
        <f t="shared" si="90"/>
        <v>"pn":"ICM7555CD",</v>
      </c>
      <c r="ALM15" t="str">
        <f t="shared" si="90"/>
        <v>"pn":"ICM7555CD",</v>
      </c>
      <c r="ALN15" t="str">
        <f t="shared" si="90"/>
        <v>"pn":"TLC555CDR",</v>
      </c>
      <c r="ALO15" t="str">
        <f t="shared" si="90"/>
        <v>"pn":"CC0805JRNPO9BN100",</v>
      </c>
      <c r="ALP15" t="str">
        <f t="shared" si="90"/>
        <v>"pn":"C0805C100J5GACTU",</v>
      </c>
      <c r="ALQ15" t="str">
        <f t="shared" si="90"/>
        <v>"pn":"08055A100KAT2A",</v>
      </c>
      <c r="ALR15" t="str">
        <f t="shared" si="90"/>
        <v>"pn":"0805N100J500CT",</v>
      </c>
      <c r="ALS15" t="str">
        <f t="shared" si="90"/>
        <v>"pn":"VJ1812Y103KXGAT4X",</v>
      </c>
      <c r="ALT15" t="str">
        <f t="shared" si="90"/>
        <v>"pn":"VJ1812Y103KXRAT4X",</v>
      </c>
      <c r="ALU15" t="str">
        <f t="shared" si="90"/>
        <v>"pn":"SPACER 09 MM",</v>
      </c>
      <c r="ALV15" t="str">
        <f t="shared" si="90"/>
        <v>"pn":"BAT48ZFILM",</v>
      </c>
      <c r="ALW15" t="str">
        <f t="shared" si="90"/>
        <v>"pn":"RC0805FR-(**)20RL",</v>
      </c>
      <c r="ALX15" t="str">
        <f t="shared" si="90"/>
        <v>"pn":"RC0805FR-0720RL",</v>
      </c>
      <c r="ALY15" t="str">
        <f t="shared" si="90"/>
        <v>"pn":"RK73H2AT(**)20R0F",</v>
      </c>
      <c r="ALZ15" t="str">
        <f t="shared" si="90"/>
        <v>"pn":"WR08X20R0FTL",</v>
      </c>
      <c r="AMA15" t="str">
        <f t="shared" si="90"/>
        <v>"pn":"ERJ-1TYJ623U",</v>
      </c>
      <c r="AMB15" t="str">
        <f t="shared" si="90"/>
        <v>"pn":"RC2512JK-0762KL",</v>
      </c>
      <c r="AMC15" t="str">
        <f t="shared" si="90"/>
        <v>"pn":"CRCW251262K0JNEG",</v>
      </c>
      <c r="AMD15" t="str">
        <f t="shared" si="90"/>
        <v>"pn":"CR2512-JW-623ELF",</v>
      </c>
      <c r="AME15" t="str">
        <f t="shared" si="90"/>
        <v>"pn":"0805W8F4321T5E",</v>
      </c>
      <c r="AMF15" t="str">
        <f t="shared" si="90"/>
        <v>"pn":"WR08X4321FTL",</v>
      </c>
      <c r="AMG15" t="str">
        <f t="shared" si="90"/>
        <v>"pn":"ERM1HM010D11OT",</v>
      </c>
      <c r="AMH15" t="str">
        <f t="shared" si="90"/>
        <v>"pn":"PR02000204702JR500",</v>
      </c>
      <c r="AMI15" t="str">
        <f t="shared" si="90"/>
        <v>"pn":"WR404140A4702J",</v>
      </c>
      <c r="AMJ15" t="str">
        <f t="shared" si="90"/>
        <v>"pn":"SRP4020TA-4R7M",</v>
      </c>
      <c r="AMK15" t="str">
        <f t="shared" si="90"/>
        <v>"pn":"MMBT2222ALT1G",</v>
      </c>
      <c r="AML15" t="str">
        <f t="shared" si="90"/>
        <v>"pn":"PMBT2222A,215",</v>
      </c>
      <c r="AMM15" t="str">
        <f t="shared" si="90"/>
        <v>"pn":"SBR3U40S1FQ-7",</v>
      </c>
      <c r="AMN15" t="str">
        <f t="shared" si="90"/>
        <v>"pn":"PMEG40T30ERX",</v>
      </c>
      <c r="AMO15" t="str">
        <f t="shared" si="90"/>
        <v>"pn":"RC1206FR-0747K5L",</v>
      </c>
      <c r="AMP15" t="str">
        <f t="shared" si="90"/>
        <v>"pn":"F872BB472M480R",</v>
      </c>
      <c r="AMQ15" t="str">
        <f t="shared" si="90"/>
        <v>"pn":"B32621A0472J000",</v>
      </c>
      <c r="AMR15" t="str">
        <f t="shared" si="90"/>
        <v>"pn":"B32911A5472M",</v>
      </c>
      <c r="AMS15" t="str">
        <f t="shared" si="90"/>
        <v>"pn":"1206W4F1803T5E",</v>
      </c>
      <c r="AMT15" t="str">
        <f t="shared" si="90"/>
        <v>"pn":"RC0603FR-07200RL",</v>
      </c>
      <c r="AMU15" t="str">
        <f t="shared" si="90"/>
        <v>"pn":"C0805C224K5RAC7800",</v>
      </c>
      <c r="AMV15" t="str">
        <f t="shared" si="90"/>
        <v>"pn":"MBR0530L-TP",</v>
      </c>
      <c r="AMW15" t="str">
        <f t="shared" si="90"/>
        <v>"pn":"PESD5V0X1BL,315",</v>
      </c>
      <c r="AMX15" t="str">
        <f t="shared" ref="AMX15:API15" si="91">_xlfn.CONCAT("""",$L$9,"""",":","""",AMX9,"""",",")</f>
        <v>"pn":"JY222MY5VY2",</v>
      </c>
      <c r="AMY15" t="str">
        <f t="shared" si="91"/>
        <v>"pn":"JY222MY5VY2",</v>
      </c>
      <c r="AMZ15" t="str">
        <f t="shared" si="91"/>
        <v>"pn":"70Y20068",</v>
      </c>
      <c r="ANA15" t="str">
        <f t="shared" si="91"/>
        <v>"pn":"151 051 RS1 100 0",</v>
      </c>
      <c r="ANB15" t="str">
        <f t="shared" si="91"/>
        <v>"pn":"DFLS1200-7",</v>
      </c>
      <c r="ANC15" t="str">
        <f t="shared" si="91"/>
        <v>"pn":"RC0603FR-072K7L",</v>
      </c>
      <c r="AND15" t="str">
        <f t="shared" si="91"/>
        <v>"pn":"CR0603-FX-2701ELF",</v>
      </c>
      <c r="ANE15" t="str">
        <f t="shared" si="91"/>
        <v>"pn":"RC0805FR-075K6L",</v>
      </c>
      <c r="ANF15" t="str">
        <f t="shared" si="91"/>
        <v>"pn":"WR08X5601FTL",</v>
      </c>
      <c r="ANG15" t="str">
        <f t="shared" si="91"/>
        <v>"pn":"WR0805X5601FTL",</v>
      </c>
      <c r="ANH15" t="str">
        <f t="shared" si="91"/>
        <v>"pn":"RC0603FR-071K1L",</v>
      </c>
      <c r="ANI15" t="str">
        <f t="shared" si="91"/>
        <v>"pn":"RC0603FR-07294KL",</v>
      </c>
      <c r="ANJ15" t="str">
        <f t="shared" si="91"/>
        <v>"pn":"STTH1R04A",</v>
      </c>
      <c r="ANK15" t="str">
        <f t="shared" si="91"/>
        <v>"pn":"RC0603FR-071KL",</v>
      </c>
      <c r="ANL15" t="str">
        <f t="shared" si="91"/>
        <v>"pn":"CC0805JRNPO9BN471",</v>
      </c>
      <c r="ANM15" t="str">
        <f t="shared" si="91"/>
        <v>"pn":"0805N471J500",</v>
      </c>
      <c r="ANN15" t="str">
        <f t="shared" si="91"/>
        <v>"pn":"0805N471K250CT",</v>
      </c>
      <c r="ANO15" t="str">
        <f t="shared" si="91"/>
        <v>"pn":"CC0805KKX7R8BB225",</v>
      </c>
      <c r="ANP15" t="str">
        <f t="shared" si="91"/>
        <v>"pn":"08053C225KAT2A",</v>
      </c>
      <c r="ANQ15" t="str">
        <f t="shared" si="91"/>
        <v>"pn":"CC0805KRX7R9BB103",</v>
      </c>
      <c r="ANR15" t="str">
        <f t="shared" si="91"/>
        <v>"pn":"CL21B103KBANNNC",</v>
      </c>
      <c r="ANS15" t="str">
        <f t="shared" si="91"/>
        <v>"pn":"0805B103K500CT",</v>
      </c>
      <c r="ANT15" t="str">
        <f t="shared" si="91"/>
        <v>"pn":"MBRS4201T3G",</v>
      </c>
      <c r="ANU15" t="str">
        <f t="shared" si="91"/>
        <v>"pn":"STPS4S200S",</v>
      </c>
      <c r="ANV15" t="str">
        <f t="shared" si="91"/>
        <v>"pn":"SK4200L-TP",</v>
      </c>
      <c r="ANW15" t="str">
        <f t="shared" si="91"/>
        <v>"pn":"150 141 RS7 310 0",</v>
      </c>
      <c r="ANX15" t="str">
        <f t="shared" si="91"/>
        <v>"pn":"CC0402KRX7R7BB102",</v>
      </c>
      <c r="ANY15" t="str">
        <f t="shared" si="91"/>
        <v>"pn":"C0402C102K4RACTU",</v>
      </c>
      <c r="ANZ15" t="str">
        <f t="shared" si="91"/>
        <v>"pn":"BAV70LT1G",</v>
      </c>
      <c r="AOA15" t="str">
        <f t="shared" si="91"/>
        <v>"pn":"SMF3.3",</v>
      </c>
      <c r="AOB15" t="str">
        <f t="shared" si="91"/>
        <v>"pn":"CRCW080551K0FKEA",</v>
      </c>
      <c r="AOC15" t="str">
        <f t="shared" si="91"/>
        <v>"pn":"0805W8F5102T5E",</v>
      </c>
      <c r="AOD15" t="str">
        <f t="shared" si="91"/>
        <v>"pn":"RC0805JR-0768KL",</v>
      </c>
      <c r="AOE15" t="str">
        <f t="shared" si="91"/>
        <v>"pn":"RC0402FR-074K7L",</v>
      </c>
      <c r="AOF15" t="str">
        <f t="shared" si="91"/>
        <v>"pn":"0402WGF4701TCE",</v>
      </c>
      <c r="AOG15" t="str">
        <f t="shared" si="91"/>
        <v>"pn":"STPS1L60ZF",</v>
      </c>
      <c r="AOH15" t="str">
        <f t="shared" si="91"/>
        <v>"pn":"URZ1E222MHD",</v>
      </c>
      <c r="AOI15" t="str">
        <f t="shared" si="91"/>
        <v>"pn":"URZ1E222MHD1TN",</v>
      </c>
      <c r="AOJ15" t="str">
        <f t="shared" si="91"/>
        <v>"pn":"0805S8J0473T5E",</v>
      </c>
      <c r="AOK15" t="str">
        <f t="shared" si="91"/>
        <v>"pn":"SL08 10003",</v>
      </c>
      <c r="AOL15" t="str">
        <f t="shared" si="91"/>
        <v>"pn":"NTC10D-11",</v>
      </c>
      <c r="AOM15" t="str">
        <f t="shared" si="91"/>
        <v>"pn":"10D2-11LD",</v>
      </c>
      <c r="AON15" t="str">
        <f t="shared" si="91"/>
        <v>"pn":"RC1206JR-072R2L",</v>
      </c>
      <c r="AOO15" t="str">
        <f t="shared" si="91"/>
        <v>"pn":"PHE840MD6470KD15R06L2",</v>
      </c>
      <c r="AOP15" t="str">
        <f t="shared" si="91"/>
        <v>"pn":"R46KN347000001K",</v>
      </c>
      <c r="AOQ15" t="str">
        <f t="shared" si="91"/>
        <v>"pn":"F1772-447-2160",</v>
      </c>
      <c r="AOR15" t="str">
        <f t="shared" si="91"/>
        <v>"pn":"MPX474K305G",</v>
      </c>
      <c r="AOS15" t="str">
        <f t="shared" si="91"/>
        <v>"pn":"SMBJ14CA",</v>
      </c>
      <c r="AOT15" t="str">
        <f t="shared" si="91"/>
        <v>"pn":"SMBJ14CA/TR13",</v>
      </c>
      <c r="AOU15" t="str">
        <f t="shared" si="91"/>
        <v>"pn":"B32022A3103M000",</v>
      </c>
      <c r="AOV15" t="str">
        <f t="shared" si="91"/>
        <v>"pn":"S8550-H",</v>
      </c>
      <c r="AOW15" t="str">
        <f t="shared" si="91"/>
        <v>"pn":"S8550-H",</v>
      </c>
      <c r="AOX15" t="str">
        <f t="shared" si="91"/>
        <v>"pn":"C33V1153J90C000",</v>
      </c>
      <c r="AOY15" t="str">
        <f t="shared" si="91"/>
        <v>"pn":"MIC4422YM-TR",</v>
      </c>
      <c r="AOZ15" t="str">
        <f t="shared" si="91"/>
        <v>"pn":"RC1206FR-07182RL",</v>
      </c>
      <c r="APA15" t="str">
        <f t="shared" si="91"/>
        <v>"pn":"CRCW1206182RFKEA",</v>
      </c>
      <c r="APB15" t="str">
        <f t="shared" si="91"/>
        <v>"pn":"RK73H2BTTD1820F",</v>
      </c>
      <c r="APC15" t="str">
        <f t="shared" si="91"/>
        <v>"pn":"RC0402FR-0710KL",</v>
      </c>
      <c r="APD15" t="str">
        <f t="shared" si="91"/>
        <v>"pn":"SPACER ID:5.3 OD:8 L:12",</v>
      </c>
      <c r="APE15" t="str">
        <f t="shared" si="91"/>
        <v>"pn":"YC-2003  8P",</v>
      </c>
      <c r="APF15" t="str">
        <f t="shared" si="91"/>
        <v>"pn":"B66418W1008D001",</v>
      </c>
      <c r="APG15" t="str">
        <f t="shared" si="91"/>
        <v>"pn":"YC-2003  8P",</v>
      </c>
      <c r="APH15" t="str">
        <f t="shared" si="91"/>
        <v>"pn":"0KLK006.T",</v>
      </c>
      <c r="API15" t="str">
        <f t="shared" si="91"/>
        <v>"pn":"KTK-6",</v>
      </c>
      <c r="APJ15" t="str">
        <f t="shared" ref="APJ15:ARU15" si="92">_xlfn.CONCAT("""",$L$9,"""",":","""",APJ9,"""",",")</f>
        <v>"pn":"LM2901D",</v>
      </c>
      <c r="APK15" t="str">
        <f t="shared" si="92"/>
        <v>"pn":"LM2901DT",</v>
      </c>
      <c r="APL15" t="str">
        <f t="shared" si="92"/>
        <v>"pn":"GRM32ER60J107ME20",</v>
      </c>
      <c r="APM15" t="str">
        <f t="shared" si="92"/>
        <v>"pn":"JMK325ABJ107MM-P",</v>
      </c>
      <c r="APN15" t="str">
        <f t="shared" si="92"/>
        <v>"pn":"JMK325ABJ107MM-T",</v>
      </c>
      <c r="APO15" t="str">
        <f t="shared" si="92"/>
        <v>"pn":"LMV797MM/NOPB",</v>
      </c>
      <c r="APP15" t="str">
        <f t="shared" si="92"/>
        <v>"pn":"ERA-3AEB1102V",</v>
      </c>
      <c r="APQ15" t="str">
        <f t="shared" si="92"/>
        <v>"pn":"ERA-3AEB113V",</v>
      </c>
      <c r="APR15" t="str">
        <f t="shared" si="92"/>
        <v>"pn":"AT0603BRD0711KL",</v>
      </c>
      <c r="APS15" t="str">
        <f t="shared" si="92"/>
        <v>"pn":"RT0603BRD0711KL",</v>
      </c>
      <c r="APT15" t="str">
        <f t="shared" si="92"/>
        <v>"pn":"P6SMBJ100A",</v>
      </c>
      <c r="APU15" t="str">
        <f t="shared" si="92"/>
        <v>"pn":"P6SMB100A-E3/52",</v>
      </c>
      <c r="APV15" t="str">
        <f t="shared" si="92"/>
        <v>"pn":"SM6T100A",</v>
      </c>
      <c r="APW15" t="str">
        <f t="shared" si="92"/>
        <v>"pn":"P6SMB100A",</v>
      </c>
      <c r="APX15" t="str">
        <f t="shared" si="92"/>
        <v>"pn":"MS15 40004",</v>
      </c>
      <c r="APY15" t="str">
        <f t="shared" si="92"/>
        <v>"pn":"RK73B2BTTD121J",</v>
      </c>
      <c r="APZ15" t="str">
        <f t="shared" si="92"/>
        <v>"pn":"C1206C225M5RACTU",</v>
      </c>
      <c r="AQA15" t="str">
        <f t="shared" si="92"/>
        <v>"pn":"C1206C225M5RAC7800",</v>
      </c>
      <c r="AQB15" t="str">
        <f t="shared" si="92"/>
        <v>"pn":"AP63200WU-7",</v>
      </c>
      <c r="AQC15" t="str">
        <f t="shared" si="92"/>
        <v>"pn":"MCU08050D1502BP100",</v>
      </c>
      <c r="AQD15" t="str">
        <f t="shared" si="92"/>
        <v>"pn":"RN73R2ATTD1502B25",</v>
      </c>
      <c r="AQE15" t="str">
        <f t="shared" si="92"/>
        <v>"pn":"RN732AT(  )1502B25",</v>
      </c>
      <c r="AQF15" t="str">
        <f t="shared" si="92"/>
        <v>"pn":"RC0805FR-07100KL",</v>
      </c>
      <c r="AQG15" t="str">
        <f t="shared" si="92"/>
        <v>"pn":"CC0402KRX7R7BB472",</v>
      </c>
      <c r="AQH15" t="str">
        <f t="shared" si="92"/>
        <v>"pn":"KGM05AR71C472KH",</v>
      </c>
      <c r="AQI15" t="str">
        <f t="shared" si="92"/>
        <v>"pn":"0402YD472KAT2A",</v>
      </c>
      <c r="AQJ15" t="str">
        <f t="shared" si="92"/>
        <v>"pn":"LQM21DN100M70L",</v>
      </c>
      <c r="AQK15" t="str">
        <f t="shared" si="92"/>
        <v>"pn":"0603WAF3302T5E",</v>
      </c>
      <c r="AQL15" t="str">
        <f t="shared" si="92"/>
        <v>"pn":"RMCF0603FT33K0",</v>
      </c>
      <c r="AQM15" t="str">
        <f t="shared" si="92"/>
        <v>"pn":"MAX1719EUT+",</v>
      </c>
      <c r="AQN15" t="str">
        <f t="shared" si="92"/>
        <v>"pn":"MAX1719EUT+T",</v>
      </c>
      <c r="AQO15" t="str">
        <f t="shared" si="92"/>
        <v>"pn":"MMT-134-01-S-SH",</v>
      </c>
      <c r="AQP15" t="str">
        <f t="shared" si="92"/>
        <v>"pn":"MMT-134-01-S-SH-P",</v>
      </c>
      <c r="AQQ15" t="str">
        <f t="shared" si="92"/>
        <v>"pn":"MMT-134-01-T-SH-K-TR",</v>
      </c>
      <c r="AQR15" t="str">
        <f t="shared" si="92"/>
        <v>"pn":"AM1C20034GCMS3.2H2BA",</v>
      </c>
      <c r="AQS15" t="str">
        <f t="shared" si="92"/>
        <v>"pn":"SLTY-34R-A-032-0-R",</v>
      </c>
      <c r="AQT15" t="str">
        <f t="shared" si="92"/>
        <v>"pn":"PH200-134-M22G0-04",</v>
      </c>
      <c r="AQU15" t="str">
        <f t="shared" si="92"/>
        <v>"pn":"ES2D-E3/52T",</v>
      </c>
      <c r="AQV15" t="str">
        <f t="shared" si="92"/>
        <v>"pn":"MURS120T3G",</v>
      </c>
      <c r="AQW15" t="str">
        <f t="shared" si="92"/>
        <v>"pn":"STTH2R02U",</v>
      </c>
      <c r="AQX15" t="str">
        <f t="shared" si="92"/>
        <v>"pn":"C1210J224K2RACTU",</v>
      </c>
      <c r="AQY15" t="str">
        <f t="shared" si="92"/>
        <v>"pn":"1210B224K201CT",</v>
      </c>
      <c r="AQZ15" t="str">
        <f t="shared" si="92"/>
        <v>"pn":"1210Y2000224KXT",</v>
      </c>
      <c r="ARA15" t="str">
        <f t="shared" si="92"/>
        <v>"pn":"MMSD4148T1G",</v>
      </c>
      <c r="ARB15" t="str">
        <f t="shared" si="92"/>
        <v>"pn":"0805W8F4700T5E",</v>
      </c>
      <c r="ARC15" t="str">
        <f t="shared" si="92"/>
        <v>"pn":"RMCF0805FT470R",</v>
      </c>
      <c r="ARD15" t="str">
        <f t="shared" si="92"/>
        <v>"pn":"BAS1603WE6327",</v>
      </c>
      <c r="ARE15" t="str">
        <f t="shared" si="92"/>
        <v>"pn":"1N4148WS",</v>
      </c>
      <c r="ARF15" t="str">
        <f t="shared" si="92"/>
        <v>"pn":"1N4148WS-7-F",</v>
      </c>
      <c r="ARG15" t="str">
        <f t="shared" si="92"/>
        <v>"pn":"BAS316,115",</v>
      </c>
      <c r="ARH15" t="str">
        <f t="shared" si="92"/>
        <v>"pn":"M24C64-WDW6P",</v>
      </c>
      <c r="ARI15" t="str">
        <f t="shared" si="92"/>
        <v>"pn":"M24C64-WDW6TP",</v>
      </c>
      <c r="ARJ15" t="str">
        <f t="shared" si="92"/>
        <v>"pn":"24LC64-I/ST",</v>
      </c>
      <c r="ARK15" t="str">
        <f t="shared" si="92"/>
        <v>"pn":"GRM188R60J226MEA0J",</v>
      </c>
      <c r="ARL15" t="str">
        <f t="shared" si="92"/>
        <v>"pn":"ERA-6AEB223V",</v>
      </c>
      <c r="ARM15" t="str">
        <f t="shared" si="92"/>
        <v>"pn":"RT0805BRD0722KL",</v>
      </c>
      <c r="ARN15" t="str">
        <f t="shared" si="92"/>
        <v>"pn":"RN732ATTD2202B25",</v>
      </c>
      <c r="ARO15" t="str">
        <f t="shared" si="92"/>
        <v>"pn":"RG2012P-223-B-T5",</v>
      </c>
      <c r="ARP15" t="str">
        <f t="shared" si="92"/>
        <v>"pn":"RK73B2ATTD102J",</v>
      </c>
      <c r="ARQ15" t="str">
        <f t="shared" si="92"/>
        <v>"pn":"HP05W3J0102T5E",</v>
      </c>
      <c r="ARR15" t="str">
        <f t="shared" si="92"/>
        <v>"pn":"RPC0805JT1K00",</v>
      </c>
      <c r="ARS15" t="str">
        <f t="shared" si="92"/>
        <v>"pn":"LTST-C190KGKT",</v>
      </c>
      <c r="ART15" t="str">
        <f t="shared" si="92"/>
        <v>"pn":"B57861S0103F040",</v>
      </c>
      <c r="ARU15" t="str">
        <f t="shared" si="92"/>
        <v>"pn":"B57861S103F40",</v>
      </c>
      <c r="ARV15" t="str">
        <f t="shared" ref="ARV15:AUG15" si="93">_xlfn.CONCAT("""",$L$9,"""",":","""",ARV9,"""",",")</f>
        <v>"pn":"25ZLS680MEFC10X16",</v>
      </c>
      <c r="ARW15" t="str">
        <f t="shared" si="93"/>
        <v>"pn":"CAY16-223J4LF",</v>
      </c>
      <c r="ARX15" t="str">
        <f t="shared" si="93"/>
        <v>"pn":"B32021A3472M",</v>
      </c>
      <c r="ARY15" t="str">
        <f t="shared" si="93"/>
        <v>"pn":"B32021A3472M000",</v>
      </c>
      <c r="ARZ15" t="str">
        <f t="shared" si="93"/>
        <v>"pn":"RC1206JR-07220RL",</v>
      </c>
      <c r="ASA15" t="str">
        <f t="shared" si="93"/>
        <v>"pn":"CR1206-JW-221ELF",</v>
      </c>
      <c r="ASB15" t="str">
        <f t="shared" si="93"/>
        <v>"pn":"RC01",</v>
      </c>
      <c r="ASC15" t="str">
        <f t="shared" si="93"/>
        <v>"pn":"XC6215B302NR",</v>
      </c>
      <c r="ASD15" t="str">
        <f t="shared" si="93"/>
        <v>"pn":"XC6215B302NR-G",</v>
      </c>
      <c r="ASE15" t="str">
        <f t="shared" si="93"/>
        <v>"pn":"WYO472MCMCF0KR",</v>
      </c>
      <c r="ASF15" t="str">
        <f t="shared" si="93"/>
        <v>"pn":"DE2E3KY472MA3BM02F",</v>
      </c>
      <c r="ASG15" t="str">
        <f t="shared" si="93"/>
        <v>"pn":"MMSZ5225B",</v>
      </c>
      <c r="ASH15" t="str">
        <f t="shared" si="93"/>
        <v>"pn":"MMSZ5225B-E3-08",</v>
      </c>
      <c r="ASI15" t="str">
        <f t="shared" si="93"/>
        <v>"pn":"MMSZ5225BT1G",</v>
      </c>
      <c r="ASJ15" t="str">
        <f t="shared" si="93"/>
        <v>"pn":"GCM1555G1H270FA16D",</v>
      </c>
      <c r="ASK15" t="str">
        <f t="shared" si="93"/>
        <v>"pn":"LBXND5050WKT3R3NMG",</v>
      </c>
      <c r="ASL15" t="str">
        <f t="shared" si="93"/>
        <v>"pn":"NRS5020T 3R3NMGJ",</v>
      </c>
      <c r="ASM15" t="str">
        <f t="shared" si="93"/>
        <v>"pn":"SRN5020-3R3M",</v>
      </c>
      <c r="ASN15" t="str">
        <f t="shared" si="93"/>
        <v>"pn":"CRCW080547K5FKEA",</v>
      </c>
      <c r="ASO15" t="str">
        <f t="shared" si="93"/>
        <v>"pn":"C0805C153F5GACAUTO",</v>
      </c>
      <c r="ASP15" t="str">
        <f t="shared" si="93"/>
        <v>"pn":"C0805C153F5GACTU",</v>
      </c>
      <c r="ASQ15" t="str">
        <f t="shared" si="93"/>
        <v>"pn":"C0805C153F5GALTU",</v>
      </c>
      <c r="ASR15" t="str">
        <f t="shared" si="93"/>
        <v>"pn":"GCM2195C1H153FA16D",</v>
      </c>
      <c r="ASS15" t="str">
        <f t="shared" si="93"/>
        <v>"pn":"CC0603KRX7R7BB224",</v>
      </c>
      <c r="AST15" t="str">
        <f t="shared" si="93"/>
        <v>"pn":"FDG6301N",</v>
      </c>
      <c r="ASU15" t="str">
        <f t="shared" si="93"/>
        <v>"pn":"NTJD4001NT1G",</v>
      </c>
      <c r="ASV15" t="str">
        <f t="shared" si="93"/>
        <v>"pn":"HM76-30330JLF",</v>
      </c>
      <c r="ASW15" t="str">
        <f t="shared" si="93"/>
        <v>"pn":"HM76-30330JLFTR13",</v>
      </c>
      <c r="ASX15" t="str">
        <f t="shared" si="93"/>
        <v>"pn":"CRCW0805330RFKEA",</v>
      </c>
      <c r="ASY15" t="str">
        <f t="shared" si="93"/>
        <v>"pn":"0805W8F3300T5E",</v>
      </c>
      <c r="ASZ15" t="str">
        <f t="shared" si="93"/>
        <v>"pn":"CRG0805F330R",</v>
      </c>
      <c r="ATA15" t="str">
        <f t="shared" si="93"/>
        <v>"pn":"RC0603FR-07470RL",</v>
      </c>
      <c r="ATB15" t="str">
        <f t="shared" si="93"/>
        <v>"pn":"CRCW0603470RFKEA",</v>
      </c>
      <c r="ATC15" t="str">
        <f t="shared" si="93"/>
        <v>"pn":"CC0603KRX7R8BB104",</v>
      </c>
      <c r="ATD15" t="str">
        <f t="shared" si="93"/>
        <v>"pn":"CC1210KKX7R8BB475",</v>
      </c>
      <c r="ATE15" t="str">
        <f t="shared" si="93"/>
        <v>"pn":"C1210C475K3RACTM",</v>
      </c>
      <c r="ATF15" t="str">
        <f t="shared" si="93"/>
        <v>"pn":"C1210C475K3RACTU",</v>
      </c>
      <c r="ATG15" t="str">
        <f t="shared" si="93"/>
        <v>"pn":"TMK325B7475KN-T",</v>
      </c>
      <c r="ATH15" t="str">
        <f t="shared" si="93"/>
        <v>"pn":"C3225X7R1E475K200AA",</v>
      </c>
      <c r="ATI15" t="str">
        <f t="shared" si="93"/>
        <v>"pn":"C322C102K1R5TA",</v>
      </c>
      <c r="ATJ15" t="str">
        <f t="shared" si="93"/>
        <v>"pn":"C322C102K1R5TA7301",</v>
      </c>
      <c r="ATK15" t="str">
        <f t="shared" si="93"/>
        <v>"pn":"DMG1012UW-7",</v>
      </c>
      <c r="ATL15" t="str">
        <f t="shared" si="93"/>
        <v>"pn":"CC0603KRX7R7BB104",</v>
      </c>
      <c r="ATM15" t="str">
        <f t="shared" si="93"/>
        <v>"pn":"C0603C104K4RAC",</v>
      </c>
      <c r="ATN15" t="str">
        <f t="shared" si="93"/>
        <v>"pn":"0603YC104KAT2A",</v>
      </c>
      <c r="ATO15" t="str">
        <f t="shared" si="93"/>
        <v>"pn":"CL21B475KAFNNNE",</v>
      </c>
      <c r="ATP15" t="str">
        <f t="shared" si="93"/>
        <v>"pn":"BT1117102S01D6A84",</v>
      </c>
      <c r="ATQ15" t="str">
        <f t="shared" si="93"/>
        <v>"pn":"TSW-102-07-T-S",</v>
      </c>
      <c r="ATR15" t="str">
        <f t="shared" si="93"/>
        <v>"pn":"COVER TAPE W=21.3MM",</v>
      </c>
      <c r="ATS15" t="str">
        <f t="shared" si="93"/>
        <v>"pn":"C1206C106K3PAC",</v>
      </c>
      <c r="ATT15" t="str">
        <f t="shared" si="93"/>
        <v>"pn":"GRM31CR61E106KA12",</v>
      </c>
      <c r="ATU15" t="str">
        <f t="shared" si="93"/>
        <v>"pn":"TMK316BJ106KL-T",</v>
      </c>
      <c r="ATV15" t="str">
        <f t="shared" si="93"/>
        <v>"pn":"CM316X5R106K25A",</v>
      </c>
      <c r="ATW15" t="str">
        <f t="shared" si="93"/>
        <v>"pn":"BAT54S-E3-18",</v>
      </c>
      <c r="ATX15" t="str">
        <f t="shared" si="93"/>
        <v>"pn":"BAT54S-7-F",</v>
      </c>
      <c r="ATY15" t="str">
        <f t="shared" si="93"/>
        <v>"pn":"BAT54S",</v>
      </c>
      <c r="ATZ15" t="str">
        <f t="shared" si="93"/>
        <v>"pn":"BAT54SLT1G",</v>
      </c>
      <c r="AUA15" t="str">
        <f t="shared" si="93"/>
        <v>"pn":"VJ0805Y105KXXTW1BC",</v>
      </c>
      <c r="AUB15" t="str">
        <f t="shared" si="93"/>
        <v>"pn":"C2012X7R1E105K125AB",</v>
      </c>
      <c r="AUC15" t="str">
        <f t="shared" si="93"/>
        <v>"pn":"TLV70233DBVR",</v>
      </c>
      <c r="AUD15" t="str">
        <f t="shared" si="93"/>
        <v>"pn":"TLV70233DBVT",</v>
      </c>
      <c r="AUE15" t="str">
        <f t="shared" si="93"/>
        <v>"pn":"ADP122AUJZ-3.3-R7",</v>
      </c>
      <c r="AUF15" t="str">
        <f t="shared" si="93"/>
        <v>"pn":"0ZCH0110AF2E",</v>
      </c>
      <c r="AUG15" t="str">
        <f t="shared" si="93"/>
        <v>"pn":"RMCF0805FT10K0",</v>
      </c>
      <c r="AUH15" t="str">
        <f t="shared" ref="AUH15:AWS15" si="94">_xlfn.CONCAT("""",$L$9,"""",":","""",AUH9,"""",",")</f>
        <v>"pn":"S5MS-E3",</v>
      </c>
      <c r="AUI15" t="str">
        <f t="shared" si="94"/>
        <v>"pn":"S5MC-13-F",</v>
      </c>
      <c r="AUJ15" t="str">
        <f t="shared" si="94"/>
        <v>"pn":"FS5M",</v>
      </c>
      <c r="AUK15" t="str">
        <f t="shared" si="94"/>
        <v>"pn":"RC0603FR-0760R4L",</v>
      </c>
      <c r="AUL15" t="str">
        <f t="shared" si="94"/>
        <v>"pn":"RC0603FR-1360R4L",</v>
      </c>
      <c r="AUM15" t="str">
        <f t="shared" si="94"/>
        <v>"pn":"RMCF0603FT60R4",</v>
      </c>
      <c r="AUN15" t="str">
        <f t="shared" si="94"/>
        <v>"pn":"MCMR06X60R4FTL",</v>
      </c>
      <c r="AUO15" t="str">
        <f t="shared" si="94"/>
        <v>"pn":"EEE-FK1V221AP",</v>
      </c>
      <c r="AUP15" t="str">
        <f t="shared" si="94"/>
        <v>"pn":"EEE-FK1V221GP",</v>
      </c>
      <c r="AUQ15" t="str">
        <f t="shared" si="94"/>
        <v>"pn":"EEE-FK1V221P",</v>
      </c>
      <c r="AUR15" t="str">
        <f t="shared" si="94"/>
        <v>"pn":"UCD1V221MNL1GS",</v>
      </c>
      <c r="AUS15" t="str">
        <f t="shared" si="94"/>
        <v>"pn":"EMVY350ADA221MHA0G",</v>
      </c>
      <c r="AUT15" t="str">
        <f t="shared" si="94"/>
        <v>"pn":"EMVY350ARA221MHA0G",</v>
      </c>
      <c r="AUU15" t="str">
        <f t="shared" si="94"/>
        <v>"pn":"35TKV220M8X10.5",</v>
      </c>
      <c r="AUV15" t="str">
        <f t="shared" si="94"/>
        <v>"pn":"EMVY350ADA221MHA0G",</v>
      </c>
      <c r="AUW15" t="str">
        <f t="shared" si="94"/>
        <v>"pn":"EMZA350ADA221MHA0G",</v>
      </c>
      <c r="AUX15" t="str">
        <f t="shared" si="94"/>
        <v>"pn":"GLOVE PU PLAM FIT SIZE M",</v>
      </c>
      <c r="AUY15" t="str">
        <f t="shared" si="94"/>
        <v>"pn":"RK73B1JTTD102J",</v>
      </c>
      <c r="AUZ15" t="str">
        <f t="shared" si="94"/>
        <v>"pn":"HP03W5J0102T5E",</v>
      </c>
      <c r="AVA15" t="str">
        <f t="shared" si="94"/>
        <v>"pn":"CC0805KKX7R6BB106",</v>
      </c>
      <c r="AVB15" t="str">
        <f t="shared" si="94"/>
        <v>"pn":"0505012.MXEP",</v>
      </c>
      <c r="AVC15" t="str">
        <f t="shared" si="94"/>
        <v>"pn":"M25P16-VMW6TG",</v>
      </c>
      <c r="AVD15" t="str">
        <f t="shared" si="94"/>
        <v>"pn":"W25Q16JVSSIQ",</v>
      </c>
      <c r="AVE15" t="str">
        <f t="shared" si="94"/>
        <v>"pn":"W25Q16JVSSIQ-TR",</v>
      </c>
      <c r="AVF15" t="str">
        <f t="shared" si="94"/>
        <v>"pn":"RC1206FR-07681RL",</v>
      </c>
      <c r="AVG15" t="str">
        <f t="shared" si="94"/>
        <v>"pn":"CHV2512-FX-2204ELF",</v>
      </c>
      <c r="AVH15" t="str">
        <f t="shared" si="94"/>
        <v>"pn":"CHV2512-FX-2204ELFT",</v>
      </c>
      <c r="AVI15" t="str">
        <f t="shared" si="94"/>
        <v>"pn":"RC0805FR-078K45L",</v>
      </c>
      <c r="AVJ15" t="str">
        <f t="shared" si="94"/>
        <v>"pn":"CRCW08058K45FKEA",</v>
      </c>
      <c r="AVK15" t="str">
        <f t="shared" si="94"/>
        <v>"pn":"RK73H2ATTD8451F",</v>
      </c>
      <c r="AVL15" t="str">
        <f t="shared" si="94"/>
        <v>"pn":"0805W8F8451T5E",</v>
      </c>
      <c r="AVM15" t="str">
        <f t="shared" si="94"/>
        <v>"pn":"WR08X8451FTL",</v>
      </c>
      <c r="AVN15" t="str">
        <f t="shared" si="94"/>
        <v>"pn":"CR0805-FX-8451ELF",</v>
      </c>
      <c r="AVO15" t="str">
        <f t="shared" si="94"/>
        <v>"pn":"CC0402JRNPO9BN820",</v>
      </c>
      <c r="AVP15" t="str">
        <f t="shared" si="94"/>
        <v>"pn":"C0402C820J5GACTU",</v>
      </c>
      <c r="AVQ15" t="str">
        <f t="shared" si="94"/>
        <v>"pn":"STPS4S200B-TR",</v>
      </c>
      <c r="AVR15" t="str">
        <f t="shared" si="94"/>
        <v>"pn":"B57237S0109M000",</v>
      </c>
      <c r="AVS15" t="str">
        <f t="shared" si="94"/>
        <v>"pn":"0805W8F4702T5E",</v>
      </c>
      <c r="AVT15" t="str">
        <f t="shared" si="94"/>
        <v>"pn":"RMCF0805FT47K0",</v>
      </c>
      <c r="AVU15" t="str">
        <f t="shared" si="94"/>
        <v>"pn":"C0402C152J5GACTU",</v>
      </c>
      <c r="AVV15" t="str">
        <f t="shared" si="94"/>
        <v>"pn":"GRM1555C1H152JA01D",</v>
      </c>
      <c r="AVW15" t="str">
        <f t="shared" si="94"/>
        <v>"pn":"HCPL-817-30DE",</v>
      </c>
      <c r="AVX15" t="str">
        <f t="shared" si="94"/>
        <v>"pn":"HCPL-817-36DE",</v>
      </c>
      <c r="AVY15" t="str">
        <f t="shared" si="94"/>
        <v>"pn":"HCPL-817-50DE",</v>
      </c>
      <c r="AVZ15" t="str">
        <f t="shared" si="94"/>
        <v>"pn":"HCPL-817-56DE",</v>
      </c>
      <c r="AWA15" t="str">
        <f t="shared" si="94"/>
        <v>"pn":"STTH6006W",</v>
      </c>
      <c r="AWB15" t="str">
        <f t="shared" si="94"/>
        <v>"pn":"STTW6006W",</v>
      </c>
      <c r="AWC15" t="str">
        <f t="shared" si="94"/>
        <v>"pn":"B32022A3223M",</v>
      </c>
      <c r="AWD15" t="str">
        <f t="shared" si="94"/>
        <v>"pn":"B32022A3223M Z 1",</v>
      </c>
      <c r="AWE15" t="str">
        <f t="shared" si="94"/>
        <v>"pn":"FDN304P",</v>
      </c>
      <c r="AWF15" t="str">
        <f t="shared" si="94"/>
        <v>"pn":"TAJB476K006RNJ",</v>
      </c>
      <c r="AWG15" t="str">
        <f t="shared" si="94"/>
        <v>"pn":"C0805C472K5RACTU",</v>
      </c>
      <c r="AWH15" t="str">
        <f t="shared" si="94"/>
        <v>"pn":"FNQ-30",</v>
      </c>
      <c r="AWI15" t="str">
        <f t="shared" si="94"/>
        <v>"pn":"FNQ-30",</v>
      </c>
      <c r="AWJ15" t="str">
        <f t="shared" si="94"/>
        <v>"pn":"ATQ30",</v>
      </c>
      <c r="AWK15" t="str">
        <f t="shared" si="94"/>
        <v>"pn":"GRM31C5C2A104JA01K",</v>
      </c>
      <c r="AWL15" t="str">
        <f t="shared" si="94"/>
        <v>"pn":"GRM31C5C2A104JA01L",</v>
      </c>
      <c r="AWM15" t="str">
        <f t="shared" si="94"/>
        <v>"pn":"RC2512JK-07680RL",</v>
      </c>
      <c r="AWN15" t="str">
        <f t="shared" si="94"/>
        <v>"pn":"SWR06JTFQ0120",</v>
      </c>
      <c r="AWO15" t="str">
        <f t="shared" si="94"/>
        <v>"pn":"SWR06JTFQ0120A",</v>
      </c>
      <c r="AWP15" t="str">
        <f t="shared" si="94"/>
        <v>"pn":"ABM11W-25.0000MHZ-8-K1Z-T",</v>
      </c>
      <c r="AWQ15" t="str">
        <f t="shared" si="94"/>
        <v>"pn":"FDG6304P",</v>
      </c>
      <c r="AWR15" t="str">
        <f t="shared" si="94"/>
        <v>"pn":"NTJD4152PT1G",</v>
      </c>
      <c r="AWS15" t="str">
        <f t="shared" si="94"/>
        <v>"pn":"B32033A4473M000",</v>
      </c>
      <c r="AWT15" t="str">
        <f t="shared" ref="AWT15:AZE15" si="95">_xlfn.CONCAT("""",$L$9,"""",":","""",AWT9,"""",",")</f>
        <v>"pn":"RC0603FR-(**) 2K43 L",</v>
      </c>
      <c r="AWU15" t="str">
        <f t="shared" si="95"/>
        <v>"pn":"RK73H1JT(**) 2431 F",</v>
      </c>
      <c r="AWV15" t="str">
        <f t="shared" si="95"/>
        <v>"pn":"RK73H1JTTD2431F",</v>
      </c>
      <c r="AWW15" t="str">
        <f t="shared" si="95"/>
        <v>"pn":"WR06X2431F(*)L",</v>
      </c>
      <c r="AWX15" t="str">
        <f t="shared" si="95"/>
        <v>"pn":"D3081-05",</v>
      </c>
      <c r="AWY15" t="str">
        <f t="shared" si="95"/>
        <v>"pn":"B32023A3104M",</v>
      </c>
      <c r="AWZ15" t="str">
        <f t="shared" si="95"/>
        <v>"pn":"ISO7521CDW",</v>
      </c>
      <c r="AXA15" t="str">
        <f t="shared" si="95"/>
        <v>"pn":"ISO7521CDWR",</v>
      </c>
      <c r="AXB15" t="str">
        <f t="shared" si="95"/>
        <v>"pn":"ZOTMW400000A50",</v>
      </c>
      <c r="AXC15" t="str">
        <f t="shared" si="95"/>
        <v>"pn":"3M 8910NS",</v>
      </c>
      <c r="AXD15" t="str">
        <f t="shared" si="95"/>
        <v>"pn":"ERJ-6ENF7501V",</v>
      </c>
      <c r="AXE15" t="str">
        <f t="shared" si="95"/>
        <v>"pn":"RC0805FR-077K5L",</v>
      </c>
      <c r="AXF15" t="str">
        <f t="shared" si="95"/>
        <v>"pn":"0805W8F7501T5E",</v>
      </c>
      <c r="AXG15" t="str">
        <f t="shared" si="95"/>
        <v>"pn":"B32924-E3335M",</v>
      </c>
      <c r="AXH15" t="str">
        <f t="shared" si="95"/>
        <v>"pn":"F861FN335M310Z",</v>
      </c>
      <c r="AXI15" t="str">
        <f t="shared" si="95"/>
        <v>"pn":"F339MX253331MKP2T1",</v>
      </c>
      <c r="AXJ15" t="str">
        <f t="shared" si="95"/>
        <v>"pn":"MASK CARBON GREEN 5 PLY",</v>
      </c>
      <c r="AXK15" t="str">
        <f t="shared" si="95"/>
        <v>"pn":"CC0805JRX7R8BB104",</v>
      </c>
      <c r="AXL15" t="str">
        <f t="shared" si="95"/>
        <v>"pn":"MC74VHCT02ADR2G",</v>
      </c>
      <c r="AXM15" t="str">
        <f t="shared" si="95"/>
        <v>"pn":"BAS3007A",</v>
      </c>
      <c r="AXN15" t="str">
        <f t="shared" si="95"/>
        <v>"pn":"BAS3007ARPPE6327HTSA1",</v>
      </c>
      <c r="AXO15" t="str">
        <f t="shared" si="95"/>
        <v>"pn":"SX9211IULTRT",</v>
      </c>
      <c r="AXP15" t="str">
        <f t="shared" si="95"/>
        <v>"pn":"0402WGF620JTCE",</v>
      </c>
      <c r="AXQ15" t="str">
        <f t="shared" si="95"/>
        <v>"pn":"CRCW040222K0FKED",</v>
      </c>
      <c r="AXR15" t="str">
        <f t="shared" si="95"/>
        <v>"pn":"0402WGF2202TCE",</v>
      </c>
      <c r="AXS15" t="str">
        <f t="shared" si="95"/>
        <v>"pn":"PMV50XNEA",</v>
      </c>
      <c r="AXT15" t="str">
        <f t="shared" si="95"/>
        <v>"pn":"PMV50XNEAR",</v>
      </c>
      <c r="AXU15" t="str">
        <f t="shared" si="95"/>
        <v>"pn":"CC1206KKX7R7BB105",</v>
      </c>
      <c r="AXV15" t="str">
        <f t="shared" si="95"/>
        <v>"pn":"CF1/4CT52R(A)331J",</v>
      </c>
      <c r="AXW15" t="str">
        <f t="shared" si="95"/>
        <v>"pn":"CFR0W4J0331A50",</v>
      </c>
      <c r="AXX15" t="str">
        <f t="shared" si="95"/>
        <v>"pn":"B32521C0225K189",</v>
      </c>
      <c r="AXY15" t="str">
        <f t="shared" si="95"/>
        <v>"pn":"MKT1820522065",</v>
      </c>
      <c r="AXZ15" t="str">
        <f t="shared" si="95"/>
        <v>"pn":"RC0603FR-072K74L",</v>
      </c>
      <c r="AYA15" t="str">
        <f t="shared" si="95"/>
        <v>"pn":"885012007031",</v>
      </c>
      <c r="AYB15" t="str">
        <f t="shared" si="95"/>
        <v>"pn":"ERJ-3EKF4702V",</v>
      </c>
      <c r="AYC15" t="str">
        <f t="shared" si="95"/>
        <v>"pn":"0603WAF4702T5E",</v>
      </c>
      <c r="AYD15" t="str">
        <f t="shared" si="95"/>
        <v>"pn":"RMCF0603FT47K0",</v>
      </c>
      <c r="AYE15" t="str">
        <f t="shared" si="95"/>
        <v>"pn":"B65805J0063A087",</v>
      </c>
      <c r="AYF15" t="str">
        <f t="shared" si="95"/>
        <v>"pn":"IP4220CZ6,125",</v>
      </c>
      <c r="AYG15" t="str">
        <f t="shared" si="95"/>
        <v>"pn":"MKDSN 1,5/ 4-5,08",</v>
      </c>
      <c r="AYH15" t="str">
        <f t="shared" si="95"/>
        <v>"pn":"MKDSN 1,5/4-5,08",</v>
      </c>
      <c r="AYI15" t="str">
        <f t="shared" si="95"/>
        <v>"pn":"1729144",</v>
      </c>
      <c r="AYJ15" t="str">
        <f t="shared" si="95"/>
        <v>"pn":"BSO080P03SHXUMA1",</v>
      </c>
      <c r="AYK15" t="str">
        <f t="shared" si="95"/>
        <v>"pn":"IRF9321TRPBF",</v>
      </c>
      <c r="AYL15" t="str">
        <f t="shared" si="95"/>
        <v>"pn":"CC0603KRX7R9BB102",</v>
      </c>
      <c r="AYM15" t="str">
        <f t="shared" si="95"/>
        <v>"pn":"C0603C102K5RAC",</v>
      </c>
      <c r="AYN15" t="str">
        <f t="shared" si="95"/>
        <v>"pn":"06035C102KAT2A",</v>
      </c>
      <c r="AYO15" t="str">
        <f t="shared" si="95"/>
        <v>"pn":"CL10B102KB8NNNC",</v>
      </c>
      <c r="AYP15" t="str">
        <f t="shared" si="95"/>
        <v>"pn":"UCY2D121MHD12,5X31,5",</v>
      </c>
      <c r="AYQ15" t="str">
        <f t="shared" si="95"/>
        <v>"pn":"UCY2D121MHD6",</v>
      </c>
      <c r="AYR15" t="str">
        <f t="shared" si="95"/>
        <v>"pn":"EKXJ201ELL121MK30S",</v>
      </c>
      <c r="AYS15" t="str">
        <f t="shared" si="95"/>
        <v>"pn":"BL2D127M12030BB",</v>
      </c>
      <c r="AYT15" t="str">
        <f t="shared" si="95"/>
        <v>"pn":"200BXW120MEFR12.5X25",</v>
      </c>
      <c r="AYU15" t="str">
        <f t="shared" si="95"/>
        <v>"pn":"EKXJ201ELL121MK30S",</v>
      </c>
      <c r="AYV15" t="str">
        <f t="shared" si="95"/>
        <v>"pn":"CC1206KKX7R0BB104",</v>
      </c>
      <c r="AYW15" t="str">
        <f t="shared" si="95"/>
        <v>"pn":"ERJ-1TYJ203U",</v>
      </c>
      <c r="AYX15" t="str">
        <f t="shared" si="95"/>
        <v>"pn":"RC2512JK-0720KL",</v>
      </c>
      <c r="AYY15" t="str">
        <f t="shared" si="95"/>
        <v>"pn":"PTZTE2520A",</v>
      </c>
      <c r="AYZ15" t="str">
        <f t="shared" si="95"/>
        <v>"pn":"RK73H2BTTD2213F",</v>
      </c>
      <c r="AZA15" t="str">
        <f t="shared" si="95"/>
        <v>"pn":"1206W4F2213T5E",</v>
      </c>
      <c r="AZB15" t="str">
        <f t="shared" si="95"/>
        <v>"pn":"SFR16S0005600JA500",</v>
      </c>
      <c r="AZC15" t="str">
        <f t="shared" si="95"/>
        <v>"pn":"CF1/2CT52R(A)561J",</v>
      </c>
      <c r="AZD15" t="str">
        <f t="shared" si="95"/>
        <v>"pn":"CFRFU2J0561A50",</v>
      </c>
      <c r="AZE15" t="str">
        <f t="shared" si="95"/>
        <v>"pn":"SPACER 18 MM",</v>
      </c>
      <c r="AZF15" t="str">
        <f t="shared" ref="AZF15:BBQ15" si="96">_xlfn.CONCAT("""",$L$9,"""",":","""",AZF9,"""",",")</f>
        <v>"pn":"WR08X5622FTL",</v>
      </c>
      <c r="AZG15" t="str">
        <f t="shared" si="96"/>
        <v>"pn":"RC0805FR-0730K1L",</v>
      </c>
      <c r="AZH15" t="str">
        <f t="shared" si="96"/>
        <v>"pn":"0805W8F3012T5E",</v>
      </c>
      <c r="AZI15" t="str">
        <f t="shared" si="96"/>
        <v>"pn":"RC0603FR-0710KL",</v>
      </c>
      <c r="AZJ15" t="str">
        <f t="shared" si="96"/>
        <v>"pn":"MCT06030C1002FP500",</v>
      </c>
      <c r="AZK15" t="str">
        <f t="shared" si="96"/>
        <v>"pn":"CR0603FX-1002ELF",</v>
      </c>
      <c r="AZL15" t="str">
        <f t="shared" si="96"/>
        <v>"pn":"LM2902DR2G",</v>
      </c>
      <c r="AZM15" t="str">
        <f t="shared" si="96"/>
        <v>"pn":"LM2902DT",</v>
      </c>
      <c r="AZN15" t="str">
        <f t="shared" si="96"/>
        <v>"pn":"RC0603FR-07147KL",</v>
      </c>
      <c r="AZO15" t="str">
        <f t="shared" si="96"/>
        <v>"pn":"CR0603FX1473ELF",</v>
      </c>
      <c r="AZP15" t="str">
        <f t="shared" si="96"/>
        <v>"pn":"10106130-E008001LF",</v>
      </c>
      <c r="AZQ15" t="str">
        <f t="shared" si="96"/>
        <v>"pn":"6450851-1",</v>
      </c>
      <c r="AZR15" t="str">
        <f t="shared" si="96"/>
        <v>"pn":"C14M40",</v>
      </c>
      <c r="AZS15" t="str">
        <f t="shared" si="96"/>
        <v>"pn":"14040",</v>
      </c>
      <c r="AZT15" t="str">
        <f t="shared" si="96"/>
        <v>"pn":"224962-000£L",</v>
      </c>
      <c r="AZU15" t="str">
        <f t="shared" si="96"/>
        <v>"pn":"LVR016S",</v>
      </c>
      <c r="AZV15" t="str">
        <f t="shared" si="96"/>
        <v>"pn":"ZTL431AFTA",</v>
      </c>
      <c r="AZW15" t="str">
        <f t="shared" si="96"/>
        <v>"pn":"LM431SBCM3X",</v>
      </c>
      <c r="AZX15" t="str">
        <f t="shared" si="96"/>
        <v>"pn":"TS2431AILT",</v>
      </c>
      <c r="AZY15" t="str">
        <f t="shared" si="96"/>
        <v>"pn":"BAT54ALT1G",</v>
      </c>
      <c r="AZZ15" t="str">
        <f t="shared" si="96"/>
        <v>"pn":"CC1206KKX7R7BB106",</v>
      </c>
      <c r="BAA15" t="str">
        <f t="shared" si="96"/>
        <v>"pn":"CL31B106KOHNNNE",</v>
      </c>
      <c r="BAB15" t="str">
        <f t="shared" si="96"/>
        <v>"pn":"CGA5L1X7R1C106K160AC",</v>
      </c>
      <c r="BAC15" t="str">
        <f t="shared" si="96"/>
        <v>"pn":"1206B106K160LT",</v>
      </c>
      <c r="BAD15" t="str">
        <f t="shared" si="96"/>
        <v>"pn":"DSEC30-06B",</v>
      </c>
      <c r="BAE15" t="str">
        <f t="shared" si="96"/>
        <v>"pn":"STTH30R06CW",</v>
      </c>
      <c r="BAF15" t="str">
        <f t="shared" si="96"/>
        <v>"pn":"B32023A3224M",</v>
      </c>
      <c r="BAG15" t="str">
        <f t="shared" si="96"/>
        <v>"pn":"B32023A3224M000",</v>
      </c>
      <c r="BAH15" t="str">
        <f t="shared" si="96"/>
        <v>"pn":"C43Q1224M9SC000",</v>
      </c>
      <c r="BAI15" t="str">
        <f t="shared" si="96"/>
        <v>"pn":"C43Q1224M9S000",</v>
      </c>
      <c r="BAJ15" t="str">
        <f t="shared" si="96"/>
        <v>"pn":"2N7002K-T1-E3",</v>
      </c>
      <c r="BAK15" t="str">
        <f t="shared" si="96"/>
        <v>"pn":"2N7002-7-F",</v>
      </c>
      <c r="BAL15" t="str">
        <f t="shared" si="96"/>
        <v>"pn":"RC0603FR-071K2L",</v>
      </c>
      <c r="BAM15" t="str">
        <f t="shared" si="96"/>
        <v>"pn":"UHE1E471MPD",</v>
      </c>
      <c r="BAN15" t="str">
        <f t="shared" si="96"/>
        <v>"pn":"EKY-250E 471MH20D",</v>
      </c>
      <c r="BAO15" t="str">
        <f t="shared" si="96"/>
        <v>"pn":"25YXH470MEFCT78X20",</v>
      </c>
      <c r="BAP15" t="str">
        <f t="shared" si="96"/>
        <v>"pn":"FKP1T003304B00KSSD",</v>
      </c>
      <c r="BAQ15" t="str">
        <f t="shared" si="96"/>
        <v>"pn":"150080GS75000",</v>
      </c>
      <c r="BAR15" t="str">
        <f t="shared" si="96"/>
        <v>"pn":"CC0402KRX7R7BB104",</v>
      </c>
      <c r="BAS15" t="str">
        <f t="shared" si="96"/>
        <v>"pn":"XRCGB32M000F1H19R0",</v>
      </c>
      <c r="BAT15" t="str">
        <f t="shared" si="96"/>
        <v>"pn":"XRCGB32M000F1SBAR0",</v>
      </c>
      <c r="BAU15" t="str">
        <f t="shared" si="96"/>
        <v>"pn":"XRCGB32M000F1S1AR0",</v>
      </c>
      <c r="BAV15" t="str">
        <f t="shared" si="96"/>
        <v>"pn":"0603WAF1801T5E",</v>
      </c>
      <c r="BAW15" t="str">
        <f t="shared" si="96"/>
        <v>"pn":"85513-5114",</v>
      </c>
      <c r="BAX15" t="str">
        <f t="shared" si="96"/>
        <v>"pn":"HF152FD/12-1HST",</v>
      </c>
      <c r="BAY15" t="str">
        <f t="shared" si="96"/>
        <v>"pn":"G5LE -1A-4- ASI-CF-36-E-S",</v>
      </c>
      <c r="BAZ15" t="str">
        <f t="shared" si="96"/>
        <v>"pn":"AZ943-1AH-12DE",</v>
      </c>
      <c r="BBA15" t="str">
        <f t="shared" si="96"/>
        <v>"pn":"CH-15X50-48",</v>
      </c>
      <c r="BBB15" t="str">
        <f t="shared" si="96"/>
        <v>"pn":"CH-15X50-48 RICHCO",</v>
      </c>
      <c r="BBC15" t="str">
        <f t="shared" si="96"/>
        <v>"pn":"CH15X50-48",</v>
      </c>
      <c r="BBD15" t="str">
        <f t="shared" si="96"/>
        <v>"pn":"19-217/GHC-YN1P2B18",</v>
      </c>
      <c r="BBE15" t="str">
        <f t="shared" si="96"/>
        <v>"pn":"19-217/GHC-YN1P2B18X/3T",</v>
      </c>
      <c r="BBF15" t="str">
        <f t="shared" si="96"/>
        <v>"pn":"19-217/GHC-YN1P2B18X/6T",</v>
      </c>
      <c r="BBG15" t="str">
        <f t="shared" si="96"/>
        <v>"pn":"KPHM-1608CGCK",</v>
      </c>
      <c r="BBH15" t="str">
        <f t="shared" si="96"/>
        <v>"pn":"WR12X820JTL",</v>
      </c>
      <c r="BBI15" t="str">
        <f t="shared" si="96"/>
        <v>"pn":"RMCF0805FT8K25",</v>
      </c>
      <c r="BBJ15" t="str">
        <f t="shared" si="96"/>
        <v>"pn":"DZT2222A-13",</v>
      </c>
      <c r="BBK15" t="str">
        <f t="shared" si="96"/>
        <v>"pn":"429-25130120002",</v>
      </c>
      <c r="BBL15" t="str">
        <f t="shared" si="96"/>
        <v>"pn":"SMAJ5.0A",</v>
      </c>
      <c r="BBM15" t="str">
        <f t="shared" si="96"/>
        <v>"pn":"SMAJ5.0A-E3/61",</v>
      </c>
      <c r="BBN15" t="str">
        <f t="shared" si="96"/>
        <v>"pn":"EKXJ451ELL820MU50S",</v>
      </c>
      <c r="BBO15" t="str">
        <f t="shared" si="96"/>
        <v>"pn":"1N4148WS-E3",</v>
      </c>
      <c r="BBP15" t="str">
        <f t="shared" si="96"/>
        <v>"pn":"1N4148WS-7-F",</v>
      </c>
      <c r="BBQ15" t="str">
        <f t="shared" si="96"/>
        <v>"pn":"1N4148WS",</v>
      </c>
      <c r="BBR15" t="str">
        <f t="shared" ref="BBR15:BEC15" si="97">_xlfn.CONCAT("""",$L$9,"""",":","""",BBR9,"""",",")</f>
        <v>"pn":"1N4148WS",</v>
      </c>
      <c r="BBS15" t="str">
        <f t="shared" si="97"/>
        <v>"pn":"GRT1555C1H331JA02D",</v>
      </c>
      <c r="BBT15" t="str">
        <f t="shared" si="97"/>
        <v>"pn":"BAV70LT1",</v>
      </c>
      <c r="BBU15" t="str">
        <f t="shared" si="97"/>
        <v>"pn":"BAV70LT1G",</v>
      </c>
      <c r="BBV15" t="str">
        <f t="shared" si="97"/>
        <v>"pn":"V385LA20AP",</v>
      </c>
      <c r="BBW15" t="str">
        <f t="shared" si="97"/>
        <v>"pn":"MOV-14D621K",</v>
      </c>
      <c r="BBX15" t="str">
        <f t="shared" si="97"/>
        <v>"pn":"16YXJ220M6.3X11",</v>
      </c>
      <c r="BBY15" t="str">
        <f t="shared" si="97"/>
        <v>"pn":"ERJ1CM221E11OT",</v>
      </c>
      <c r="BBZ15" t="str">
        <f t="shared" si="97"/>
        <v>"pn":"RC0603JR-071KL",</v>
      </c>
      <c r="BCA15" t="str">
        <f t="shared" si="97"/>
        <v>"pn":"CR0603-JW-102ELF",</v>
      </c>
      <c r="BCB15" t="str">
        <f t="shared" si="97"/>
        <v>"pn":"CC0805KKX7R9BB105",</v>
      </c>
      <c r="BCC15" t="str">
        <f t="shared" si="97"/>
        <v>"pn":"UMK212B7105KG-T",</v>
      </c>
      <c r="BCD15" t="str">
        <f t="shared" si="97"/>
        <v>"pn":"C2012X7R1H105K085AC",</v>
      </c>
      <c r="BCE15" t="str">
        <f t="shared" si="97"/>
        <v>"pn":"RC0603FR-078K2L",</v>
      </c>
      <c r="BCF15" t="str">
        <f t="shared" si="97"/>
        <v>"pn":"B45196H3106M10(Õ)",</v>
      </c>
      <c r="BCG15" t="str">
        <f t="shared" si="97"/>
        <v>"pn":"T491A106M016ZT",</v>
      </c>
      <c r="BCH15" t="str">
        <f t="shared" si="97"/>
        <v>"pn":"293D106X0016A2(*)E3",</v>
      </c>
      <c r="BCI15" t="str">
        <f t="shared" si="97"/>
        <v>"pn":"TAJA106M016(*)NJ",</v>
      </c>
      <c r="BCJ15" t="str">
        <f t="shared" si="97"/>
        <v>"pn":"TAJA106M016RNJ",</v>
      </c>
      <c r="BCK15" t="str">
        <f t="shared" si="97"/>
        <v>"pn":"RC0603JR-076R8L",</v>
      </c>
      <c r="BCL15" t="str">
        <f t="shared" si="97"/>
        <v>"pn":"RC0603FR-0768KL",</v>
      </c>
      <c r="BCM15" t="str">
        <f t="shared" si="97"/>
        <v>"pn":"C1206C475K5RACAUTO",</v>
      </c>
      <c r="BCN15" t="str">
        <f t="shared" si="97"/>
        <v>"pn":"CL31B475KBHNNNE",</v>
      </c>
      <c r="BCO15" t="str">
        <f t="shared" si="97"/>
        <v>"pn":"KME16VB47M",</v>
      </c>
      <c r="BCP15" t="str">
        <f t="shared" si="97"/>
        <v>"pn":"16YXF47M5X11",</v>
      </c>
      <c r="BCQ15" t="str">
        <f t="shared" si="97"/>
        <v>"pn":"ERM1CM470D11OT",</v>
      </c>
      <c r="BCR15" t="str">
        <f t="shared" si="97"/>
        <v>"pn":"B37650-K9226K0",</v>
      </c>
      <c r="BCS15" t="str">
        <f t="shared" si="97"/>
        <v>"pn":"C1210C226K4PAC7800",</v>
      </c>
      <c r="BCT15" t="str">
        <f t="shared" si="97"/>
        <v>"pn":"GRM32ER61C226KE20",</v>
      </c>
      <c r="BCU15" t="str">
        <f t="shared" si="97"/>
        <v>"pn":"EMK325BJ226KM-P",</v>
      </c>
      <c r="BCV15" t="str">
        <f t="shared" si="97"/>
        <v>"pn":"EMK325BJ226KM-T",</v>
      </c>
      <c r="BCW15" t="str">
        <f t="shared" si="97"/>
        <v>"pn":"CM32X5R226K16A",</v>
      </c>
      <c r="BCX15" t="str">
        <f t="shared" si="97"/>
        <v>"pn":"RC0603FR-07200KL",</v>
      </c>
      <c r="BCY15" t="str">
        <f t="shared" si="97"/>
        <v>"pn":"CRCW0603200KFKEA",</v>
      </c>
      <c r="BCZ15" t="str">
        <f t="shared" si="97"/>
        <v>"pn":"C1808C222MFRACTU",</v>
      </c>
      <c r="BDA15" t="str">
        <f t="shared" si="97"/>
        <v>"pn":"1808SC222KAT2A",</v>
      </c>
      <c r="BDB15" t="str">
        <f t="shared" si="97"/>
        <v>"pn":"1808SC222MAT2A",</v>
      </c>
      <c r="BDC15" t="str">
        <f t="shared" si="97"/>
        <v>"pn":"RC0603JR-0751KL",</v>
      </c>
      <c r="BDD15" t="str">
        <f t="shared" si="97"/>
        <v>"pn":"RC0603JR-075K1L",</v>
      </c>
      <c r="BDE15" t="str">
        <f t="shared" si="97"/>
        <v>"pn":"RC0603FR-076K19L",</v>
      </c>
      <c r="BDF15" t="str">
        <f t="shared" si="97"/>
        <v>"pn":"RC0603JR-070RL",</v>
      </c>
      <c r="BDG15" t="str">
        <f t="shared" si="97"/>
        <v>"pn":"RC0603FR-07100KL",</v>
      </c>
      <c r="BDH15" t="str">
        <f t="shared" si="97"/>
        <v>"pn":"C1210J105K5RACTU",</v>
      </c>
      <c r="BDI15" t="str">
        <f t="shared" si="97"/>
        <v>"pn":"C1210J105K5RAC7800",</v>
      </c>
      <c r="BDJ15" t="str">
        <f t="shared" si="97"/>
        <v>"pn":"CP2102-GMR",</v>
      </c>
      <c r="BDK15" t="str">
        <f t="shared" si="97"/>
        <v>"pn":"CRA2512-FZ-R010ELF",</v>
      </c>
      <c r="BDL15" t="str">
        <f t="shared" si="97"/>
        <v>"pn":"TL3AR01F",</v>
      </c>
      <c r="BDM15" t="str">
        <f t="shared" si="97"/>
        <v>"pn":"R60EF4100506AK",</v>
      </c>
      <c r="BDN15" t="str">
        <f t="shared" si="97"/>
        <v>"pn":"60EF4100506AK",</v>
      </c>
      <c r="BDO15" t="str">
        <f t="shared" si="97"/>
        <v>"pn":"MKT1820510015M",</v>
      </c>
      <c r="BDP15" t="str">
        <f t="shared" si="97"/>
        <v>"pn":"B32521C1105J",</v>
      </c>
      <c r="BDQ15" t="str">
        <f t="shared" si="97"/>
        <v>"pn":"PA2512FKE7W0R02E",</v>
      </c>
      <c r="BDR15" t="str">
        <f t="shared" si="97"/>
        <v>"pn":"5103308-5",</v>
      </c>
      <c r="BDS15" t="str">
        <f t="shared" si="97"/>
        <v>"pn":"IRFL110TRPBF",</v>
      </c>
      <c r="BDT15" t="str">
        <f t="shared" si="97"/>
        <v>"pn":"B32913B5224K",</v>
      </c>
      <c r="BDU15" t="str">
        <f t="shared" si="97"/>
        <v>"pn":"CL31A226KAHNNNE",</v>
      </c>
      <c r="BDV15" t="str">
        <f t="shared" si="97"/>
        <v>"pn":"ECQUAAF104M",</v>
      </c>
      <c r="BDW15" t="str">
        <f t="shared" si="97"/>
        <v>"pn":"B32922C3104M",</v>
      </c>
      <c r="BDX15" t="str">
        <f t="shared" si="97"/>
        <v>"pn":"B32932A3104M",</v>
      </c>
      <c r="BDY15" t="str">
        <f t="shared" si="97"/>
        <v>"pn":"C42Q2104K6WA605",</v>
      </c>
      <c r="BDZ15" t="str">
        <f t="shared" si="97"/>
        <v>"pn":"MKX2AW31004B00",</v>
      </c>
      <c r="BEA15" t="str">
        <f t="shared" si="97"/>
        <v>"pn":"MKX2AW31004B00KSSD",</v>
      </c>
      <c r="BEB15" t="str">
        <f t="shared" si="97"/>
        <v>"pn":"PR01000101009J",</v>
      </c>
      <c r="BEC15" t="str">
        <f t="shared" si="97"/>
        <v>"pn":"PR01000101009JA100",</v>
      </c>
      <c r="BED15" t="str">
        <f t="shared" ref="BED15:BGO15" si="98">_xlfn.CONCAT("""",$L$9,"""",":","""",BED9,"""",",")</f>
        <v>"pn":"KRYTOX : GPL 227",</v>
      </c>
      <c r="BEE15" t="str">
        <f t="shared" si="98"/>
        <v>"pn":"KRYTOX : GPL 227 (1KG)",</v>
      </c>
      <c r="BEF15" t="str">
        <f t="shared" si="98"/>
        <v>"pn":"KRYTOX : GPL 227 500 G",</v>
      </c>
      <c r="BEG15" t="str">
        <f t="shared" si="98"/>
        <v>"pn":"5KP58CA",</v>
      </c>
      <c r="BEH15" t="str">
        <f t="shared" si="98"/>
        <v>"pn":"BZW50-56B",</v>
      </c>
      <c r="BEI15" t="str">
        <f t="shared" si="98"/>
        <v>"pn":"5KP58CA",</v>
      </c>
      <c r="BEJ15" t="str">
        <f t="shared" si="98"/>
        <v>"pn":"GCM1885C1H101JA16D",</v>
      </c>
      <c r="BEK15" t="str">
        <f t="shared" si="98"/>
        <v>"pn":"06035A101J4T2A",</v>
      </c>
      <c r="BEL15" t="str">
        <f t="shared" si="98"/>
        <v>"pn":"B32021A3102M",</v>
      </c>
      <c r="BEM15" t="str">
        <f t="shared" si="98"/>
        <v>"pn":"B32021A3102M000",</v>
      </c>
      <c r="BEN15" t="str">
        <f t="shared" si="98"/>
        <v>"pn":"B32021A3102M189",</v>
      </c>
      <c r="BEO15" t="str">
        <f t="shared" si="98"/>
        <v>"pn":"08055C222KAT2A",</v>
      </c>
      <c r="BEP15" t="str">
        <f t="shared" si="98"/>
        <v>"pn":"FDN337N",</v>
      </c>
      <c r="BEQ15" t="str">
        <f t="shared" si="98"/>
        <v>"pn":"FDN337N",</v>
      </c>
      <c r="BER15" t="str">
        <f t="shared" si="98"/>
        <v>"pn":"36501E12NJTDG",</v>
      </c>
      <c r="BES15" t="str">
        <f t="shared" si="98"/>
        <v>"pn":"L-07W12NGV4T",</v>
      </c>
      <c r="BET15" t="str">
        <f t="shared" si="98"/>
        <v>"pn":"L-07W12NJV4T",</v>
      </c>
      <c r="BEU15" t="str">
        <f t="shared" si="98"/>
        <v>"pn":"L-07W39NJV4T",</v>
      </c>
      <c r="BEV15" t="str">
        <f t="shared" si="98"/>
        <v>"pn":"SI2343CDS-T1-GE3",</v>
      </c>
      <c r="BEW15" t="str">
        <f t="shared" si="98"/>
        <v>"pn":"V680LA100BP",</v>
      </c>
      <c r="BEX15" t="str">
        <f t="shared" si="98"/>
        <v>"pn":"SCM1212BTA",</v>
      </c>
      <c r="BEY15" t="str">
        <f t="shared" si="98"/>
        <v>"pn":"12065C104KAT2A",</v>
      </c>
      <c r="BEZ15" t="str">
        <f t="shared" si="98"/>
        <v>"pn":"CRCW040275R0FKED",</v>
      </c>
      <c r="BFA15" t="str">
        <f t="shared" si="98"/>
        <v>"pn":"CQ02WGF750JTCE",</v>
      </c>
      <c r="BFB15" t="str">
        <f t="shared" si="98"/>
        <v>"pn":"RMCF0805FT22K1",</v>
      </c>
      <c r="BFC15" t="str">
        <f t="shared" si="98"/>
        <v>"pn":"DMG1016UDW-7",</v>
      </c>
      <c r="BFD15" t="str">
        <f t="shared" si="98"/>
        <v>"pn":"CL21A226MAQNNNE",</v>
      </c>
      <c r="BFE15" t="str">
        <f t="shared" si="98"/>
        <v>"pn":"CL21A226MAYNNNE",</v>
      </c>
      <c r="BFF15" t="str">
        <f t="shared" si="98"/>
        <v>"pn":"3-2176058-7",</v>
      </c>
      <c r="BFG15" t="str">
        <f t="shared" si="98"/>
        <v>"pn":"RLP73K3AR33JTE",</v>
      </c>
      <c r="BFH15" t="str">
        <f t="shared" si="98"/>
        <v>"pn":"OPA335AIDBVR",</v>
      </c>
      <c r="BFI15" t="str">
        <f t="shared" si="98"/>
        <v>"pn":"OPA335AIDBVT",</v>
      </c>
      <c r="BFJ15" t="str">
        <f t="shared" si="98"/>
        <v>"pn":"AD8628ARTZ-REEL7",</v>
      </c>
      <c r="BFK15" t="str">
        <f t="shared" si="98"/>
        <v>"pn":"LTC2050HS5#TRMPBF",</v>
      </c>
      <c r="BFL15" t="str">
        <f t="shared" si="98"/>
        <v>"pn":"RHEF450",</v>
      </c>
      <c r="BFM15" t="str">
        <f t="shared" si="98"/>
        <v>"pn":"RC1206FR-073K3L",</v>
      </c>
      <c r="BFN15" t="str">
        <f t="shared" si="98"/>
        <v>"pn":"WR12X3301FTL",</v>
      </c>
      <c r="BFO15" t="str">
        <f t="shared" si="98"/>
        <v>"pn":"B32774D1305K000",</v>
      </c>
      <c r="BFP15" t="str">
        <f t="shared" si="98"/>
        <v>"pn":"GL0008824-0000 REV 01",</v>
      </c>
      <c r="BFQ15" t="str">
        <f t="shared" si="98"/>
        <v>"pn":"GL0008824-0000 REV 02",</v>
      </c>
      <c r="BFR15" t="str">
        <f t="shared" si="98"/>
        <v>"pn":"GL0008824-0000 REV 01",</v>
      </c>
      <c r="BFS15" t="str">
        <f t="shared" si="98"/>
        <v>"pn":"VLMG3100-GS08",</v>
      </c>
      <c r="BFT15" t="str">
        <f t="shared" si="98"/>
        <v>"pn":"TMS320F28032PAGT",</v>
      </c>
      <c r="BFU15" t="str">
        <f t="shared" si="98"/>
        <v>"pn":"REF3030AIDBZ",</v>
      </c>
      <c r="BFV15" t="str">
        <f t="shared" si="98"/>
        <v>"pn":"REF3030AIDBZR",</v>
      </c>
      <c r="BFW15" t="str">
        <f t="shared" si="98"/>
        <v>"pn":"REF3030AIDBZT",</v>
      </c>
      <c r="BFX15" t="str">
        <f t="shared" si="98"/>
        <v>"pn":"MAX6010AEUR+",</v>
      </c>
      <c r="BFY15" t="str">
        <f t="shared" si="98"/>
        <v>"pn":"ESD5Z5.0T5G",</v>
      </c>
      <c r="BFZ15" t="str">
        <f t="shared" si="98"/>
        <v>"pn":"VY1472M63Y5UG63V0",</v>
      </c>
      <c r="BGA15" t="str">
        <f t="shared" si="98"/>
        <v>"pn":"MP2451DT-LF-Z",</v>
      </c>
      <c r="BGB15" t="str">
        <f t="shared" si="98"/>
        <v>"pn":"MP2451DT-LF-Z",</v>
      </c>
      <c r="BGC15" t="str">
        <f t="shared" si="98"/>
        <v>"pn":"DSSK60-02A",</v>
      </c>
      <c r="BGD15" t="str">
        <f t="shared" si="98"/>
        <v>"pn":"STPS60SM200CW",</v>
      </c>
      <c r="BGE15" t="str">
        <f t="shared" si="98"/>
        <v>"pn":"APT60S20B2CTG",</v>
      </c>
      <c r="BGF15" t="str">
        <f t="shared" si="98"/>
        <v>"pn":"500R07S8R2CV4T",</v>
      </c>
      <c r="BGG15" t="str">
        <f t="shared" si="98"/>
        <v>"pn":"EEE-FK1E470P",</v>
      </c>
      <c r="BGH15" t="str">
        <f t="shared" si="98"/>
        <v>"pn":"CRCW2512150KJNEG",</v>
      </c>
      <c r="BGI15" t="str">
        <f t="shared" si="98"/>
        <v>"pn":"MCHVR12JTET1503",</v>
      </c>
      <c r="BGJ15" t="str">
        <f t="shared" si="98"/>
        <v>"pn":"12101C475K4Z2A",</v>
      </c>
      <c r="BGK15" t="str">
        <f t="shared" si="98"/>
        <v>"pn":"CNA6P1X7R2A475K250AE",</v>
      </c>
      <c r="BGL15" t="str">
        <f t="shared" si="98"/>
        <v>"pn":"UDZ18B",</v>
      </c>
      <c r="BGM15" t="str">
        <f t="shared" si="98"/>
        <v>"pn":"PDZ18B,115",</v>
      </c>
      <c r="BGN15" t="str">
        <f t="shared" si="98"/>
        <v>"pn":"CL21B102KCANNNC",</v>
      </c>
      <c r="BGO15" t="str">
        <f t="shared" si="98"/>
        <v>"pn":"CC0603KRX7R9BB104",</v>
      </c>
      <c r="BGP15" t="str">
        <f t="shared" ref="BGP15:BHC15" si="99">_xlfn.CONCAT("""",$L$9,"""",":","""",BGP9,"""",",")</f>
        <v>"pn":"C0603X104K5RACXX",</v>
      </c>
      <c r="BGQ15" t="str">
        <f t="shared" si="99"/>
        <v>"pn":"06035C104KXXXX",</v>
      </c>
      <c r="BGR15" t="str">
        <f t="shared" si="99"/>
        <v>"pn":"GRM1885C1H101JA01D",</v>
      </c>
      <c r="BGS15" t="str">
        <f t="shared" si="99"/>
        <v>"pn":"SR0805JR-7W4R7L",</v>
      </c>
      <c r="BGT15" t="str">
        <f t="shared" si="99"/>
        <v>"pn":"RK73B2ATTD4R7J",</v>
      </c>
      <c r="BGU15" t="str">
        <f t="shared" si="99"/>
        <v>"pn":"HP05W3J047JT5E",</v>
      </c>
      <c r="BGV15" t="str">
        <f t="shared" si="99"/>
        <v>"pn":"B0520LW-7-F",</v>
      </c>
      <c r="BGW15" t="str">
        <f t="shared" si="99"/>
        <v>"pn":"MBR0520L",</v>
      </c>
      <c r="BGX15" t="str">
        <f t="shared" si="99"/>
        <v>"pn":"MBR0520LT1G",</v>
      </c>
      <c r="BGY15" t="str">
        <f t="shared" si="99"/>
        <v>"pn":"C3225C0G3A123JT000N",</v>
      </c>
      <c r="BGZ15" t="str">
        <f t="shared" si="99"/>
        <v>"pn":"C3225C0G3A123J250AC",</v>
      </c>
      <c r="BHA15" t="str">
        <f t="shared" si="99"/>
        <v>"pn":"NSPG510BS",</v>
      </c>
      <c r="BHB15" t="str">
        <f t="shared" si="99"/>
        <v>"pn":"TRW (F)(L)-007/010 0.07MM",</v>
      </c>
      <c r="BHC15" t="str">
        <f t="shared" si="99"/>
        <v>"pn":"RK73B2ATTD472J",</v>
      </c>
    </row>
    <row r="16" spans="5:1563" x14ac:dyDescent="0.25">
      <c r="E16" s="6" t="s">
        <v>2486</v>
      </c>
      <c r="F16" t="s">
        <v>22</v>
      </c>
      <c r="G16" t="s">
        <v>23</v>
      </c>
      <c r="H16" t="s">
        <v>24</v>
      </c>
      <c r="I16">
        <v>105272</v>
      </c>
      <c r="M16" t="str">
        <f>_xlfn.CONCAT("""",$L$10,"""",":",M10)</f>
        <v>"qty":358146</v>
      </c>
      <c r="N16" t="str">
        <f t="shared" ref="N16:BY16" si="100">_xlfn.CONCAT("""",$L$10,"""",":",N10)</f>
        <v>"qty":358146</v>
      </c>
      <c r="O16" t="str">
        <f t="shared" si="100"/>
        <v>"qty":268614</v>
      </c>
      <c r="P16" t="str">
        <f t="shared" si="100"/>
        <v>"qty":268614</v>
      </c>
      <c r="Q16" t="str">
        <f t="shared" si="100"/>
        <v>"qty":193847</v>
      </c>
      <c r="R16" t="str">
        <f t="shared" si="100"/>
        <v>"qty":193847</v>
      </c>
      <c r="S16" t="str">
        <f t="shared" si="100"/>
        <v>"qty":168926</v>
      </c>
      <c r="T16" t="str">
        <f t="shared" si="100"/>
        <v>"qty":168926</v>
      </c>
      <c r="U16" t="str">
        <f t="shared" si="100"/>
        <v>"qty":152560</v>
      </c>
      <c r="V16" t="str">
        <f t="shared" si="100"/>
        <v>"qty":128362</v>
      </c>
      <c r="W16" t="str">
        <f t="shared" si="100"/>
        <v>"qty":105272</v>
      </c>
      <c r="X16" t="str">
        <f t="shared" si="100"/>
        <v>"qty":105272</v>
      </c>
      <c r="Y16" t="str">
        <f t="shared" si="100"/>
        <v>"qty":96451</v>
      </c>
      <c r="Z16" t="str">
        <f t="shared" si="100"/>
        <v>"qty":96451</v>
      </c>
      <c r="AA16" t="str">
        <f t="shared" si="100"/>
        <v>"qty":96451</v>
      </c>
      <c r="AB16" t="str">
        <f t="shared" si="100"/>
        <v>"qty":82594</v>
      </c>
      <c r="AC16" t="str">
        <f t="shared" si="100"/>
        <v>"qty":82594</v>
      </c>
      <c r="AD16" t="str">
        <f t="shared" si="100"/>
        <v>"qty":67975</v>
      </c>
      <c r="AE16" t="str">
        <f t="shared" si="100"/>
        <v>"qty":67975</v>
      </c>
      <c r="AF16" t="str">
        <f t="shared" si="100"/>
        <v>"qty":65424</v>
      </c>
      <c r="AG16" t="str">
        <f t="shared" si="100"/>
        <v>"qty":65424</v>
      </c>
      <c r="AH16" t="str">
        <f t="shared" si="100"/>
        <v>"qty":65424</v>
      </c>
      <c r="AI16" t="str">
        <f t="shared" si="100"/>
        <v>"qty":65424</v>
      </c>
      <c r="AJ16" t="str">
        <f t="shared" si="100"/>
        <v>"qty":65424</v>
      </c>
      <c r="AK16" t="str">
        <f t="shared" si="100"/>
        <v>"qty":64154</v>
      </c>
      <c r="AL16" t="str">
        <f t="shared" si="100"/>
        <v>"qty":63893</v>
      </c>
      <c r="AM16" t="str">
        <f t="shared" si="100"/>
        <v>"qty":63546</v>
      </c>
      <c r="AN16" t="str">
        <f t="shared" si="100"/>
        <v>"qty":63546</v>
      </c>
      <c r="AO16" t="str">
        <f t="shared" si="100"/>
        <v>"qty":63546</v>
      </c>
      <c r="AP16" t="str">
        <f t="shared" si="100"/>
        <v>"qty":63546</v>
      </c>
      <c r="AQ16" t="str">
        <f t="shared" si="100"/>
        <v>"qty":63546</v>
      </c>
      <c r="AR16" t="str">
        <f t="shared" si="100"/>
        <v>"qty":61895</v>
      </c>
      <c r="AS16" t="str">
        <f t="shared" si="100"/>
        <v>"qty":61895</v>
      </c>
      <c r="AT16" t="str">
        <f t="shared" si="100"/>
        <v>"qty":61895</v>
      </c>
      <c r="AU16" t="str">
        <f t="shared" si="100"/>
        <v>"qty":61128</v>
      </c>
      <c r="AV16" t="str">
        <f t="shared" si="100"/>
        <v>"qty":61128</v>
      </c>
      <c r="AW16" t="str">
        <f t="shared" si="100"/>
        <v>"qty":61128</v>
      </c>
      <c r="AX16" t="str">
        <f t="shared" si="100"/>
        <v>"qty":61128</v>
      </c>
      <c r="AY16" t="str">
        <f t="shared" si="100"/>
        <v>"qty":60773</v>
      </c>
      <c r="AZ16" t="str">
        <f t="shared" si="100"/>
        <v>"qty":60002</v>
      </c>
      <c r="BA16" t="str">
        <f t="shared" si="100"/>
        <v>"qty":60002</v>
      </c>
      <c r="BB16" t="str">
        <f t="shared" si="100"/>
        <v>"qty":59154</v>
      </c>
      <c r="BC16" t="str">
        <f t="shared" si="100"/>
        <v>"qty":59154</v>
      </c>
      <c r="BD16" t="str">
        <f t="shared" si="100"/>
        <v>"qty":59154</v>
      </c>
      <c r="BE16" t="str">
        <f t="shared" si="100"/>
        <v>"qty":50308</v>
      </c>
      <c r="BF16" t="str">
        <f t="shared" si="100"/>
        <v>"qty":50308</v>
      </c>
      <c r="BG16" t="str">
        <f t="shared" si="100"/>
        <v>"qty":49527</v>
      </c>
      <c r="BH16" t="str">
        <f t="shared" si="100"/>
        <v>"qty":49527</v>
      </c>
      <c r="BI16" t="str">
        <f t="shared" si="100"/>
        <v>"qty":49527</v>
      </c>
      <c r="BJ16" t="str">
        <f t="shared" si="100"/>
        <v>"qty":49527</v>
      </c>
      <c r="BK16" t="str">
        <f t="shared" si="100"/>
        <v>"qty":49527</v>
      </c>
      <c r="BL16" t="str">
        <f t="shared" si="100"/>
        <v>"qty":49527</v>
      </c>
      <c r="BM16" t="str">
        <f t="shared" si="100"/>
        <v>"qty":49527</v>
      </c>
      <c r="BN16" t="str">
        <f t="shared" si="100"/>
        <v>"qty":48308</v>
      </c>
      <c r="BO16" t="str">
        <f t="shared" si="100"/>
        <v>"qty":48293</v>
      </c>
      <c r="BP16" t="str">
        <f t="shared" si="100"/>
        <v>"qty":46936</v>
      </c>
      <c r="BQ16" t="str">
        <f t="shared" si="100"/>
        <v>"qty":46936</v>
      </c>
      <c r="BR16" t="str">
        <f t="shared" si="100"/>
        <v>"qty":46936</v>
      </c>
      <c r="BS16" t="str">
        <f t="shared" si="100"/>
        <v>"qty":46936</v>
      </c>
      <c r="BT16" t="str">
        <f t="shared" si="100"/>
        <v>"qty":46936</v>
      </c>
      <c r="BU16" t="str">
        <f t="shared" si="100"/>
        <v>"qty":46936</v>
      </c>
      <c r="BV16" t="str">
        <f t="shared" si="100"/>
        <v>"qty":45462</v>
      </c>
      <c r="BW16" t="str">
        <f t="shared" si="100"/>
        <v>"qty":43617</v>
      </c>
      <c r="BX16" t="str">
        <f t="shared" si="100"/>
        <v>"qty":43617</v>
      </c>
      <c r="BY16" t="str">
        <f t="shared" si="100"/>
        <v>"qty":43617</v>
      </c>
      <c r="BZ16" t="str">
        <f t="shared" ref="BZ16:EK16" si="101">_xlfn.CONCAT("""",$L$10,"""",":",BZ10)</f>
        <v>"qty":43022</v>
      </c>
      <c r="CA16" t="str">
        <f t="shared" si="101"/>
        <v>"qty":43022</v>
      </c>
      <c r="CB16" t="str">
        <f t="shared" si="101"/>
        <v>"qty":43022</v>
      </c>
      <c r="CC16" t="str">
        <f t="shared" si="101"/>
        <v>"qty":43022</v>
      </c>
      <c r="CD16" t="str">
        <f t="shared" si="101"/>
        <v>"qty":43022</v>
      </c>
      <c r="CE16" t="str">
        <f t="shared" si="101"/>
        <v>"qty":43022</v>
      </c>
      <c r="CF16" t="str">
        <f t="shared" si="101"/>
        <v>"qty":43022</v>
      </c>
      <c r="CG16" t="str">
        <f t="shared" si="101"/>
        <v>"qty":40160</v>
      </c>
      <c r="CH16" t="str">
        <f t="shared" si="101"/>
        <v>"qty":40160</v>
      </c>
      <c r="CI16" t="str">
        <f t="shared" si="101"/>
        <v>"qty":40160</v>
      </c>
      <c r="CJ16" t="str">
        <f t="shared" si="101"/>
        <v>"qty":40160</v>
      </c>
      <c r="CK16" t="str">
        <f t="shared" si="101"/>
        <v>"qty":40037</v>
      </c>
      <c r="CL16" t="str">
        <f t="shared" si="101"/>
        <v>"qty":38652</v>
      </c>
      <c r="CM16" t="str">
        <f t="shared" si="101"/>
        <v>"qty":38652</v>
      </c>
      <c r="CN16" t="str">
        <f t="shared" si="101"/>
        <v>"qty":38652</v>
      </c>
      <c r="CO16" t="str">
        <f t="shared" si="101"/>
        <v>"qty":38652</v>
      </c>
      <c r="CP16" t="str">
        <f t="shared" si="101"/>
        <v>"qty":38652</v>
      </c>
      <c r="CQ16" t="str">
        <f t="shared" si="101"/>
        <v>"qty":38652</v>
      </c>
      <c r="CR16" t="str">
        <f t="shared" si="101"/>
        <v>"qty":38652</v>
      </c>
      <c r="CS16" t="str">
        <f t="shared" si="101"/>
        <v>"qty":38083</v>
      </c>
      <c r="CT16" t="str">
        <f t="shared" si="101"/>
        <v>"qty":35762</v>
      </c>
      <c r="CU16" t="str">
        <f t="shared" si="101"/>
        <v>"qty":35762</v>
      </c>
      <c r="CV16" t="str">
        <f t="shared" si="101"/>
        <v>"qty":35261</v>
      </c>
      <c r="CW16" t="str">
        <f t="shared" si="101"/>
        <v>"qty":35261</v>
      </c>
      <c r="CX16" t="str">
        <f t="shared" si="101"/>
        <v>"qty":34908</v>
      </c>
      <c r="CY16" t="str">
        <f t="shared" si="101"/>
        <v>"qty":34908</v>
      </c>
      <c r="CZ16" t="str">
        <f t="shared" si="101"/>
        <v>"qty":34908</v>
      </c>
      <c r="DA16" t="str">
        <f t="shared" si="101"/>
        <v>"qty":34659</v>
      </c>
      <c r="DB16" t="str">
        <f t="shared" si="101"/>
        <v>"qty":34659</v>
      </c>
      <c r="DC16" t="str">
        <f t="shared" si="101"/>
        <v>"qty":34659</v>
      </c>
      <c r="DD16" t="str">
        <f t="shared" si="101"/>
        <v>"qty":34659</v>
      </c>
      <c r="DE16" t="str">
        <f t="shared" si="101"/>
        <v>"qty":34659</v>
      </c>
      <c r="DF16" t="str">
        <f t="shared" si="101"/>
        <v>"qty":34659</v>
      </c>
      <c r="DG16" t="str">
        <f t="shared" si="101"/>
        <v>"qty":34659</v>
      </c>
      <c r="DH16" t="str">
        <f t="shared" si="101"/>
        <v>"qty":34308</v>
      </c>
      <c r="DI16" t="str">
        <f t="shared" si="101"/>
        <v>"qty":34276</v>
      </c>
      <c r="DJ16" t="str">
        <f t="shared" si="101"/>
        <v>"qty":34154</v>
      </c>
      <c r="DK16" t="str">
        <f t="shared" si="101"/>
        <v>"qty":33628</v>
      </c>
      <c r="DL16" t="str">
        <f t="shared" si="101"/>
        <v>"qty":33628</v>
      </c>
      <c r="DM16" t="str">
        <f t="shared" si="101"/>
        <v>"qty":33628</v>
      </c>
      <c r="DN16" t="str">
        <f t="shared" si="101"/>
        <v>"qty":33418</v>
      </c>
      <c r="DO16" t="str">
        <f t="shared" si="101"/>
        <v>"qty":33418</v>
      </c>
      <c r="DP16" t="str">
        <f t="shared" si="101"/>
        <v>"qty":33418</v>
      </c>
      <c r="DQ16" t="str">
        <f t="shared" si="101"/>
        <v>"qty":32683</v>
      </c>
      <c r="DR16" t="str">
        <f t="shared" si="101"/>
        <v>"qty":32683</v>
      </c>
      <c r="DS16" t="str">
        <f t="shared" si="101"/>
        <v>"qty":32683</v>
      </c>
      <c r="DT16" t="str">
        <f t="shared" si="101"/>
        <v>"qty":31714</v>
      </c>
      <c r="DU16" t="str">
        <f t="shared" si="101"/>
        <v>"qty":31714</v>
      </c>
      <c r="DV16" t="str">
        <f t="shared" si="101"/>
        <v>"qty":30693</v>
      </c>
      <c r="DW16" t="str">
        <f t="shared" si="101"/>
        <v>"qty":30308</v>
      </c>
      <c r="DX16" t="str">
        <f t="shared" si="101"/>
        <v>"qty":30308</v>
      </c>
      <c r="DY16" t="str">
        <f t="shared" si="101"/>
        <v>"qty":29486</v>
      </c>
      <c r="DZ16" t="str">
        <f t="shared" si="101"/>
        <v>"qty":29486</v>
      </c>
      <c r="EA16" t="str">
        <f t="shared" si="101"/>
        <v>"qty":29296</v>
      </c>
      <c r="EB16" t="str">
        <f t="shared" si="101"/>
        <v>"qty":29296</v>
      </c>
      <c r="EC16" t="str">
        <f t="shared" si="101"/>
        <v>"qty":29296</v>
      </c>
      <c r="ED16" t="str">
        <f t="shared" si="101"/>
        <v>"qty":29296</v>
      </c>
      <c r="EE16" t="str">
        <f t="shared" si="101"/>
        <v>"qty":29296</v>
      </c>
      <c r="EF16" t="str">
        <f t="shared" si="101"/>
        <v>"qty":28888</v>
      </c>
      <c r="EG16" t="str">
        <f t="shared" si="101"/>
        <v>"qty":28304</v>
      </c>
      <c r="EH16" t="str">
        <f t="shared" si="101"/>
        <v>"qty":28125</v>
      </c>
      <c r="EI16" t="str">
        <f t="shared" si="101"/>
        <v>"qty":28125</v>
      </c>
      <c r="EJ16" t="str">
        <f t="shared" si="101"/>
        <v>"qty":28072</v>
      </c>
      <c r="EK16" t="str">
        <f t="shared" si="101"/>
        <v>"qty":25945</v>
      </c>
      <c r="EL16" t="str">
        <f t="shared" ref="EL16:GW16" si="102">_xlfn.CONCAT("""",$L$10,"""",":",EL10)</f>
        <v>"qty":24473</v>
      </c>
      <c r="EM16" t="str">
        <f t="shared" si="102"/>
        <v>"qty":24473</v>
      </c>
      <c r="EN16" t="str">
        <f t="shared" si="102"/>
        <v>"qty":24183</v>
      </c>
      <c r="EO16" t="str">
        <f t="shared" si="102"/>
        <v>"qty":24183</v>
      </c>
      <c r="EP16" t="str">
        <f t="shared" si="102"/>
        <v>"qty":23751</v>
      </c>
      <c r="EQ16" t="str">
        <f t="shared" si="102"/>
        <v>"qty":22990</v>
      </c>
      <c r="ER16" t="str">
        <f t="shared" si="102"/>
        <v>"qty":22990</v>
      </c>
      <c r="ES16" t="str">
        <f t="shared" si="102"/>
        <v>"qty":22775</v>
      </c>
      <c r="ET16" t="str">
        <f t="shared" si="102"/>
        <v>"qty":22775</v>
      </c>
      <c r="EU16" t="str">
        <f t="shared" si="102"/>
        <v>"qty":22775</v>
      </c>
      <c r="EV16" t="str">
        <f t="shared" si="102"/>
        <v>"qty":22083</v>
      </c>
      <c r="EW16" t="str">
        <f t="shared" si="102"/>
        <v>"qty":22083</v>
      </c>
      <c r="EX16" t="str">
        <f t="shared" si="102"/>
        <v>"qty":22083</v>
      </c>
      <c r="EY16" t="str">
        <f t="shared" si="102"/>
        <v>"qty":22083</v>
      </c>
      <c r="EZ16" t="str">
        <f t="shared" si="102"/>
        <v>"qty":21790</v>
      </c>
      <c r="FA16" t="str">
        <f t="shared" si="102"/>
        <v>"qty":21459</v>
      </c>
      <c r="FB16" t="str">
        <f t="shared" si="102"/>
        <v>"qty":21103</v>
      </c>
      <c r="FC16" t="str">
        <f t="shared" si="102"/>
        <v>"qty":20892</v>
      </c>
      <c r="FD16" t="str">
        <f t="shared" si="102"/>
        <v>"qty":20797</v>
      </c>
      <c r="FE16" t="str">
        <f t="shared" si="102"/>
        <v>"qty":20797</v>
      </c>
      <c r="FF16" t="str">
        <f t="shared" si="102"/>
        <v>"qty":20778</v>
      </c>
      <c r="FG16" t="str">
        <f t="shared" si="102"/>
        <v>"qty":20777</v>
      </c>
      <c r="FH16" t="str">
        <f t="shared" si="102"/>
        <v>"qty":20777</v>
      </c>
      <c r="FI16" t="str">
        <f t="shared" si="102"/>
        <v>"qty":20401</v>
      </c>
      <c r="FJ16" t="str">
        <f t="shared" si="102"/>
        <v>"qty":20401</v>
      </c>
      <c r="FK16" t="str">
        <f t="shared" si="102"/>
        <v>"qty":20401</v>
      </c>
      <c r="FL16" t="str">
        <f t="shared" si="102"/>
        <v>"qty":20236</v>
      </c>
      <c r="FM16" t="str">
        <f t="shared" si="102"/>
        <v>"qty":20236</v>
      </c>
      <c r="FN16" t="str">
        <f t="shared" si="102"/>
        <v>"qty":19879</v>
      </c>
      <c r="FO16" t="str">
        <f t="shared" si="102"/>
        <v>"qty":19879</v>
      </c>
      <c r="FP16" t="str">
        <f t="shared" si="102"/>
        <v>"qty":19879</v>
      </c>
      <c r="FQ16" t="str">
        <f t="shared" si="102"/>
        <v>"qty":19571</v>
      </c>
      <c r="FR16" t="str">
        <f t="shared" si="102"/>
        <v>"qty":19571</v>
      </c>
      <c r="FS16" t="str">
        <f t="shared" si="102"/>
        <v>"qty":19546</v>
      </c>
      <c r="FT16" t="str">
        <f t="shared" si="102"/>
        <v>"qty":19501</v>
      </c>
      <c r="FU16" t="str">
        <f t="shared" si="102"/>
        <v>"qty":19501</v>
      </c>
      <c r="FV16" t="str">
        <f t="shared" si="102"/>
        <v>"qty":19319</v>
      </c>
      <c r="FW16" t="str">
        <f t="shared" si="102"/>
        <v>"qty":19319</v>
      </c>
      <c r="FX16" t="str">
        <f t="shared" si="102"/>
        <v>"qty":19090</v>
      </c>
      <c r="FY16" t="str">
        <f t="shared" si="102"/>
        <v>"qty":19090</v>
      </c>
      <c r="FZ16" t="str">
        <f t="shared" si="102"/>
        <v>"qty":19090</v>
      </c>
      <c r="GA16" t="str">
        <f t="shared" si="102"/>
        <v>"qty":18974</v>
      </c>
      <c r="GB16" t="str">
        <f t="shared" si="102"/>
        <v>"qty":18974</v>
      </c>
      <c r="GC16" t="str">
        <f t="shared" si="102"/>
        <v>"qty":18974</v>
      </c>
      <c r="GD16" t="str">
        <f t="shared" si="102"/>
        <v>"qty":18715</v>
      </c>
      <c r="GE16" t="str">
        <f t="shared" si="102"/>
        <v>"qty":18263</v>
      </c>
      <c r="GF16" t="str">
        <f t="shared" si="102"/>
        <v>"qty":18263</v>
      </c>
      <c r="GG16" t="str">
        <f t="shared" si="102"/>
        <v>"qty":18263</v>
      </c>
      <c r="GH16" t="str">
        <f t="shared" si="102"/>
        <v>"qty":18030</v>
      </c>
      <c r="GI16" t="str">
        <f t="shared" si="102"/>
        <v>"qty":18030</v>
      </c>
      <c r="GJ16" t="str">
        <f t="shared" si="102"/>
        <v>"qty":17584</v>
      </c>
      <c r="GK16" t="str">
        <f t="shared" si="102"/>
        <v>"qty":17399</v>
      </c>
      <c r="GL16" t="str">
        <f t="shared" si="102"/>
        <v>"qty":17076</v>
      </c>
      <c r="GM16" t="str">
        <f t="shared" si="102"/>
        <v>"qty":17076</v>
      </c>
      <c r="GN16" t="str">
        <f t="shared" si="102"/>
        <v>"qty":17010</v>
      </c>
      <c r="GO16" t="str">
        <f t="shared" si="102"/>
        <v>"qty":16992</v>
      </c>
      <c r="GP16" t="str">
        <f t="shared" si="102"/>
        <v>"qty":16992</v>
      </c>
      <c r="GQ16" t="str">
        <f t="shared" si="102"/>
        <v>"qty":16992</v>
      </c>
      <c r="GR16" t="str">
        <f t="shared" si="102"/>
        <v>"qty":16992</v>
      </c>
      <c r="GS16" t="str">
        <f t="shared" si="102"/>
        <v>"qty":16087</v>
      </c>
      <c r="GT16" t="str">
        <f t="shared" si="102"/>
        <v>"qty":15877</v>
      </c>
      <c r="GU16" t="str">
        <f t="shared" si="102"/>
        <v>"qty":15572</v>
      </c>
      <c r="GV16" t="str">
        <f t="shared" si="102"/>
        <v>"qty":15246</v>
      </c>
      <c r="GW16" t="str">
        <f t="shared" si="102"/>
        <v>"qty":15049</v>
      </c>
      <c r="GX16" t="str">
        <f t="shared" ref="GX16:JI16" si="103">_xlfn.CONCAT("""",$L$10,"""",":",GX10)</f>
        <v>"qty":14833</v>
      </c>
      <c r="GY16" t="str">
        <f t="shared" si="103"/>
        <v>"qty":14627</v>
      </c>
      <c r="GZ16" t="str">
        <f t="shared" si="103"/>
        <v>"qty":14627</v>
      </c>
      <c r="HA16" t="str">
        <f t="shared" si="103"/>
        <v>"qty":14401</v>
      </c>
      <c r="HB16" t="str">
        <f t="shared" si="103"/>
        <v>"qty":14401</v>
      </c>
      <c r="HC16" t="str">
        <f t="shared" si="103"/>
        <v>"qty":14265</v>
      </c>
      <c r="HD16" t="str">
        <f t="shared" si="103"/>
        <v>"qty":14156</v>
      </c>
      <c r="HE16" t="str">
        <f t="shared" si="103"/>
        <v>"qty":14156</v>
      </c>
      <c r="HF16" t="str">
        <f t="shared" si="103"/>
        <v>"qty":14156</v>
      </c>
      <c r="HG16" t="str">
        <f t="shared" si="103"/>
        <v>"qty":14156</v>
      </c>
      <c r="HH16" t="str">
        <f t="shared" si="103"/>
        <v>"qty":14131</v>
      </c>
      <c r="HI16" t="str">
        <f t="shared" si="103"/>
        <v>"qty":14131</v>
      </c>
      <c r="HJ16" t="str">
        <f t="shared" si="103"/>
        <v>"qty":14015</v>
      </c>
      <c r="HK16" t="str">
        <f t="shared" si="103"/>
        <v>"qty":13724</v>
      </c>
      <c r="HL16" t="str">
        <f t="shared" si="103"/>
        <v>"qty":13180</v>
      </c>
      <c r="HM16" t="str">
        <f t="shared" si="103"/>
        <v>"qty":13180</v>
      </c>
      <c r="HN16" t="str">
        <f t="shared" si="103"/>
        <v>"qty":13180</v>
      </c>
      <c r="HO16" t="str">
        <f t="shared" si="103"/>
        <v>"qty":13180</v>
      </c>
      <c r="HP16" t="str">
        <f t="shared" si="103"/>
        <v>"qty":13180</v>
      </c>
      <c r="HQ16" t="str">
        <f t="shared" si="103"/>
        <v>"qty":12575</v>
      </c>
      <c r="HR16" t="str">
        <f t="shared" si="103"/>
        <v>"qty":12575</v>
      </c>
      <c r="HS16" t="str">
        <f t="shared" si="103"/>
        <v>"qty":12539</v>
      </c>
      <c r="HT16" t="str">
        <f t="shared" si="103"/>
        <v>"qty":12539</v>
      </c>
      <c r="HU16" t="str">
        <f t="shared" si="103"/>
        <v>"qty":12284</v>
      </c>
      <c r="HV16" t="str">
        <f t="shared" si="103"/>
        <v>"qty":12079</v>
      </c>
      <c r="HW16" t="str">
        <f t="shared" si="103"/>
        <v>"qty":11833</v>
      </c>
      <c r="HX16" t="str">
        <f t="shared" si="103"/>
        <v>"qty":11833</v>
      </c>
      <c r="HY16" t="str">
        <f t="shared" si="103"/>
        <v>"qty":11833</v>
      </c>
      <c r="HZ16" t="str">
        <f t="shared" si="103"/>
        <v>"qty":11789</v>
      </c>
      <c r="IA16" t="str">
        <f t="shared" si="103"/>
        <v>"qty":11696</v>
      </c>
      <c r="IB16" t="str">
        <f t="shared" si="103"/>
        <v>"qty":11696</v>
      </c>
      <c r="IC16" t="str">
        <f t="shared" si="103"/>
        <v>"qty":11696</v>
      </c>
      <c r="ID16" t="str">
        <f t="shared" si="103"/>
        <v>"qty":11664</v>
      </c>
      <c r="IE16" t="str">
        <f t="shared" si="103"/>
        <v>"qty":11664</v>
      </c>
      <c r="IF16" t="str">
        <f t="shared" si="103"/>
        <v>"qty":11664</v>
      </c>
      <c r="IG16" t="str">
        <f t="shared" si="103"/>
        <v>"qty":11664</v>
      </c>
      <c r="IH16" t="str">
        <f t="shared" si="103"/>
        <v>"qty":11648</v>
      </c>
      <c r="II16" t="str">
        <f t="shared" si="103"/>
        <v>"qty":11594</v>
      </c>
      <c r="IJ16" t="str">
        <f t="shared" si="103"/>
        <v>"qty":11560</v>
      </c>
      <c r="IK16" t="str">
        <f t="shared" si="103"/>
        <v>"qty":11560</v>
      </c>
      <c r="IL16" t="str">
        <f t="shared" si="103"/>
        <v>"qty":11532</v>
      </c>
      <c r="IM16" t="str">
        <f t="shared" si="103"/>
        <v>"qty":11532</v>
      </c>
      <c r="IN16" t="str">
        <f t="shared" si="103"/>
        <v>"qty":11532</v>
      </c>
      <c r="IO16" t="str">
        <f t="shared" si="103"/>
        <v>"qty":11178</v>
      </c>
      <c r="IP16" t="str">
        <f t="shared" si="103"/>
        <v>"qty":11052</v>
      </c>
      <c r="IQ16" t="str">
        <f t="shared" si="103"/>
        <v>"qty":11052</v>
      </c>
      <c r="IR16" t="str">
        <f t="shared" si="103"/>
        <v>"qty":11052</v>
      </c>
      <c r="IS16" t="str">
        <f t="shared" si="103"/>
        <v>"qty":11046</v>
      </c>
      <c r="IT16" t="str">
        <f t="shared" si="103"/>
        <v>"qty":11046</v>
      </c>
      <c r="IU16" t="str">
        <f t="shared" si="103"/>
        <v>"qty":11046</v>
      </c>
      <c r="IV16" t="str">
        <f t="shared" si="103"/>
        <v>"qty":11028</v>
      </c>
      <c r="IW16" t="str">
        <f t="shared" si="103"/>
        <v>"qty":10916</v>
      </c>
      <c r="IX16" t="str">
        <f t="shared" si="103"/>
        <v>"qty":10735</v>
      </c>
      <c r="IY16" t="str">
        <f t="shared" si="103"/>
        <v>"qty":10720</v>
      </c>
      <c r="IZ16" t="str">
        <f t="shared" si="103"/>
        <v>"qty":10682</v>
      </c>
      <c r="JA16" t="str">
        <f t="shared" si="103"/>
        <v>"qty":10682</v>
      </c>
      <c r="JB16" t="str">
        <f t="shared" si="103"/>
        <v>"qty":10461</v>
      </c>
      <c r="JC16" t="str">
        <f t="shared" si="103"/>
        <v>"qty":10445</v>
      </c>
      <c r="JD16" t="str">
        <f t="shared" si="103"/>
        <v>"qty":10396</v>
      </c>
      <c r="JE16" t="str">
        <f t="shared" si="103"/>
        <v>"qty":10387</v>
      </c>
      <c r="JF16" t="str">
        <f t="shared" si="103"/>
        <v>"qty":10387</v>
      </c>
      <c r="JG16" t="str">
        <f t="shared" si="103"/>
        <v>"qty":10385</v>
      </c>
      <c r="JH16" t="str">
        <f t="shared" si="103"/>
        <v>"qty":10384</v>
      </c>
      <c r="JI16" t="str">
        <f t="shared" si="103"/>
        <v>"qty":10384</v>
      </c>
      <c r="JJ16" t="str">
        <f t="shared" ref="JJ16:LU16" si="104">_xlfn.CONCAT("""",$L$10,"""",":",JJ10)</f>
        <v>"qty":10292</v>
      </c>
      <c r="JK16" t="str">
        <f t="shared" si="104"/>
        <v>"qty":10292</v>
      </c>
      <c r="JL16" t="str">
        <f t="shared" si="104"/>
        <v>"qty":10292</v>
      </c>
      <c r="JM16" t="str">
        <f t="shared" si="104"/>
        <v>"qty":10292</v>
      </c>
      <c r="JN16" t="str">
        <f t="shared" si="104"/>
        <v>"qty":10187</v>
      </c>
      <c r="JO16" t="str">
        <f t="shared" si="104"/>
        <v>"qty":10187</v>
      </c>
      <c r="JP16" t="str">
        <f t="shared" si="104"/>
        <v>"qty":10187</v>
      </c>
      <c r="JQ16" t="str">
        <f t="shared" si="104"/>
        <v>"qty":10187</v>
      </c>
      <c r="JR16" t="str">
        <f t="shared" si="104"/>
        <v>"qty":10187</v>
      </c>
      <c r="JS16" t="str">
        <f t="shared" si="104"/>
        <v>"qty":10187</v>
      </c>
      <c r="JT16" t="str">
        <f t="shared" si="104"/>
        <v>"qty":10102</v>
      </c>
      <c r="JU16" t="str">
        <f t="shared" si="104"/>
        <v>"qty":9982</v>
      </c>
      <c r="JV16" t="str">
        <f t="shared" si="104"/>
        <v>"qty":9942</v>
      </c>
      <c r="JW16" t="str">
        <f t="shared" si="104"/>
        <v>"qty":9942</v>
      </c>
      <c r="JX16" t="str">
        <f t="shared" si="104"/>
        <v>"qty":9936</v>
      </c>
      <c r="JY16" t="str">
        <f t="shared" si="104"/>
        <v>"qty":9899</v>
      </c>
      <c r="JZ16" t="str">
        <f t="shared" si="104"/>
        <v>"qty":9872</v>
      </c>
      <c r="KA16" t="str">
        <f t="shared" si="104"/>
        <v>"qty":9848</v>
      </c>
      <c r="KB16" t="str">
        <f t="shared" si="104"/>
        <v>"qty":9848</v>
      </c>
      <c r="KC16" t="str">
        <f t="shared" si="104"/>
        <v>"qty":9848</v>
      </c>
      <c r="KD16" t="str">
        <f t="shared" si="104"/>
        <v>"qty":9775</v>
      </c>
      <c r="KE16" t="str">
        <f t="shared" si="104"/>
        <v>"qty":9775</v>
      </c>
      <c r="KF16" t="str">
        <f t="shared" si="104"/>
        <v>"qty":9775</v>
      </c>
      <c r="KG16" t="str">
        <f t="shared" si="104"/>
        <v>"qty":9765</v>
      </c>
      <c r="KH16" t="str">
        <f t="shared" si="104"/>
        <v>"qty":9765</v>
      </c>
      <c r="KI16" t="str">
        <f t="shared" si="104"/>
        <v>"qty":9718</v>
      </c>
      <c r="KJ16" t="str">
        <f t="shared" si="104"/>
        <v>"qty":9709</v>
      </c>
      <c r="KK16" t="str">
        <f t="shared" si="104"/>
        <v>"qty":9647</v>
      </c>
      <c r="KL16" t="str">
        <f t="shared" si="104"/>
        <v>"qty":9647</v>
      </c>
      <c r="KM16" t="str">
        <f t="shared" si="104"/>
        <v>"qty":9647</v>
      </c>
      <c r="KN16" t="str">
        <f t="shared" si="104"/>
        <v>"qty":9647</v>
      </c>
      <c r="KO16" t="str">
        <f t="shared" si="104"/>
        <v>"qty":9621</v>
      </c>
      <c r="KP16" t="str">
        <f t="shared" si="104"/>
        <v>"qty":9621</v>
      </c>
      <c r="KQ16" t="str">
        <f t="shared" si="104"/>
        <v>"qty":9621</v>
      </c>
      <c r="KR16" t="str">
        <f t="shared" si="104"/>
        <v>"qty":9621</v>
      </c>
      <c r="KS16" t="str">
        <f t="shared" si="104"/>
        <v>"qty":9587</v>
      </c>
      <c r="KT16" t="str">
        <f t="shared" si="104"/>
        <v>"qty":9569</v>
      </c>
      <c r="KU16" t="str">
        <f t="shared" si="104"/>
        <v>"qty":9569</v>
      </c>
      <c r="KV16" t="str">
        <f t="shared" si="104"/>
        <v>"qty":9569</v>
      </c>
      <c r="KW16" t="str">
        <f t="shared" si="104"/>
        <v>"qty":9564</v>
      </c>
      <c r="KX16" t="str">
        <f t="shared" si="104"/>
        <v>"qty":9564</v>
      </c>
      <c r="KY16" t="str">
        <f t="shared" si="104"/>
        <v>"qty":9530</v>
      </c>
      <c r="KZ16" t="str">
        <f t="shared" si="104"/>
        <v>"qty":9520</v>
      </c>
      <c r="LA16" t="str">
        <f t="shared" si="104"/>
        <v>"qty":9520</v>
      </c>
      <c r="LB16" t="str">
        <f t="shared" si="104"/>
        <v>"qty":9520</v>
      </c>
      <c r="LC16" t="str">
        <f t="shared" si="104"/>
        <v>"qty":9427</v>
      </c>
      <c r="LD16" t="str">
        <f t="shared" si="104"/>
        <v>"qty":9427</v>
      </c>
      <c r="LE16" t="str">
        <f t="shared" si="104"/>
        <v>"qty":9427</v>
      </c>
      <c r="LF16" t="str">
        <f t="shared" si="104"/>
        <v>"qty":9427</v>
      </c>
      <c r="LG16" t="str">
        <f t="shared" si="104"/>
        <v>"qty":9427</v>
      </c>
      <c r="LH16" t="str">
        <f t="shared" si="104"/>
        <v>"qty":9327</v>
      </c>
      <c r="LI16" t="str">
        <f t="shared" si="104"/>
        <v>"qty":9327</v>
      </c>
      <c r="LJ16" t="str">
        <f t="shared" si="104"/>
        <v>"qty":9327</v>
      </c>
      <c r="LK16" t="str">
        <f t="shared" si="104"/>
        <v>"qty":9298</v>
      </c>
      <c r="LL16" t="str">
        <f t="shared" si="104"/>
        <v>"qty":9188</v>
      </c>
      <c r="LM16" t="str">
        <f t="shared" si="104"/>
        <v>"qty":9188</v>
      </c>
      <c r="LN16" t="str">
        <f t="shared" si="104"/>
        <v>"qty":9174</v>
      </c>
      <c r="LO16" t="str">
        <f t="shared" si="104"/>
        <v>"qty":9174</v>
      </c>
      <c r="LP16" t="str">
        <f t="shared" si="104"/>
        <v>"qty":9174</v>
      </c>
      <c r="LQ16" t="str">
        <f t="shared" si="104"/>
        <v>"qty":9174</v>
      </c>
      <c r="LR16" t="str">
        <f t="shared" si="104"/>
        <v>"qty":9173</v>
      </c>
      <c r="LS16" t="str">
        <f t="shared" si="104"/>
        <v>"qty":9173</v>
      </c>
      <c r="LT16" t="str">
        <f t="shared" si="104"/>
        <v>"qty":9173</v>
      </c>
      <c r="LU16" t="str">
        <f t="shared" si="104"/>
        <v>"qty":9070</v>
      </c>
      <c r="LV16" t="str">
        <f t="shared" ref="LV16:OG16" si="105">_xlfn.CONCAT("""",$L$10,"""",":",LV10)</f>
        <v>"qty":9066</v>
      </c>
      <c r="LW16" t="str">
        <f t="shared" si="105"/>
        <v>"qty":9066</v>
      </c>
      <c r="LX16" t="str">
        <f t="shared" si="105"/>
        <v>"qty":9028</v>
      </c>
      <c r="LY16" t="str">
        <f t="shared" si="105"/>
        <v>"qty":9022</v>
      </c>
      <c r="LZ16" t="str">
        <f t="shared" si="105"/>
        <v>"qty":8917</v>
      </c>
      <c r="MA16" t="str">
        <f t="shared" si="105"/>
        <v>"qty":8911</v>
      </c>
      <c r="MB16" t="str">
        <f t="shared" si="105"/>
        <v>"qty":8911</v>
      </c>
      <c r="MC16" t="str">
        <f t="shared" si="105"/>
        <v>"qty":8880</v>
      </c>
      <c r="MD16" t="str">
        <f t="shared" si="105"/>
        <v>"qty":8880</v>
      </c>
      <c r="ME16" t="str">
        <f t="shared" si="105"/>
        <v>"qty":8782</v>
      </c>
      <c r="MF16" t="str">
        <f t="shared" si="105"/>
        <v>"qty":8680</v>
      </c>
      <c r="MG16" t="str">
        <f t="shared" si="105"/>
        <v>"qty":8680</v>
      </c>
      <c r="MH16" t="str">
        <f t="shared" si="105"/>
        <v>"qty":8680</v>
      </c>
      <c r="MI16" t="str">
        <f t="shared" si="105"/>
        <v>"qty":8668</v>
      </c>
      <c r="MJ16" t="str">
        <f t="shared" si="105"/>
        <v>"qty":8668</v>
      </c>
      <c r="MK16" t="str">
        <f t="shared" si="105"/>
        <v>"qty":8667</v>
      </c>
      <c r="ML16" t="str">
        <f t="shared" si="105"/>
        <v>"qty":8519</v>
      </c>
      <c r="MM16" t="str">
        <f t="shared" si="105"/>
        <v>"qty":8498</v>
      </c>
      <c r="MN16" t="str">
        <f t="shared" si="105"/>
        <v>"qty":8498</v>
      </c>
      <c r="MO16" t="str">
        <f t="shared" si="105"/>
        <v>"qty":8498</v>
      </c>
      <c r="MP16" t="str">
        <f t="shared" si="105"/>
        <v>"qty":8498</v>
      </c>
      <c r="MQ16" t="str">
        <f t="shared" si="105"/>
        <v>"qty":8430</v>
      </c>
      <c r="MR16" t="str">
        <f t="shared" si="105"/>
        <v>"qty":8430</v>
      </c>
      <c r="MS16" t="str">
        <f t="shared" si="105"/>
        <v>"qty":8430</v>
      </c>
      <c r="MT16" t="str">
        <f t="shared" si="105"/>
        <v>"qty":8347</v>
      </c>
      <c r="MU16" t="str">
        <f t="shared" si="105"/>
        <v>"qty":8347</v>
      </c>
      <c r="MV16" t="str">
        <f t="shared" si="105"/>
        <v>"qty":8280</v>
      </c>
      <c r="MW16" t="str">
        <f t="shared" si="105"/>
        <v>"qty":8218</v>
      </c>
      <c r="MX16" t="str">
        <f t="shared" si="105"/>
        <v>"qty":8009</v>
      </c>
      <c r="MY16" t="str">
        <f t="shared" si="105"/>
        <v>"qty":8009</v>
      </c>
      <c r="MZ16" t="str">
        <f t="shared" si="105"/>
        <v>"qty":8009</v>
      </c>
      <c r="NA16" t="str">
        <f t="shared" si="105"/>
        <v>"qty":7979</v>
      </c>
      <c r="NB16" t="str">
        <f t="shared" si="105"/>
        <v>"qty":7968</v>
      </c>
      <c r="NC16" t="str">
        <f t="shared" si="105"/>
        <v>"qty":7968</v>
      </c>
      <c r="ND16" t="str">
        <f t="shared" si="105"/>
        <v>"qty":7880</v>
      </c>
      <c r="NE16" t="str">
        <f t="shared" si="105"/>
        <v>"qty":7880</v>
      </c>
      <c r="NF16" t="str">
        <f t="shared" si="105"/>
        <v>"qty":7861</v>
      </c>
      <c r="NG16" t="str">
        <f t="shared" si="105"/>
        <v>"qty":7742</v>
      </c>
      <c r="NH16" t="str">
        <f t="shared" si="105"/>
        <v>"qty":7729</v>
      </c>
      <c r="NI16" t="str">
        <f t="shared" si="105"/>
        <v>"qty":7729</v>
      </c>
      <c r="NJ16" t="str">
        <f t="shared" si="105"/>
        <v>"qty":7725</v>
      </c>
      <c r="NK16" t="str">
        <f t="shared" si="105"/>
        <v>"qty":7587</v>
      </c>
      <c r="NL16" t="str">
        <f t="shared" si="105"/>
        <v>"qty":7566</v>
      </c>
      <c r="NM16" t="str">
        <f t="shared" si="105"/>
        <v>"qty":7566</v>
      </c>
      <c r="NN16" t="str">
        <f t="shared" si="105"/>
        <v>"qty":7561</v>
      </c>
      <c r="NO16" t="str">
        <f t="shared" si="105"/>
        <v>"qty":7561</v>
      </c>
      <c r="NP16" t="str">
        <f t="shared" si="105"/>
        <v>"qty":7541</v>
      </c>
      <c r="NQ16" t="str">
        <f t="shared" si="105"/>
        <v>"qty":7541</v>
      </c>
      <c r="NR16" t="str">
        <f t="shared" si="105"/>
        <v>"qty":7518</v>
      </c>
      <c r="NS16" t="str">
        <f t="shared" si="105"/>
        <v>"qty":7518</v>
      </c>
      <c r="NT16" t="str">
        <f t="shared" si="105"/>
        <v>"qty":7517</v>
      </c>
      <c r="NU16" t="str">
        <f t="shared" si="105"/>
        <v>"qty":7517</v>
      </c>
      <c r="NV16" t="str">
        <f t="shared" si="105"/>
        <v>"qty":7294</v>
      </c>
      <c r="NW16" t="str">
        <f t="shared" si="105"/>
        <v>"qty":7294</v>
      </c>
      <c r="NX16" t="str">
        <f t="shared" si="105"/>
        <v>"qty":7285</v>
      </c>
      <c r="NY16" t="str">
        <f t="shared" si="105"/>
        <v>"qty":7217</v>
      </c>
      <c r="NZ16" t="str">
        <f t="shared" si="105"/>
        <v>"qty":7217</v>
      </c>
      <c r="OA16" t="str">
        <f t="shared" si="105"/>
        <v>"qty":7212</v>
      </c>
      <c r="OB16" t="str">
        <f t="shared" si="105"/>
        <v>"qty":7212</v>
      </c>
      <c r="OC16" t="str">
        <f t="shared" si="105"/>
        <v>"qty":7154</v>
      </c>
      <c r="OD16" t="str">
        <f t="shared" si="105"/>
        <v>"qty":7154</v>
      </c>
      <c r="OE16" t="str">
        <f t="shared" si="105"/>
        <v>"qty":7028</v>
      </c>
      <c r="OF16" t="str">
        <f t="shared" si="105"/>
        <v>"qty":6998</v>
      </c>
      <c r="OG16" t="str">
        <f t="shared" si="105"/>
        <v>"qty":6998</v>
      </c>
      <c r="OH16" t="str">
        <f t="shared" ref="OH16:QS16" si="106">_xlfn.CONCAT("""",$L$10,"""",":",OH10)</f>
        <v>"qty":6998</v>
      </c>
      <c r="OI16" t="str">
        <f t="shared" si="106"/>
        <v>"qty":6970</v>
      </c>
      <c r="OJ16" t="str">
        <f t="shared" si="106"/>
        <v>"qty":6970</v>
      </c>
      <c r="OK16" t="str">
        <f t="shared" si="106"/>
        <v>"qty":6970</v>
      </c>
      <c r="OL16" t="str">
        <f t="shared" si="106"/>
        <v>"qty":6741</v>
      </c>
      <c r="OM16" t="str">
        <f t="shared" si="106"/>
        <v>"qty":6697</v>
      </c>
      <c r="ON16" t="str">
        <f t="shared" si="106"/>
        <v>"qty":6697</v>
      </c>
      <c r="OO16" t="str">
        <f t="shared" si="106"/>
        <v>"qty":6684</v>
      </c>
      <c r="OP16" t="str">
        <f t="shared" si="106"/>
        <v>"qty":6620</v>
      </c>
      <c r="OQ16" t="str">
        <f t="shared" si="106"/>
        <v>"qty":6620</v>
      </c>
      <c r="OR16" t="str">
        <f t="shared" si="106"/>
        <v>"qty":6616</v>
      </c>
      <c r="OS16" t="str">
        <f t="shared" si="106"/>
        <v>"qty":6616</v>
      </c>
      <c r="OT16" t="str">
        <f t="shared" si="106"/>
        <v>"qty":6616</v>
      </c>
      <c r="OU16" t="str">
        <f t="shared" si="106"/>
        <v>"qty":6616</v>
      </c>
      <c r="OV16" t="str">
        <f t="shared" si="106"/>
        <v>"qty":6587</v>
      </c>
      <c r="OW16" t="str">
        <f t="shared" si="106"/>
        <v>"qty":6587</v>
      </c>
      <c r="OX16" t="str">
        <f t="shared" si="106"/>
        <v>"qty":6587</v>
      </c>
      <c r="OY16" t="str">
        <f t="shared" si="106"/>
        <v>"qty":6558</v>
      </c>
      <c r="OZ16" t="str">
        <f t="shared" si="106"/>
        <v>"qty":6558</v>
      </c>
      <c r="PA16" t="str">
        <f t="shared" si="106"/>
        <v>"qty":6544</v>
      </c>
      <c r="PB16" t="str">
        <f t="shared" si="106"/>
        <v>"qty":6539</v>
      </c>
      <c r="PC16" t="str">
        <f t="shared" si="106"/>
        <v>"qty":6539</v>
      </c>
      <c r="PD16" t="str">
        <f t="shared" si="106"/>
        <v>"qty":6419</v>
      </c>
      <c r="PE16" t="str">
        <f t="shared" si="106"/>
        <v>"qty":6419</v>
      </c>
      <c r="PF16" t="str">
        <f t="shared" si="106"/>
        <v>"qty":6345</v>
      </c>
      <c r="PG16" t="str">
        <f t="shared" si="106"/>
        <v>"qty":6345</v>
      </c>
      <c r="PH16" t="str">
        <f t="shared" si="106"/>
        <v>"qty":6345</v>
      </c>
      <c r="PI16" t="str">
        <f t="shared" si="106"/>
        <v>"qty":6319</v>
      </c>
      <c r="PJ16" t="str">
        <f t="shared" si="106"/>
        <v>"qty":6317</v>
      </c>
      <c r="PK16" t="str">
        <f t="shared" si="106"/>
        <v>"qty":6310</v>
      </c>
      <c r="PL16" t="str">
        <f t="shared" si="106"/>
        <v>"qty":6310</v>
      </c>
      <c r="PM16" t="str">
        <f t="shared" si="106"/>
        <v>"qty":6310</v>
      </c>
      <c r="PN16" t="str">
        <f t="shared" si="106"/>
        <v>"qty":6281</v>
      </c>
      <c r="PO16" t="str">
        <f t="shared" si="106"/>
        <v>"qty":6281</v>
      </c>
      <c r="PP16" t="str">
        <f t="shared" si="106"/>
        <v>"qty":6281</v>
      </c>
      <c r="PQ16" t="str">
        <f t="shared" si="106"/>
        <v>"qty":6274</v>
      </c>
      <c r="PR16" t="str">
        <f t="shared" si="106"/>
        <v>"qty":6255</v>
      </c>
      <c r="PS16" t="str">
        <f t="shared" si="106"/>
        <v>"qty":6069</v>
      </c>
      <c r="PT16" t="str">
        <f t="shared" si="106"/>
        <v>"qty":6067</v>
      </c>
      <c r="PU16" t="str">
        <f t="shared" si="106"/>
        <v>"qty":6067</v>
      </c>
      <c r="PV16" t="str">
        <f t="shared" si="106"/>
        <v>"qty":6067</v>
      </c>
      <c r="PW16" t="str">
        <f t="shared" si="106"/>
        <v>"qty":6046</v>
      </c>
      <c r="PX16" t="str">
        <f t="shared" si="106"/>
        <v>"qty":6046</v>
      </c>
      <c r="PY16" t="str">
        <f t="shared" si="106"/>
        <v>"qty":6038</v>
      </c>
      <c r="PZ16" t="str">
        <f t="shared" si="106"/>
        <v>"qty":5933</v>
      </c>
      <c r="QA16" t="str">
        <f t="shared" si="106"/>
        <v>"qty":5933</v>
      </c>
      <c r="QB16" t="str">
        <f t="shared" si="106"/>
        <v>"qty":5933</v>
      </c>
      <c r="QC16" t="str">
        <f t="shared" si="106"/>
        <v>"qty":5933</v>
      </c>
      <c r="QD16" t="str">
        <f t="shared" si="106"/>
        <v>"qty":5920</v>
      </c>
      <c r="QE16" t="str">
        <f t="shared" si="106"/>
        <v>"qty":5920</v>
      </c>
      <c r="QF16" t="str">
        <f t="shared" si="106"/>
        <v>"qty":5920</v>
      </c>
      <c r="QG16" t="str">
        <f t="shared" si="106"/>
        <v>"qty":5920</v>
      </c>
      <c r="QH16" t="str">
        <f t="shared" si="106"/>
        <v>"qty":5914</v>
      </c>
      <c r="QI16" t="str">
        <f t="shared" si="106"/>
        <v>"qty":5914</v>
      </c>
      <c r="QJ16" t="str">
        <f t="shared" si="106"/>
        <v>"qty":5870</v>
      </c>
      <c r="QK16" t="str">
        <f t="shared" si="106"/>
        <v>"qty":5870</v>
      </c>
      <c r="QL16" t="str">
        <f t="shared" si="106"/>
        <v>"qty":5832</v>
      </c>
      <c r="QM16" t="str">
        <f t="shared" si="106"/>
        <v>"qty":5708</v>
      </c>
      <c r="QN16" t="str">
        <f t="shared" si="106"/>
        <v>"qty":5708</v>
      </c>
      <c r="QO16" t="str">
        <f t="shared" si="106"/>
        <v>"qty":5667</v>
      </c>
      <c r="QP16" t="str">
        <f t="shared" si="106"/>
        <v>"qty":5645</v>
      </c>
      <c r="QQ16" t="str">
        <f t="shared" si="106"/>
        <v>"qty":5645</v>
      </c>
      <c r="QR16" t="str">
        <f t="shared" si="106"/>
        <v>"qty":5639</v>
      </c>
      <c r="QS16" t="str">
        <f t="shared" si="106"/>
        <v>"qty":5594</v>
      </c>
      <c r="QT16" t="str">
        <f t="shared" ref="QT16:TE16" si="107">_xlfn.CONCAT("""",$L$10,"""",":",QT10)</f>
        <v>"qty":5534</v>
      </c>
      <c r="QU16" t="str">
        <f t="shared" si="107"/>
        <v>"qty":5508</v>
      </c>
      <c r="QV16" t="str">
        <f t="shared" si="107"/>
        <v>"qty":5508</v>
      </c>
      <c r="QW16" t="str">
        <f t="shared" si="107"/>
        <v>"qty":5508</v>
      </c>
      <c r="QX16" t="str">
        <f t="shared" si="107"/>
        <v>"qty":5508</v>
      </c>
      <c r="QY16" t="str">
        <f t="shared" si="107"/>
        <v>"qty":5508</v>
      </c>
      <c r="QZ16" t="str">
        <f t="shared" si="107"/>
        <v>"qty":5508</v>
      </c>
      <c r="RA16" t="str">
        <f t="shared" si="107"/>
        <v>"qty":5508</v>
      </c>
      <c r="RB16" t="str">
        <f t="shared" si="107"/>
        <v>"qty":5454</v>
      </c>
      <c r="RC16" t="str">
        <f t="shared" si="107"/>
        <v>"qty":5416</v>
      </c>
      <c r="RD16" t="str">
        <f t="shared" si="107"/>
        <v>"qty":5406</v>
      </c>
      <c r="RE16" t="str">
        <f t="shared" si="107"/>
        <v>"qty":5393</v>
      </c>
      <c r="RF16" t="str">
        <f t="shared" si="107"/>
        <v>"qty":5372</v>
      </c>
      <c r="RG16" t="str">
        <f t="shared" si="107"/>
        <v>"qty":5372</v>
      </c>
      <c r="RH16" t="str">
        <f t="shared" si="107"/>
        <v>"qty":5372</v>
      </c>
      <c r="RI16" t="str">
        <f t="shared" si="107"/>
        <v>"qty":5360</v>
      </c>
      <c r="RJ16" t="str">
        <f t="shared" si="107"/>
        <v>"qty":5360</v>
      </c>
      <c r="RK16" t="str">
        <f t="shared" si="107"/>
        <v>"qty":5330</v>
      </c>
      <c r="RL16" t="str">
        <f t="shared" si="107"/>
        <v>"qty":5270</v>
      </c>
      <c r="RM16" t="str">
        <f t="shared" si="107"/>
        <v>"qty":5260</v>
      </c>
      <c r="RN16" t="str">
        <f t="shared" si="107"/>
        <v>"qty":5259</v>
      </c>
      <c r="RO16" t="str">
        <f t="shared" si="107"/>
        <v>"qty":5259</v>
      </c>
      <c r="RP16" t="str">
        <f t="shared" si="107"/>
        <v>"qty":5226</v>
      </c>
      <c r="RQ16" t="str">
        <f t="shared" si="107"/>
        <v>"qty":5225</v>
      </c>
      <c r="RR16" t="str">
        <f t="shared" si="107"/>
        <v>"qty":5225</v>
      </c>
      <c r="RS16" t="str">
        <f t="shared" si="107"/>
        <v>"qty":5214</v>
      </c>
      <c r="RT16" t="str">
        <f t="shared" si="107"/>
        <v>"qty":5210</v>
      </c>
      <c r="RU16" t="str">
        <f t="shared" si="107"/>
        <v>"qty":5208</v>
      </c>
      <c r="RV16" t="str">
        <f t="shared" si="107"/>
        <v>"qty":5208</v>
      </c>
      <c r="RW16" t="str">
        <f t="shared" si="107"/>
        <v>"qty":5208</v>
      </c>
      <c r="RX16" t="str">
        <f t="shared" si="107"/>
        <v>"qty":5176</v>
      </c>
      <c r="RY16" t="str">
        <f t="shared" si="107"/>
        <v>"qty":5169</v>
      </c>
      <c r="RZ16" t="str">
        <f t="shared" si="107"/>
        <v>"qty":5169</v>
      </c>
      <c r="SA16" t="str">
        <f t="shared" si="107"/>
        <v>"qty":5169</v>
      </c>
      <c r="SB16" t="str">
        <f t="shared" si="107"/>
        <v>"qty":5169</v>
      </c>
      <c r="SC16" t="str">
        <f t="shared" si="107"/>
        <v>"qty":5133</v>
      </c>
      <c r="SD16" t="str">
        <f t="shared" si="107"/>
        <v>"qty":5133</v>
      </c>
      <c r="SE16" t="str">
        <f t="shared" si="107"/>
        <v>"qty":5133</v>
      </c>
      <c r="SF16" t="str">
        <f t="shared" si="107"/>
        <v>"qty":5118</v>
      </c>
      <c r="SG16" t="str">
        <f t="shared" si="107"/>
        <v>"qty":5104</v>
      </c>
      <c r="SH16" t="str">
        <f t="shared" si="107"/>
        <v>"qty":5104</v>
      </c>
      <c r="SI16" t="str">
        <f t="shared" si="107"/>
        <v>"qty":5099</v>
      </c>
      <c r="SJ16" t="str">
        <f t="shared" si="107"/>
        <v>"qty":5086</v>
      </c>
      <c r="SK16" t="str">
        <f t="shared" si="107"/>
        <v>"qty":5076</v>
      </c>
      <c r="SL16" t="str">
        <f t="shared" si="107"/>
        <v>"qty":5076</v>
      </c>
      <c r="SM16" t="str">
        <f t="shared" si="107"/>
        <v>"qty":5068</v>
      </c>
      <c r="SN16" t="str">
        <f t="shared" si="107"/>
        <v>"qty":5065</v>
      </c>
      <c r="SO16" t="str">
        <f t="shared" si="107"/>
        <v>"qty":5065</v>
      </c>
      <c r="SP16" t="str">
        <f t="shared" si="107"/>
        <v>"qty":5065</v>
      </c>
      <c r="SQ16" t="str">
        <f t="shared" si="107"/>
        <v>"qty":5065</v>
      </c>
      <c r="SR16" t="str">
        <f t="shared" si="107"/>
        <v>"qty":5065</v>
      </c>
      <c r="SS16" t="str">
        <f t="shared" si="107"/>
        <v>"qty":5058</v>
      </c>
      <c r="ST16" t="str">
        <f t="shared" si="107"/>
        <v>"qty":5025</v>
      </c>
      <c r="SU16" t="str">
        <f t="shared" si="107"/>
        <v>"qty":5014</v>
      </c>
      <c r="SV16" t="str">
        <f t="shared" si="107"/>
        <v>"qty":5014</v>
      </c>
      <c r="SW16" t="str">
        <f t="shared" si="107"/>
        <v>"qty":4989</v>
      </c>
      <c r="SX16" t="str">
        <f t="shared" si="107"/>
        <v>"qty":4976</v>
      </c>
      <c r="SY16" t="str">
        <f t="shared" si="107"/>
        <v>"qty":4976</v>
      </c>
      <c r="SZ16" t="str">
        <f t="shared" si="107"/>
        <v>"qty":4970</v>
      </c>
      <c r="TA16" t="str">
        <f t="shared" si="107"/>
        <v>"qty":4966</v>
      </c>
      <c r="TB16" t="str">
        <f t="shared" si="107"/>
        <v>"qty":4965</v>
      </c>
      <c r="TC16" t="str">
        <f t="shared" si="107"/>
        <v>"qty":4965</v>
      </c>
      <c r="TD16" t="str">
        <f t="shared" si="107"/>
        <v>"qty":4962</v>
      </c>
      <c r="TE16" t="str">
        <f t="shared" si="107"/>
        <v>"qty":4959</v>
      </c>
      <c r="TF16" t="str">
        <f t="shared" ref="TF16:VQ16" si="108">_xlfn.CONCAT("""",$L$10,"""",":",TF10)</f>
        <v>"qty":4959</v>
      </c>
      <c r="TG16" t="str">
        <f t="shared" si="108"/>
        <v>"qty":4947</v>
      </c>
      <c r="TH16" t="str">
        <f t="shared" si="108"/>
        <v>"qty":4936</v>
      </c>
      <c r="TI16" t="str">
        <f t="shared" si="108"/>
        <v>"qty":4929</v>
      </c>
      <c r="TJ16" t="str">
        <f t="shared" si="108"/>
        <v>"qty":4929</v>
      </c>
      <c r="TK16" t="str">
        <f t="shared" si="108"/>
        <v>"qty":4929</v>
      </c>
      <c r="TL16" t="str">
        <f t="shared" si="108"/>
        <v>"qty":4921</v>
      </c>
      <c r="TM16" t="str">
        <f t="shared" si="108"/>
        <v>"qty":4921</v>
      </c>
      <c r="TN16" t="str">
        <f t="shared" si="108"/>
        <v>"qty":4921</v>
      </c>
      <c r="TO16" t="str">
        <f t="shared" si="108"/>
        <v>"qty":4919</v>
      </c>
      <c r="TP16" t="str">
        <f t="shared" si="108"/>
        <v>"qty":4919</v>
      </c>
      <c r="TQ16" t="str">
        <f t="shared" si="108"/>
        <v>"qty":4919</v>
      </c>
      <c r="TR16" t="str">
        <f t="shared" si="108"/>
        <v>"qty":4917</v>
      </c>
      <c r="TS16" t="str">
        <f t="shared" si="108"/>
        <v>"qty":4915</v>
      </c>
      <c r="TT16" t="str">
        <f t="shared" si="108"/>
        <v>"qty":4910</v>
      </c>
      <c r="TU16" t="str">
        <f t="shared" si="108"/>
        <v>"qty":4904</v>
      </c>
      <c r="TV16" t="str">
        <f t="shared" si="108"/>
        <v>"qty":4892</v>
      </c>
      <c r="TW16" t="str">
        <f t="shared" si="108"/>
        <v>"qty":4891</v>
      </c>
      <c r="TX16" t="str">
        <f t="shared" si="108"/>
        <v>"qty":4881</v>
      </c>
      <c r="TY16" t="str">
        <f t="shared" si="108"/>
        <v>"qty":4880</v>
      </c>
      <c r="TZ16" t="str">
        <f t="shared" si="108"/>
        <v>"qty":4876</v>
      </c>
      <c r="UA16" t="str">
        <f t="shared" si="108"/>
        <v>"qty":4857</v>
      </c>
      <c r="UB16" t="str">
        <f t="shared" si="108"/>
        <v>"qty":4840</v>
      </c>
      <c r="UC16" t="str">
        <f t="shared" si="108"/>
        <v>"qty":4840</v>
      </c>
      <c r="UD16" t="str">
        <f t="shared" si="108"/>
        <v>"qty":4840</v>
      </c>
      <c r="UE16" t="str">
        <f t="shared" si="108"/>
        <v>"qty":4840</v>
      </c>
      <c r="UF16" t="str">
        <f t="shared" si="108"/>
        <v>"qty":4840</v>
      </c>
      <c r="UG16" t="str">
        <f t="shared" si="108"/>
        <v>"qty":4822</v>
      </c>
      <c r="UH16" t="str">
        <f t="shared" si="108"/>
        <v>"qty":4815</v>
      </c>
      <c r="UI16" t="str">
        <f t="shared" si="108"/>
        <v>"qty":4815</v>
      </c>
      <c r="UJ16" t="str">
        <f t="shared" si="108"/>
        <v>"qty":4807</v>
      </c>
      <c r="UK16" t="str">
        <f t="shared" si="108"/>
        <v>"qty":4807</v>
      </c>
      <c r="UL16" t="str">
        <f t="shared" si="108"/>
        <v>"qty":4788</v>
      </c>
      <c r="UM16" t="str">
        <f t="shared" si="108"/>
        <v>"qty":4788</v>
      </c>
      <c r="UN16" t="str">
        <f t="shared" si="108"/>
        <v>"qty":4786</v>
      </c>
      <c r="UO16" t="str">
        <f t="shared" si="108"/>
        <v>"qty":4785</v>
      </c>
      <c r="UP16" t="str">
        <f t="shared" si="108"/>
        <v>"qty":4767</v>
      </c>
      <c r="UQ16" t="str">
        <f t="shared" si="108"/>
        <v>"qty":4767</v>
      </c>
      <c r="UR16" t="str">
        <f t="shared" si="108"/>
        <v>"qty":4765</v>
      </c>
      <c r="US16" t="str">
        <f t="shared" si="108"/>
        <v>"qty":4752</v>
      </c>
      <c r="UT16" t="str">
        <f t="shared" si="108"/>
        <v>"qty":4752</v>
      </c>
      <c r="UU16" t="str">
        <f t="shared" si="108"/>
        <v>"qty":4752</v>
      </c>
      <c r="UV16" t="str">
        <f t="shared" si="108"/>
        <v>"qty":4743</v>
      </c>
      <c r="UW16" t="str">
        <f t="shared" si="108"/>
        <v>"qty":4743</v>
      </c>
      <c r="UX16" t="str">
        <f t="shared" si="108"/>
        <v>"qty":4743</v>
      </c>
      <c r="UY16" t="str">
        <f t="shared" si="108"/>
        <v>"qty":4732</v>
      </c>
      <c r="UZ16" t="str">
        <f t="shared" si="108"/>
        <v>"qty":4722</v>
      </c>
      <c r="VA16" t="str">
        <f t="shared" si="108"/>
        <v>"qty":4713</v>
      </c>
      <c r="VB16" t="str">
        <f t="shared" si="108"/>
        <v>"qty":4713</v>
      </c>
      <c r="VC16" t="str">
        <f t="shared" si="108"/>
        <v>"qty":4713</v>
      </c>
      <c r="VD16" t="str">
        <f t="shared" si="108"/>
        <v>"qty":4710</v>
      </c>
      <c r="VE16" t="str">
        <f t="shared" si="108"/>
        <v>"qty":4705</v>
      </c>
      <c r="VF16" t="str">
        <f t="shared" si="108"/>
        <v>"qty":4705</v>
      </c>
      <c r="VG16" t="str">
        <f t="shared" si="108"/>
        <v>"qty":4705</v>
      </c>
      <c r="VH16" t="str">
        <f t="shared" si="108"/>
        <v>"qty":4705</v>
      </c>
      <c r="VI16" t="str">
        <f t="shared" si="108"/>
        <v>"qty":4705</v>
      </c>
      <c r="VJ16" t="str">
        <f t="shared" si="108"/>
        <v>"qty":4705</v>
      </c>
      <c r="VK16" t="str">
        <f t="shared" si="108"/>
        <v>"qty":4705</v>
      </c>
      <c r="VL16" t="str">
        <f t="shared" si="108"/>
        <v>"qty":4705</v>
      </c>
      <c r="VM16" t="str">
        <f t="shared" si="108"/>
        <v>"qty":4693</v>
      </c>
      <c r="VN16" t="str">
        <f t="shared" si="108"/>
        <v>"qty":4693</v>
      </c>
      <c r="VO16" t="str">
        <f t="shared" si="108"/>
        <v>"qty":4693</v>
      </c>
      <c r="VP16" t="str">
        <f t="shared" si="108"/>
        <v>"qty":4681</v>
      </c>
      <c r="VQ16" t="str">
        <f t="shared" si="108"/>
        <v>"qty":4681</v>
      </c>
      <c r="VR16" t="str">
        <f t="shared" ref="VR16:YC16" si="109">_xlfn.CONCAT("""",$L$10,"""",":",VR10)</f>
        <v>"qty":4676</v>
      </c>
      <c r="VS16" t="str">
        <f t="shared" si="109"/>
        <v>"qty":4675</v>
      </c>
      <c r="VT16" t="str">
        <f t="shared" si="109"/>
        <v>"qty":4675</v>
      </c>
      <c r="VU16" t="str">
        <f t="shared" si="109"/>
        <v>"qty":4674</v>
      </c>
      <c r="VV16" t="str">
        <f t="shared" si="109"/>
        <v>"qty":4662</v>
      </c>
      <c r="VW16" t="str">
        <f t="shared" si="109"/>
        <v>"qty":4661</v>
      </c>
      <c r="VX16" t="str">
        <f t="shared" si="109"/>
        <v>"qty":4661</v>
      </c>
      <c r="VY16" t="str">
        <f t="shared" si="109"/>
        <v>"qty":4656</v>
      </c>
      <c r="VZ16" t="str">
        <f t="shared" si="109"/>
        <v>"qty":4630</v>
      </c>
      <c r="WA16" t="str">
        <f t="shared" si="109"/>
        <v>"qty":4630</v>
      </c>
      <c r="WB16" t="str">
        <f t="shared" si="109"/>
        <v>"qty":4630</v>
      </c>
      <c r="WC16" t="str">
        <f t="shared" si="109"/>
        <v>"qty":4563</v>
      </c>
      <c r="WD16" t="str">
        <f t="shared" si="109"/>
        <v>"qty":4525</v>
      </c>
      <c r="WE16" t="str">
        <f t="shared" si="109"/>
        <v>"qty":4525</v>
      </c>
      <c r="WF16" t="str">
        <f t="shared" si="109"/>
        <v>"qty":4520</v>
      </c>
      <c r="WG16" t="str">
        <f t="shared" si="109"/>
        <v>"qty":4520</v>
      </c>
      <c r="WH16" t="str">
        <f t="shared" si="109"/>
        <v>"qty":4500</v>
      </c>
      <c r="WI16" t="str">
        <f t="shared" si="109"/>
        <v>"qty":4500</v>
      </c>
      <c r="WJ16" t="str">
        <f t="shared" si="109"/>
        <v>"qty":4500</v>
      </c>
      <c r="WK16" t="str">
        <f t="shared" si="109"/>
        <v>"qty":4500</v>
      </c>
      <c r="WL16" t="str">
        <f t="shared" si="109"/>
        <v>"qty":4489</v>
      </c>
      <c r="WM16" t="str">
        <f t="shared" si="109"/>
        <v>"qty":4489</v>
      </c>
      <c r="WN16" t="str">
        <f t="shared" si="109"/>
        <v>"qty":4479</v>
      </c>
      <c r="WO16" t="str">
        <f t="shared" si="109"/>
        <v>"qty":4468</v>
      </c>
      <c r="WP16" t="str">
        <f t="shared" si="109"/>
        <v>"qty":4468</v>
      </c>
      <c r="WQ16" t="str">
        <f t="shared" si="109"/>
        <v>"qty":4468</v>
      </c>
      <c r="WR16" t="str">
        <f t="shared" si="109"/>
        <v>"qty":4449</v>
      </c>
      <c r="WS16" t="str">
        <f t="shared" si="109"/>
        <v>"qty":4449</v>
      </c>
      <c r="WT16" t="str">
        <f t="shared" si="109"/>
        <v>"qty":4421</v>
      </c>
      <c r="WU16" t="str">
        <f t="shared" si="109"/>
        <v>"qty":4415</v>
      </c>
      <c r="WV16" t="str">
        <f t="shared" si="109"/>
        <v>"qty":4415</v>
      </c>
      <c r="WW16" t="str">
        <f t="shared" si="109"/>
        <v>"qty":4394</v>
      </c>
      <c r="WX16" t="str">
        <f t="shared" si="109"/>
        <v>"qty":4394</v>
      </c>
      <c r="WY16" t="str">
        <f t="shared" si="109"/>
        <v>"qty":4380</v>
      </c>
      <c r="WZ16" t="str">
        <f t="shared" si="109"/>
        <v>"qty":4368</v>
      </c>
      <c r="XA16" t="str">
        <f t="shared" si="109"/>
        <v>"qty":4352</v>
      </c>
      <c r="XB16" t="str">
        <f t="shared" si="109"/>
        <v>"qty":4338</v>
      </c>
      <c r="XC16" t="str">
        <f t="shared" si="109"/>
        <v>"qty":4338</v>
      </c>
      <c r="XD16" t="str">
        <f t="shared" si="109"/>
        <v>"qty":4338</v>
      </c>
      <c r="XE16" t="str">
        <f t="shared" si="109"/>
        <v>"qty":4337</v>
      </c>
      <c r="XF16" t="str">
        <f t="shared" si="109"/>
        <v>"qty":4335</v>
      </c>
      <c r="XG16" t="str">
        <f t="shared" si="109"/>
        <v>"qty":4335</v>
      </c>
      <c r="XH16" t="str">
        <f t="shared" si="109"/>
        <v>"qty":4335</v>
      </c>
      <c r="XI16" t="str">
        <f t="shared" si="109"/>
        <v>"qty":4325</v>
      </c>
      <c r="XJ16" t="str">
        <f t="shared" si="109"/>
        <v>"qty":4325</v>
      </c>
      <c r="XK16" t="str">
        <f t="shared" si="109"/>
        <v>"qty":4324</v>
      </c>
      <c r="XL16" t="str">
        <f t="shared" si="109"/>
        <v>"qty":4320</v>
      </c>
      <c r="XM16" t="str">
        <f t="shared" si="109"/>
        <v>"qty":4320</v>
      </c>
      <c r="XN16" t="str">
        <f t="shared" si="109"/>
        <v>"qty":4320</v>
      </c>
      <c r="XO16" t="str">
        <f t="shared" si="109"/>
        <v>"qty":4320</v>
      </c>
      <c r="XP16" t="str">
        <f t="shared" si="109"/>
        <v>"qty":4259</v>
      </c>
      <c r="XQ16" t="str">
        <f t="shared" si="109"/>
        <v>"qty":4245</v>
      </c>
      <c r="XR16" t="str">
        <f t="shared" si="109"/>
        <v>"qty":4245</v>
      </c>
      <c r="XS16" t="str">
        <f t="shared" si="109"/>
        <v>"qty":4245</v>
      </c>
      <c r="XT16" t="str">
        <f t="shared" si="109"/>
        <v>"qty":4225</v>
      </c>
      <c r="XU16" t="str">
        <f t="shared" si="109"/>
        <v>"qty":4214</v>
      </c>
      <c r="XV16" t="str">
        <f t="shared" si="109"/>
        <v>"qty":4214</v>
      </c>
      <c r="XW16" t="str">
        <f t="shared" si="109"/>
        <v>"qty":4214</v>
      </c>
      <c r="XX16" t="str">
        <f t="shared" si="109"/>
        <v>"qty":4214</v>
      </c>
      <c r="XY16" t="str">
        <f t="shared" si="109"/>
        <v>"qty":4214</v>
      </c>
      <c r="XZ16" t="str">
        <f t="shared" si="109"/>
        <v>"qty":4200</v>
      </c>
      <c r="YA16" t="str">
        <f t="shared" si="109"/>
        <v>"qty":4200</v>
      </c>
      <c r="YB16" t="str">
        <f t="shared" si="109"/>
        <v>"qty":4192</v>
      </c>
      <c r="YC16" t="str">
        <f t="shared" si="109"/>
        <v>"qty":4192</v>
      </c>
      <c r="YD16" t="str">
        <f t="shared" ref="YD16:AAO16" si="110">_xlfn.CONCAT("""",$L$10,"""",":",YD10)</f>
        <v>"qty":4190</v>
      </c>
      <c r="YE16" t="str">
        <f t="shared" si="110"/>
        <v>"qty":4190</v>
      </c>
      <c r="YF16" t="str">
        <f t="shared" si="110"/>
        <v>"qty":4186</v>
      </c>
      <c r="YG16" t="str">
        <f t="shared" si="110"/>
        <v>"qty":4186</v>
      </c>
      <c r="YH16" t="str">
        <f t="shared" si="110"/>
        <v>"qty":4186</v>
      </c>
      <c r="YI16" t="str">
        <f t="shared" si="110"/>
        <v>"qty":4175</v>
      </c>
      <c r="YJ16" t="str">
        <f t="shared" si="110"/>
        <v>"qty":4175</v>
      </c>
      <c r="YK16" t="str">
        <f t="shared" si="110"/>
        <v>"qty":4175</v>
      </c>
      <c r="YL16" t="str">
        <f t="shared" si="110"/>
        <v>"qty":4175</v>
      </c>
      <c r="YM16" t="str">
        <f t="shared" si="110"/>
        <v>"qty":4175</v>
      </c>
      <c r="YN16" t="str">
        <f t="shared" si="110"/>
        <v>"qty":4164</v>
      </c>
      <c r="YO16" t="str">
        <f t="shared" si="110"/>
        <v>"qty":4164</v>
      </c>
      <c r="YP16" t="str">
        <f t="shared" si="110"/>
        <v>"qty":4164</v>
      </c>
      <c r="YQ16" t="str">
        <f t="shared" si="110"/>
        <v>"qty":4164</v>
      </c>
      <c r="YR16" t="str">
        <f t="shared" si="110"/>
        <v>"qty":4164</v>
      </c>
      <c r="YS16" t="str">
        <f t="shared" si="110"/>
        <v>"qty":4154</v>
      </c>
      <c r="YT16" t="str">
        <f t="shared" si="110"/>
        <v>"qty":4152</v>
      </c>
      <c r="YU16" t="str">
        <f t="shared" si="110"/>
        <v>"qty":4152</v>
      </c>
      <c r="YV16" t="str">
        <f t="shared" si="110"/>
        <v>"qty":4142</v>
      </c>
      <c r="YW16" t="str">
        <f t="shared" si="110"/>
        <v>"qty":4137</v>
      </c>
      <c r="YX16" t="str">
        <f t="shared" si="110"/>
        <v>"qty":4107</v>
      </c>
      <c r="YY16" t="str">
        <f t="shared" si="110"/>
        <v>"qty":4107</v>
      </c>
      <c r="YZ16" t="str">
        <f t="shared" si="110"/>
        <v>"qty":4107</v>
      </c>
      <c r="ZA16" t="str">
        <f t="shared" si="110"/>
        <v>"qty":4095</v>
      </c>
      <c r="ZB16" t="str">
        <f t="shared" si="110"/>
        <v>"qty":4090</v>
      </c>
      <c r="ZC16" t="str">
        <f t="shared" si="110"/>
        <v>"qty":4090</v>
      </c>
      <c r="ZD16" t="str">
        <f t="shared" si="110"/>
        <v>"qty":4090</v>
      </c>
      <c r="ZE16" t="str">
        <f t="shared" si="110"/>
        <v>"qty":4081</v>
      </c>
      <c r="ZF16" t="str">
        <f t="shared" si="110"/>
        <v>"qty":4077</v>
      </c>
      <c r="ZG16" t="str">
        <f t="shared" si="110"/>
        <v>"qty":4077</v>
      </c>
      <c r="ZH16" t="str">
        <f t="shared" si="110"/>
        <v>"qty":4070</v>
      </c>
      <c r="ZI16" t="str">
        <f t="shared" si="110"/>
        <v>"qty":4070</v>
      </c>
      <c r="ZJ16" t="str">
        <f t="shared" si="110"/>
        <v>"qty":4053</v>
      </c>
      <c r="ZK16" t="str">
        <f t="shared" si="110"/>
        <v>"qty":4053</v>
      </c>
      <c r="ZL16" t="str">
        <f t="shared" si="110"/>
        <v>"qty":4048</v>
      </c>
      <c r="ZM16" t="str">
        <f t="shared" si="110"/>
        <v>"qty":4039</v>
      </c>
      <c r="ZN16" t="str">
        <f t="shared" si="110"/>
        <v>"qty":4039</v>
      </c>
      <c r="ZO16" t="str">
        <f t="shared" si="110"/>
        <v>"qty":4022</v>
      </c>
      <c r="ZP16" t="str">
        <f t="shared" si="110"/>
        <v>"qty":4018</v>
      </c>
      <c r="ZQ16" t="str">
        <f t="shared" si="110"/>
        <v>"qty":4011</v>
      </c>
      <c r="ZR16" t="str">
        <f t="shared" si="110"/>
        <v>"qty":4011</v>
      </c>
      <c r="ZS16" t="str">
        <f t="shared" si="110"/>
        <v>"qty":3983</v>
      </c>
      <c r="ZT16" t="str">
        <f t="shared" si="110"/>
        <v>"qty":3983</v>
      </c>
      <c r="ZU16" t="str">
        <f t="shared" si="110"/>
        <v>"qty":3982</v>
      </c>
      <c r="ZV16" t="str">
        <f t="shared" si="110"/>
        <v>"qty":3956</v>
      </c>
      <c r="ZW16" t="str">
        <f t="shared" si="110"/>
        <v>"qty":3956</v>
      </c>
      <c r="ZX16" t="str">
        <f t="shared" si="110"/>
        <v>"qty":3955</v>
      </c>
      <c r="ZY16" t="str">
        <f t="shared" si="110"/>
        <v>"qty":3930</v>
      </c>
      <c r="ZZ16" t="str">
        <f t="shared" si="110"/>
        <v>"qty":3930</v>
      </c>
      <c r="AAA16" t="str">
        <f t="shared" si="110"/>
        <v>"qty":3930</v>
      </c>
      <c r="AAB16" t="str">
        <f t="shared" si="110"/>
        <v>"qty":3925</v>
      </c>
      <c r="AAC16" t="str">
        <f t="shared" si="110"/>
        <v>"qty":3925</v>
      </c>
      <c r="AAD16" t="str">
        <f t="shared" si="110"/>
        <v>"qty":3925</v>
      </c>
      <c r="AAE16" t="str">
        <f t="shared" si="110"/>
        <v>"qty":3923</v>
      </c>
      <c r="AAF16" t="str">
        <f t="shared" si="110"/>
        <v>"qty":3905</v>
      </c>
      <c r="AAG16" t="str">
        <f t="shared" si="110"/>
        <v>"qty":3902</v>
      </c>
      <c r="AAH16" t="str">
        <f t="shared" si="110"/>
        <v>"qty":3902</v>
      </c>
      <c r="AAI16" t="str">
        <f t="shared" si="110"/>
        <v>"qty":3885</v>
      </c>
      <c r="AAJ16" t="str">
        <f t="shared" si="110"/>
        <v>"qty":3885</v>
      </c>
      <c r="AAK16" t="str">
        <f t="shared" si="110"/>
        <v>"qty":3884</v>
      </c>
      <c r="AAL16" t="str">
        <f t="shared" si="110"/>
        <v>"qty":3884</v>
      </c>
      <c r="AAM16" t="str">
        <f t="shared" si="110"/>
        <v>"qty":3884</v>
      </c>
      <c r="AAN16" t="str">
        <f t="shared" si="110"/>
        <v>"qty":3884</v>
      </c>
      <c r="AAO16" t="str">
        <f t="shared" si="110"/>
        <v>"qty":3868</v>
      </c>
      <c r="AAP16" t="str">
        <f t="shared" ref="AAP16:ADA16" si="111">_xlfn.CONCAT("""",$L$10,"""",":",AAP10)</f>
        <v>"qty":3868</v>
      </c>
      <c r="AAQ16" t="str">
        <f t="shared" si="111"/>
        <v>"qty":3868</v>
      </c>
      <c r="AAR16" t="str">
        <f t="shared" si="111"/>
        <v>"qty":3860</v>
      </c>
      <c r="AAS16" t="str">
        <f t="shared" si="111"/>
        <v>"qty":3853</v>
      </c>
      <c r="AAT16" t="str">
        <f t="shared" si="111"/>
        <v>"qty":3840</v>
      </c>
      <c r="AAU16" t="str">
        <f t="shared" si="111"/>
        <v>"qty":3840</v>
      </c>
      <c r="AAV16" t="str">
        <f t="shared" si="111"/>
        <v>"qty":3840</v>
      </c>
      <c r="AAW16" t="str">
        <f t="shared" si="111"/>
        <v>"qty":3837</v>
      </c>
      <c r="AAX16" t="str">
        <f t="shared" si="111"/>
        <v>"qty":3835</v>
      </c>
      <c r="AAY16" t="str">
        <f t="shared" si="111"/>
        <v>"qty":3833</v>
      </c>
      <c r="AAZ16" t="str">
        <f t="shared" si="111"/>
        <v>"qty":3826</v>
      </c>
      <c r="ABA16" t="str">
        <f t="shared" si="111"/>
        <v>"qty":3826</v>
      </c>
      <c r="ABB16" t="str">
        <f t="shared" si="111"/>
        <v>"qty":3826</v>
      </c>
      <c r="ABC16" t="str">
        <f t="shared" si="111"/>
        <v>"qty":3820</v>
      </c>
      <c r="ABD16" t="str">
        <f t="shared" si="111"/>
        <v>"qty":3820</v>
      </c>
      <c r="ABE16" t="str">
        <f t="shared" si="111"/>
        <v>"qty":3820</v>
      </c>
      <c r="ABF16" t="str">
        <f t="shared" si="111"/>
        <v>"qty":3820</v>
      </c>
      <c r="ABG16" t="str">
        <f t="shared" si="111"/>
        <v>"qty":3815</v>
      </c>
      <c r="ABH16" t="str">
        <f t="shared" si="111"/>
        <v>"qty":3814</v>
      </c>
      <c r="ABI16" t="str">
        <f t="shared" si="111"/>
        <v>"qty":3814</v>
      </c>
      <c r="ABJ16" t="str">
        <f t="shared" si="111"/>
        <v>"qty":3806</v>
      </c>
      <c r="ABK16" t="str">
        <f t="shared" si="111"/>
        <v>"qty":3806</v>
      </c>
      <c r="ABL16" t="str">
        <f t="shared" si="111"/>
        <v>"qty":3806</v>
      </c>
      <c r="ABM16" t="str">
        <f t="shared" si="111"/>
        <v>"qty":3795</v>
      </c>
      <c r="ABN16" t="str">
        <f t="shared" si="111"/>
        <v>"qty":3795</v>
      </c>
      <c r="ABO16" t="str">
        <f t="shared" si="111"/>
        <v>"qty":3792</v>
      </c>
      <c r="ABP16" t="str">
        <f t="shared" si="111"/>
        <v>"qty":3783</v>
      </c>
      <c r="ABQ16" t="str">
        <f t="shared" si="111"/>
        <v>"qty":3779</v>
      </c>
      <c r="ABR16" t="str">
        <f t="shared" si="111"/>
        <v>"qty":3779</v>
      </c>
      <c r="ABS16" t="str">
        <f t="shared" si="111"/>
        <v>"qty":3776</v>
      </c>
      <c r="ABT16" t="str">
        <f t="shared" si="111"/>
        <v>"qty":3776</v>
      </c>
      <c r="ABU16" t="str">
        <f t="shared" si="111"/>
        <v>"qty":3774</v>
      </c>
      <c r="ABV16" t="str">
        <f t="shared" si="111"/>
        <v>"qty":3774</v>
      </c>
      <c r="ABW16" t="str">
        <f t="shared" si="111"/>
        <v>"qty":3768</v>
      </c>
      <c r="ABX16" t="str">
        <f t="shared" si="111"/>
        <v>"qty":3768</v>
      </c>
      <c r="ABY16" t="str">
        <f t="shared" si="111"/>
        <v>"qty":3766</v>
      </c>
      <c r="ABZ16" t="str">
        <f t="shared" si="111"/>
        <v>"qty":3766</v>
      </c>
      <c r="ACA16" t="str">
        <f t="shared" si="111"/>
        <v>"qty":3750</v>
      </c>
      <c r="ACB16" t="str">
        <f t="shared" si="111"/>
        <v>"qty":3750</v>
      </c>
      <c r="ACC16" t="str">
        <f t="shared" si="111"/>
        <v>"qty":3743</v>
      </c>
      <c r="ACD16" t="str">
        <f t="shared" si="111"/>
        <v>"qty":3743</v>
      </c>
      <c r="ACE16" t="str">
        <f t="shared" si="111"/>
        <v>"qty":3734</v>
      </c>
      <c r="ACF16" t="str">
        <f t="shared" si="111"/>
        <v>"qty":3734</v>
      </c>
      <c r="ACG16" t="str">
        <f t="shared" si="111"/>
        <v>"qty":3720</v>
      </c>
      <c r="ACH16" t="str">
        <f t="shared" si="111"/>
        <v>"qty":3718</v>
      </c>
      <c r="ACI16" t="str">
        <f t="shared" si="111"/>
        <v>"qty":3711</v>
      </c>
      <c r="ACJ16" t="str">
        <f t="shared" si="111"/>
        <v>"qty":3711</v>
      </c>
      <c r="ACK16" t="str">
        <f t="shared" si="111"/>
        <v>"qty":3703</v>
      </c>
      <c r="ACL16" t="str">
        <f t="shared" si="111"/>
        <v>"qty":3700</v>
      </c>
      <c r="ACM16" t="str">
        <f t="shared" si="111"/>
        <v>"qty":3700</v>
      </c>
      <c r="ACN16" t="str">
        <f t="shared" si="111"/>
        <v>"qty":3676</v>
      </c>
      <c r="ACO16" t="str">
        <f t="shared" si="111"/>
        <v>"qty":3664</v>
      </c>
      <c r="ACP16" t="str">
        <f t="shared" si="111"/>
        <v>"qty":3654</v>
      </c>
      <c r="ACQ16" t="str">
        <f t="shared" si="111"/>
        <v>"qty":3619</v>
      </c>
      <c r="ACR16" t="str">
        <f t="shared" si="111"/>
        <v>"qty":3619</v>
      </c>
      <c r="ACS16" t="str">
        <f t="shared" si="111"/>
        <v>"qty":3619</v>
      </c>
      <c r="ACT16" t="str">
        <f t="shared" si="111"/>
        <v>"qty":3595</v>
      </c>
      <c r="ACU16" t="str">
        <f t="shared" si="111"/>
        <v>"qty":3595</v>
      </c>
      <c r="ACV16" t="str">
        <f t="shared" si="111"/>
        <v>"qty":3595</v>
      </c>
      <c r="ACW16" t="str">
        <f t="shared" si="111"/>
        <v>"qty":3593</v>
      </c>
      <c r="ACX16" t="str">
        <f t="shared" si="111"/>
        <v>"qty":3590</v>
      </c>
      <c r="ACY16" t="str">
        <f t="shared" si="111"/>
        <v>"qty":3584</v>
      </c>
      <c r="ACZ16" t="str">
        <f t="shared" si="111"/>
        <v>"qty":3582</v>
      </c>
      <c r="ADA16" t="str">
        <f t="shared" si="111"/>
        <v>"qty":3582</v>
      </c>
      <c r="ADB16" t="str">
        <f t="shared" ref="ADB16:AFM16" si="112">_xlfn.CONCAT("""",$L$10,"""",":",ADB10)</f>
        <v>"qty":3582</v>
      </c>
      <c r="ADC16" t="str">
        <f t="shared" si="112"/>
        <v>"qty":3582</v>
      </c>
      <c r="ADD16" t="str">
        <f t="shared" si="112"/>
        <v>"qty":3556</v>
      </c>
      <c r="ADE16" t="str">
        <f t="shared" si="112"/>
        <v>"qty":3556</v>
      </c>
      <c r="ADF16" t="str">
        <f t="shared" si="112"/>
        <v>"qty":3544</v>
      </c>
      <c r="ADG16" t="str">
        <f t="shared" si="112"/>
        <v>"qty":3544</v>
      </c>
      <c r="ADH16" t="str">
        <f t="shared" si="112"/>
        <v>"qty":3539</v>
      </c>
      <c r="ADI16" t="str">
        <f t="shared" si="112"/>
        <v>"qty":3539</v>
      </c>
      <c r="ADJ16" t="str">
        <f t="shared" si="112"/>
        <v>"qty":3539</v>
      </c>
      <c r="ADK16" t="str">
        <f t="shared" si="112"/>
        <v>"qty":3536</v>
      </c>
      <c r="ADL16" t="str">
        <f t="shared" si="112"/>
        <v>"qty":3536</v>
      </c>
      <c r="ADM16" t="str">
        <f t="shared" si="112"/>
        <v>"qty":3536</v>
      </c>
      <c r="ADN16" t="str">
        <f t="shared" si="112"/>
        <v>"qty":3536</v>
      </c>
      <c r="ADO16" t="str">
        <f t="shared" si="112"/>
        <v>"qty":3534</v>
      </c>
      <c r="ADP16" t="str">
        <f t="shared" si="112"/>
        <v>"qty":3525</v>
      </c>
      <c r="ADQ16" t="str">
        <f t="shared" si="112"/>
        <v>"qty":3525</v>
      </c>
      <c r="ADR16" t="str">
        <f t="shared" si="112"/>
        <v>"qty":3525</v>
      </c>
      <c r="ADS16" t="str">
        <f t="shared" si="112"/>
        <v>"qty":3525</v>
      </c>
      <c r="ADT16" t="str">
        <f t="shared" si="112"/>
        <v>"qty":3525</v>
      </c>
      <c r="ADU16" t="str">
        <f t="shared" si="112"/>
        <v>"qty":3520</v>
      </c>
      <c r="ADV16" t="str">
        <f t="shared" si="112"/>
        <v>"qty":3520</v>
      </c>
      <c r="ADW16" t="str">
        <f t="shared" si="112"/>
        <v>"qty":3519</v>
      </c>
      <c r="ADX16" t="str">
        <f t="shared" si="112"/>
        <v>"qty":3519</v>
      </c>
      <c r="ADY16" t="str">
        <f t="shared" si="112"/>
        <v>"qty":3519</v>
      </c>
      <c r="ADZ16" t="str">
        <f t="shared" si="112"/>
        <v>"qty":3505</v>
      </c>
      <c r="AEA16" t="str">
        <f t="shared" si="112"/>
        <v>"qty":3505</v>
      </c>
      <c r="AEB16" t="str">
        <f t="shared" si="112"/>
        <v>"qty":3501</v>
      </c>
      <c r="AEC16" t="str">
        <f t="shared" si="112"/>
        <v>"qty":3470</v>
      </c>
      <c r="AED16" t="str">
        <f t="shared" si="112"/>
        <v>"qty":3470</v>
      </c>
      <c r="AEE16" t="str">
        <f t="shared" si="112"/>
        <v>"qty":3470</v>
      </c>
      <c r="AEF16" t="str">
        <f t="shared" si="112"/>
        <v>"qty":3442</v>
      </c>
      <c r="AEG16" t="str">
        <f t="shared" si="112"/>
        <v>"qty":3437</v>
      </c>
      <c r="AEH16" t="str">
        <f t="shared" si="112"/>
        <v>"qty":3436</v>
      </c>
      <c r="AEI16" t="str">
        <f t="shared" si="112"/>
        <v>"qty":3429</v>
      </c>
      <c r="AEJ16" t="str">
        <f t="shared" si="112"/>
        <v>"qty":3408</v>
      </c>
      <c r="AEK16" t="str">
        <f t="shared" si="112"/>
        <v>"qty":3408</v>
      </c>
      <c r="AEL16" t="str">
        <f t="shared" si="112"/>
        <v>"qty":3386</v>
      </c>
      <c r="AEM16" t="str">
        <f t="shared" si="112"/>
        <v>"qty":3386</v>
      </c>
      <c r="AEN16" t="str">
        <f t="shared" si="112"/>
        <v>"qty":3384</v>
      </c>
      <c r="AEO16" t="str">
        <f t="shared" si="112"/>
        <v>"qty":3382</v>
      </c>
      <c r="AEP16" t="str">
        <f t="shared" si="112"/>
        <v>"qty":3374</v>
      </c>
      <c r="AEQ16" t="str">
        <f t="shared" si="112"/>
        <v>"qty":3374</v>
      </c>
      <c r="AER16" t="str">
        <f t="shared" si="112"/>
        <v>"qty":3374</v>
      </c>
      <c r="AES16" t="str">
        <f t="shared" si="112"/>
        <v>"qty":3374</v>
      </c>
      <c r="AET16" t="str">
        <f t="shared" si="112"/>
        <v>"qty":3361</v>
      </c>
      <c r="AEU16" t="str">
        <f t="shared" si="112"/>
        <v>"qty":3361</v>
      </c>
      <c r="AEV16" t="str">
        <f t="shared" si="112"/>
        <v>"qty":3358</v>
      </c>
      <c r="AEW16" t="str">
        <f t="shared" si="112"/>
        <v>"qty":3358</v>
      </c>
      <c r="AEX16" t="str">
        <f t="shared" si="112"/>
        <v>"qty":3358</v>
      </c>
      <c r="AEY16" t="str">
        <f t="shared" si="112"/>
        <v>"qty":3358</v>
      </c>
      <c r="AEZ16" t="str">
        <f t="shared" si="112"/>
        <v>"qty":3358</v>
      </c>
      <c r="AFA16" t="str">
        <f t="shared" si="112"/>
        <v>"qty":3356</v>
      </c>
      <c r="AFB16" t="str">
        <f t="shared" si="112"/>
        <v>"qty":3356</v>
      </c>
      <c r="AFC16" t="str">
        <f t="shared" si="112"/>
        <v>"qty":3356</v>
      </c>
      <c r="AFD16" t="str">
        <f t="shared" si="112"/>
        <v>"qty":3356</v>
      </c>
      <c r="AFE16" t="str">
        <f t="shared" si="112"/>
        <v>"qty":3356</v>
      </c>
      <c r="AFF16" t="str">
        <f t="shared" si="112"/>
        <v>"qty":3346</v>
      </c>
      <c r="AFG16" t="str">
        <f t="shared" si="112"/>
        <v>"qty":3346</v>
      </c>
      <c r="AFH16" t="str">
        <f t="shared" si="112"/>
        <v>"qty":3346</v>
      </c>
      <c r="AFI16" t="str">
        <f t="shared" si="112"/>
        <v>"qty":3346</v>
      </c>
      <c r="AFJ16" t="str">
        <f t="shared" si="112"/>
        <v>"qty":3346</v>
      </c>
      <c r="AFK16" t="str">
        <f t="shared" si="112"/>
        <v>"qty":3346</v>
      </c>
      <c r="AFL16" t="str">
        <f t="shared" si="112"/>
        <v>"qty":3337</v>
      </c>
      <c r="AFM16" t="str">
        <f t="shared" si="112"/>
        <v>"qty":3334</v>
      </c>
      <c r="AFN16" t="str">
        <f t="shared" ref="AFN16:AHY16" si="113">_xlfn.CONCAT("""",$L$10,"""",":",AFN10)</f>
        <v>"qty":3324</v>
      </c>
      <c r="AFO16" t="str">
        <f t="shared" si="113"/>
        <v>"qty":3318</v>
      </c>
      <c r="AFP16" t="str">
        <f t="shared" si="113"/>
        <v>"qty":3318</v>
      </c>
      <c r="AFQ16" t="str">
        <f t="shared" si="113"/>
        <v>"qty":3309</v>
      </c>
      <c r="AFR16" t="str">
        <f t="shared" si="113"/>
        <v>"qty":3296</v>
      </c>
      <c r="AFS16" t="str">
        <f t="shared" si="113"/>
        <v>"qty":3296</v>
      </c>
      <c r="AFT16" t="str">
        <f t="shared" si="113"/>
        <v>"qty":3293</v>
      </c>
      <c r="AFU16" t="str">
        <f t="shared" si="113"/>
        <v>"qty":3293</v>
      </c>
      <c r="AFV16" t="str">
        <f t="shared" si="113"/>
        <v>"qty":3293</v>
      </c>
      <c r="AFW16" t="str">
        <f t="shared" si="113"/>
        <v>"qty":3293</v>
      </c>
      <c r="AFX16" t="str">
        <f t="shared" si="113"/>
        <v>"qty":3293</v>
      </c>
      <c r="AFY16" t="str">
        <f t="shared" si="113"/>
        <v>"qty":3293</v>
      </c>
      <c r="AFZ16" t="str">
        <f t="shared" si="113"/>
        <v>"qty":3293</v>
      </c>
      <c r="AGA16" t="str">
        <f t="shared" si="113"/>
        <v>"qty":3287</v>
      </c>
      <c r="AGB16" t="str">
        <f t="shared" si="113"/>
        <v>"qty":3287</v>
      </c>
      <c r="AGC16" t="str">
        <f t="shared" si="113"/>
        <v>"qty":3287</v>
      </c>
      <c r="AGD16" t="str">
        <f t="shared" si="113"/>
        <v>"qty":3280</v>
      </c>
      <c r="AGE16" t="str">
        <f t="shared" si="113"/>
        <v>"qty":3278</v>
      </c>
      <c r="AGF16" t="str">
        <f t="shared" si="113"/>
        <v>"qty":3276</v>
      </c>
      <c r="AGG16" t="str">
        <f t="shared" si="113"/>
        <v>"qty":3276</v>
      </c>
      <c r="AGH16" t="str">
        <f t="shared" si="113"/>
        <v>"qty":3276</v>
      </c>
      <c r="AGI16" t="str">
        <f t="shared" si="113"/>
        <v>"qty":3276</v>
      </c>
      <c r="AGJ16" t="str">
        <f t="shared" si="113"/>
        <v>"qty":3259</v>
      </c>
      <c r="AGK16" t="str">
        <f t="shared" si="113"/>
        <v>"qty":3259</v>
      </c>
      <c r="AGL16" t="str">
        <f t="shared" si="113"/>
        <v>"qty":3258</v>
      </c>
      <c r="AGM16" t="str">
        <f t="shared" si="113"/>
        <v>"qty":3256</v>
      </c>
      <c r="AGN16" t="str">
        <f t="shared" si="113"/>
        <v>"qty":3247</v>
      </c>
      <c r="AGO16" t="str">
        <f t="shared" si="113"/>
        <v>"qty":3247</v>
      </c>
      <c r="AGP16" t="str">
        <f t="shared" si="113"/>
        <v>"qty":3247</v>
      </c>
      <c r="AGQ16" t="str">
        <f t="shared" si="113"/>
        <v>"qty":3247</v>
      </c>
      <c r="AGR16" t="str">
        <f t="shared" si="113"/>
        <v>"qty":3247</v>
      </c>
      <c r="AGS16" t="str">
        <f t="shared" si="113"/>
        <v>"qty":3247</v>
      </c>
      <c r="AGT16" t="str">
        <f t="shared" si="113"/>
        <v>"qty":3221</v>
      </c>
      <c r="AGU16" t="str">
        <f t="shared" si="113"/>
        <v>"qty":3218</v>
      </c>
      <c r="AGV16" t="str">
        <f t="shared" si="113"/>
        <v>"qty":3218</v>
      </c>
      <c r="AGW16" t="str">
        <f t="shared" si="113"/>
        <v>"qty":3198</v>
      </c>
      <c r="AGX16" t="str">
        <f t="shared" si="113"/>
        <v>"qty":3198</v>
      </c>
      <c r="AGY16" t="str">
        <f t="shared" si="113"/>
        <v>"qty":3198</v>
      </c>
      <c r="AGZ16" t="str">
        <f t="shared" si="113"/>
        <v>"qty":3197</v>
      </c>
      <c r="AHA16" t="str">
        <f t="shared" si="113"/>
        <v>"qty":3189</v>
      </c>
      <c r="AHB16" t="str">
        <f t="shared" si="113"/>
        <v>"qty":3189</v>
      </c>
      <c r="AHC16" t="str">
        <f t="shared" si="113"/>
        <v>"qty":3189</v>
      </c>
      <c r="AHD16" t="str">
        <f t="shared" si="113"/>
        <v>"qty":3184</v>
      </c>
      <c r="AHE16" t="str">
        <f t="shared" si="113"/>
        <v>"qty":3184</v>
      </c>
      <c r="AHF16" t="str">
        <f t="shared" si="113"/>
        <v>"qty":3167</v>
      </c>
      <c r="AHG16" t="str">
        <f t="shared" si="113"/>
        <v>"qty":3162</v>
      </c>
      <c r="AHH16" t="str">
        <f t="shared" si="113"/>
        <v>"qty":3162</v>
      </c>
      <c r="AHI16" t="str">
        <f t="shared" si="113"/>
        <v>"qty":3152</v>
      </c>
      <c r="AHJ16" t="str">
        <f t="shared" si="113"/>
        <v>"qty":3152</v>
      </c>
      <c r="AHK16" t="str">
        <f t="shared" si="113"/>
        <v>"qty":3127</v>
      </c>
      <c r="AHL16" t="str">
        <f t="shared" si="113"/>
        <v>"qty":3124</v>
      </c>
      <c r="AHM16" t="str">
        <f t="shared" si="113"/>
        <v>"qty":3124</v>
      </c>
      <c r="AHN16" t="str">
        <f t="shared" si="113"/>
        <v>"qty":3124</v>
      </c>
      <c r="AHO16" t="str">
        <f t="shared" si="113"/>
        <v>"qty":3124</v>
      </c>
      <c r="AHP16" t="str">
        <f t="shared" si="113"/>
        <v>"qty":3124</v>
      </c>
      <c r="AHQ16" t="str">
        <f t="shared" si="113"/>
        <v>"qty":3124</v>
      </c>
      <c r="AHR16" t="str">
        <f t="shared" si="113"/>
        <v>"qty":3093</v>
      </c>
      <c r="AHS16" t="str">
        <f t="shared" si="113"/>
        <v>"qty":3093</v>
      </c>
      <c r="AHT16" t="str">
        <f t="shared" si="113"/>
        <v>"qty":3093</v>
      </c>
      <c r="AHU16" t="str">
        <f t="shared" si="113"/>
        <v>"qty":3093</v>
      </c>
      <c r="AHV16" t="str">
        <f t="shared" si="113"/>
        <v>"qty":3093</v>
      </c>
      <c r="AHW16" t="str">
        <f t="shared" si="113"/>
        <v>"qty":3081</v>
      </c>
      <c r="AHX16" t="str">
        <f t="shared" si="113"/>
        <v>"qty":3081</v>
      </c>
      <c r="AHY16" t="str">
        <f t="shared" si="113"/>
        <v>"qty":3081</v>
      </c>
      <c r="AHZ16" t="str">
        <f t="shared" ref="AHZ16:AKK16" si="114">_xlfn.CONCAT("""",$L$10,"""",":",AHZ10)</f>
        <v>"qty":3081</v>
      </c>
      <c r="AIA16" t="str">
        <f t="shared" si="114"/>
        <v>"qty":3079</v>
      </c>
      <c r="AIB16" t="str">
        <f t="shared" si="114"/>
        <v>"qty":3078</v>
      </c>
      <c r="AIC16" t="str">
        <f t="shared" si="114"/>
        <v>"qty":3078</v>
      </c>
      <c r="AID16" t="str">
        <f t="shared" si="114"/>
        <v>"qty":3067</v>
      </c>
      <c r="AIE16" t="str">
        <f t="shared" si="114"/>
        <v>"qty":3067</v>
      </c>
      <c r="AIF16" t="str">
        <f t="shared" si="114"/>
        <v>"qty":3044</v>
      </c>
      <c r="AIG16" t="str">
        <f t="shared" si="114"/>
        <v>"qty":3017</v>
      </c>
      <c r="AIH16" t="str">
        <f t="shared" si="114"/>
        <v>"qty":3010</v>
      </c>
      <c r="AII16" t="str">
        <f t="shared" si="114"/>
        <v>"qty":3010</v>
      </c>
      <c r="AIJ16" t="str">
        <f t="shared" si="114"/>
        <v>"qty":3005</v>
      </c>
      <c r="AIK16" t="str">
        <f t="shared" si="114"/>
        <v>"qty":3000</v>
      </c>
      <c r="AIL16" t="str">
        <f t="shared" si="114"/>
        <v>"qty":2997</v>
      </c>
      <c r="AIM16" t="str">
        <f t="shared" si="114"/>
        <v>"qty":2997</v>
      </c>
      <c r="AIN16" t="str">
        <f t="shared" si="114"/>
        <v>"qty":2995</v>
      </c>
      <c r="AIO16" t="str">
        <f t="shared" si="114"/>
        <v>"qty":2994</v>
      </c>
      <c r="AIP16" t="str">
        <f t="shared" si="114"/>
        <v>"qty":2994</v>
      </c>
      <c r="AIQ16" t="str">
        <f t="shared" si="114"/>
        <v>"qty":2994</v>
      </c>
      <c r="AIR16" t="str">
        <f t="shared" si="114"/>
        <v>"qty":2981</v>
      </c>
      <c r="AIS16" t="str">
        <f t="shared" si="114"/>
        <v>"qty":2981</v>
      </c>
      <c r="AIT16" t="str">
        <f t="shared" si="114"/>
        <v>"qty":2963</v>
      </c>
      <c r="AIU16" t="str">
        <f t="shared" si="114"/>
        <v>"qty":2960</v>
      </c>
      <c r="AIV16" t="str">
        <f t="shared" si="114"/>
        <v>"qty":2960</v>
      </c>
      <c r="AIW16" t="str">
        <f t="shared" si="114"/>
        <v>"qty":2958</v>
      </c>
      <c r="AIX16" t="str">
        <f t="shared" si="114"/>
        <v>"qty":2952</v>
      </c>
      <c r="AIY16" t="str">
        <f t="shared" si="114"/>
        <v>"qty":2945</v>
      </c>
      <c r="AIZ16" t="str">
        <f t="shared" si="114"/>
        <v>"qty":2932</v>
      </c>
      <c r="AJA16" t="str">
        <f t="shared" si="114"/>
        <v>"qty":2927</v>
      </c>
      <c r="AJB16" t="str">
        <f t="shared" si="114"/>
        <v>"qty":2927</v>
      </c>
      <c r="AJC16" t="str">
        <f t="shared" si="114"/>
        <v>"qty":2927</v>
      </c>
      <c r="AJD16" t="str">
        <f t="shared" si="114"/>
        <v>"qty":2927</v>
      </c>
      <c r="AJE16" t="str">
        <f t="shared" si="114"/>
        <v>"qty":2924</v>
      </c>
      <c r="AJF16" t="str">
        <f t="shared" si="114"/>
        <v>"qty":2923</v>
      </c>
      <c r="AJG16" t="str">
        <f t="shared" si="114"/>
        <v>"qty":2911</v>
      </c>
      <c r="AJH16" t="str">
        <f t="shared" si="114"/>
        <v>"qty":2911</v>
      </c>
      <c r="AJI16" t="str">
        <f t="shared" si="114"/>
        <v>"qty":2909</v>
      </c>
      <c r="AJJ16" t="str">
        <f t="shared" si="114"/>
        <v>"qty":2909</v>
      </c>
      <c r="AJK16" t="str">
        <f t="shared" si="114"/>
        <v>"qty":2891</v>
      </c>
      <c r="AJL16" t="str">
        <f t="shared" si="114"/>
        <v>"qty":2866</v>
      </c>
      <c r="AJM16" t="str">
        <f t="shared" si="114"/>
        <v>"qty":2863</v>
      </c>
      <c r="AJN16" t="str">
        <f t="shared" si="114"/>
        <v>"qty":2860</v>
      </c>
      <c r="AJO16" t="str">
        <f t="shared" si="114"/>
        <v>"qty":2860</v>
      </c>
      <c r="AJP16" t="str">
        <f t="shared" si="114"/>
        <v>"qty":2851</v>
      </c>
      <c r="AJQ16" t="str">
        <f t="shared" si="114"/>
        <v>"qty":2850</v>
      </c>
      <c r="AJR16" t="str">
        <f t="shared" si="114"/>
        <v>"qty":2846</v>
      </c>
      <c r="AJS16" t="str">
        <f t="shared" si="114"/>
        <v>"qty":2846</v>
      </c>
      <c r="AJT16" t="str">
        <f t="shared" si="114"/>
        <v>"qty":2826</v>
      </c>
      <c r="AJU16" t="str">
        <f t="shared" si="114"/>
        <v>"qty":2822</v>
      </c>
      <c r="AJV16" t="str">
        <f t="shared" si="114"/>
        <v>"qty":2822</v>
      </c>
      <c r="AJW16" t="str">
        <f t="shared" si="114"/>
        <v>"qty":2822</v>
      </c>
      <c r="AJX16" t="str">
        <f t="shared" si="114"/>
        <v>"qty":2802</v>
      </c>
      <c r="AJY16" t="str">
        <f t="shared" si="114"/>
        <v>"qty":2802</v>
      </c>
      <c r="AJZ16" t="str">
        <f t="shared" si="114"/>
        <v>"qty":2795</v>
      </c>
      <c r="AKA16" t="str">
        <f t="shared" si="114"/>
        <v>"qty":2790</v>
      </c>
      <c r="AKB16" t="str">
        <f t="shared" si="114"/>
        <v>"qty":2790</v>
      </c>
      <c r="AKC16" t="str">
        <f t="shared" si="114"/>
        <v>"qty":2790</v>
      </c>
      <c r="AKD16" t="str">
        <f t="shared" si="114"/>
        <v>"qty":2790</v>
      </c>
      <c r="AKE16" t="str">
        <f t="shared" si="114"/>
        <v>"qty":2788</v>
      </c>
      <c r="AKF16" t="str">
        <f t="shared" si="114"/>
        <v>"qty":2788</v>
      </c>
      <c r="AKG16" t="str">
        <f t="shared" si="114"/>
        <v>"qty":2786</v>
      </c>
      <c r="AKH16" t="str">
        <f t="shared" si="114"/>
        <v>"qty":2786</v>
      </c>
      <c r="AKI16" t="str">
        <f t="shared" si="114"/>
        <v>"qty":2786</v>
      </c>
      <c r="AKJ16" t="str">
        <f t="shared" si="114"/>
        <v>"qty":2786</v>
      </c>
      <c r="AKK16" t="str">
        <f t="shared" si="114"/>
        <v>"qty":2786</v>
      </c>
      <c r="AKL16" t="str">
        <f t="shared" ref="AKL16:AMW16" si="115">_xlfn.CONCAT("""",$L$10,"""",":",AKL10)</f>
        <v>"qty":2778</v>
      </c>
      <c r="AKM16" t="str">
        <f t="shared" si="115"/>
        <v>"qty":2778</v>
      </c>
      <c r="AKN16" t="str">
        <f t="shared" si="115"/>
        <v>"qty":2778</v>
      </c>
      <c r="AKO16" t="str">
        <f t="shared" si="115"/>
        <v>"qty":2774</v>
      </c>
      <c r="AKP16" t="str">
        <f t="shared" si="115"/>
        <v>"qty":2763</v>
      </c>
      <c r="AKQ16" t="str">
        <f t="shared" si="115"/>
        <v>"qty":2722</v>
      </c>
      <c r="AKR16" t="str">
        <f t="shared" si="115"/>
        <v>"qty":2722</v>
      </c>
      <c r="AKS16" t="str">
        <f t="shared" si="115"/>
        <v>"qty":2722</v>
      </c>
      <c r="AKT16" t="str">
        <f t="shared" si="115"/>
        <v>"qty":2722</v>
      </c>
      <c r="AKU16" t="str">
        <f t="shared" si="115"/>
        <v>"qty":2694</v>
      </c>
      <c r="AKV16" t="str">
        <f t="shared" si="115"/>
        <v>"qty":2694</v>
      </c>
      <c r="AKW16" t="str">
        <f t="shared" si="115"/>
        <v>"qty":2683</v>
      </c>
      <c r="AKX16" t="str">
        <f t="shared" si="115"/>
        <v>"qty":2678</v>
      </c>
      <c r="AKY16" t="str">
        <f t="shared" si="115"/>
        <v>"qty":2656</v>
      </c>
      <c r="AKZ16" t="str">
        <f t="shared" si="115"/>
        <v>"qty":2656</v>
      </c>
      <c r="ALA16" t="str">
        <f t="shared" si="115"/>
        <v>"qty":2654</v>
      </c>
      <c r="ALB16" t="str">
        <f t="shared" si="115"/>
        <v>"qty":2654</v>
      </c>
      <c r="ALC16" t="str">
        <f t="shared" si="115"/>
        <v>"qty":2652</v>
      </c>
      <c r="ALD16" t="str">
        <f t="shared" si="115"/>
        <v>"qty":2640</v>
      </c>
      <c r="ALE16" t="str">
        <f t="shared" si="115"/>
        <v>"qty":2640</v>
      </c>
      <c r="ALF16" t="str">
        <f t="shared" si="115"/>
        <v>"qty":2629</v>
      </c>
      <c r="ALG16" t="str">
        <f t="shared" si="115"/>
        <v>"qty":2629</v>
      </c>
      <c r="ALH16" t="str">
        <f t="shared" si="115"/>
        <v>"qty":2614</v>
      </c>
      <c r="ALI16" t="str">
        <f t="shared" si="115"/>
        <v>"qty":2614</v>
      </c>
      <c r="ALJ16" t="str">
        <f t="shared" si="115"/>
        <v>"qty":2614</v>
      </c>
      <c r="ALK16" t="str">
        <f t="shared" si="115"/>
        <v>"qty":2576</v>
      </c>
      <c r="ALL16" t="str">
        <f t="shared" si="115"/>
        <v>"qty":2576</v>
      </c>
      <c r="ALM16" t="str">
        <f t="shared" si="115"/>
        <v>"qty":2576</v>
      </c>
      <c r="ALN16" t="str">
        <f t="shared" si="115"/>
        <v>"qty":2576</v>
      </c>
      <c r="ALO16" t="str">
        <f t="shared" si="115"/>
        <v>"qty":2575</v>
      </c>
      <c r="ALP16" t="str">
        <f t="shared" si="115"/>
        <v>"qty":2575</v>
      </c>
      <c r="ALQ16" t="str">
        <f t="shared" si="115"/>
        <v>"qty":2575</v>
      </c>
      <c r="ALR16" t="str">
        <f t="shared" si="115"/>
        <v>"qty":2575</v>
      </c>
      <c r="ALS16" t="str">
        <f t="shared" si="115"/>
        <v>"qty":2571</v>
      </c>
      <c r="ALT16" t="str">
        <f t="shared" si="115"/>
        <v>"qty":2571</v>
      </c>
      <c r="ALU16" t="str">
        <f t="shared" si="115"/>
        <v>"qty":2570</v>
      </c>
      <c r="ALV16" t="str">
        <f t="shared" si="115"/>
        <v>"qty":2569</v>
      </c>
      <c r="ALW16" t="str">
        <f t="shared" si="115"/>
        <v>"qty":2565</v>
      </c>
      <c r="ALX16" t="str">
        <f t="shared" si="115"/>
        <v>"qty":2565</v>
      </c>
      <c r="ALY16" t="str">
        <f t="shared" si="115"/>
        <v>"qty":2565</v>
      </c>
      <c r="ALZ16" t="str">
        <f t="shared" si="115"/>
        <v>"qty":2565</v>
      </c>
      <c r="AMA16" t="str">
        <f t="shared" si="115"/>
        <v>"qty":2563</v>
      </c>
      <c r="AMB16" t="str">
        <f t="shared" si="115"/>
        <v>"qty":2563</v>
      </c>
      <c r="AMC16" t="str">
        <f t="shared" si="115"/>
        <v>"qty":2563</v>
      </c>
      <c r="AMD16" t="str">
        <f t="shared" si="115"/>
        <v>"qty":2563</v>
      </c>
      <c r="AME16" t="str">
        <f t="shared" si="115"/>
        <v>"qty":2557</v>
      </c>
      <c r="AMF16" t="str">
        <f t="shared" si="115"/>
        <v>"qty":2557</v>
      </c>
      <c r="AMG16" t="str">
        <f t="shared" si="115"/>
        <v>"qty":2553</v>
      </c>
      <c r="AMH16" t="str">
        <f t="shared" si="115"/>
        <v>"qty":2542</v>
      </c>
      <c r="AMI16" t="str">
        <f t="shared" si="115"/>
        <v>"qty":2542</v>
      </c>
      <c r="AMJ16" t="str">
        <f t="shared" si="115"/>
        <v>"qty":2541</v>
      </c>
      <c r="AMK16" t="str">
        <f t="shared" si="115"/>
        <v>"qty":2532</v>
      </c>
      <c r="AML16" t="str">
        <f t="shared" si="115"/>
        <v>"qty":2532</v>
      </c>
      <c r="AMM16" t="str">
        <f t="shared" si="115"/>
        <v>"qty":2528</v>
      </c>
      <c r="AMN16" t="str">
        <f t="shared" si="115"/>
        <v>"qty":2528</v>
      </c>
      <c r="AMO16" t="str">
        <f t="shared" si="115"/>
        <v>"qty":2523</v>
      </c>
      <c r="AMP16" t="str">
        <f t="shared" si="115"/>
        <v>"qty":2500</v>
      </c>
      <c r="AMQ16" t="str">
        <f t="shared" si="115"/>
        <v>"qty":2500</v>
      </c>
      <c r="AMR16" t="str">
        <f t="shared" si="115"/>
        <v>"qty":2500</v>
      </c>
      <c r="AMS16" t="str">
        <f t="shared" si="115"/>
        <v>"qty":2498</v>
      </c>
      <c r="AMT16" t="str">
        <f t="shared" si="115"/>
        <v>"qty":2490</v>
      </c>
      <c r="AMU16" t="str">
        <f t="shared" si="115"/>
        <v>"qty":2481</v>
      </c>
      <c r="AMV16" t="str">
        <f t="shared" si="115"/>
        <v>"qty":2479</v>
      </c>
      <c r="AMW16" t="str">
        <f t="shared" si="115"/>
        <v>"qty":2478</v>
      </c>
      <c r="AMX16" t="str">
        <f t="shared" ref="AMX16:API16" si="116">_xlfn.CONCAT("""",$L$10,"""",":",AMX10)</f>
        <v>"qty":2468</v>
      </c>
      <c r="AMY16" t="str">
        <f t="shared" si="116"/>
        <v>"qty":2468</v>
      </c>
      <c r="AMZ16" t="str">
        <f t="shared" si="116"/>
        <v>"qty":2468</v>
      </c>
      <c r="ANA16" t="str">
        <f t="shared" si="116"/>
        <v>"qty":2467</v>
      </c>
      <c r="ANB16" t="str">
        <f t="shared" si="116"/>
        <v>"qty":2466</v>
      </c>
      <c r="ANC16" t="str">
        <f t="shared" si="116"/>
        <v>"qty":2456</v>
      </c>
      <c r="AND16" t="str">
        <f t="shared" si="116"/>
        <v>"qty":2456</v>
      </c>
      <c r="ANE16" t="str">
        <f t="shared" si="116"/>
        <v>"qty":2451</v>
      </c>
      <c r="ANF16" t="str">
        <f t="shared" si="116"/>
        <v>"qty":2451</v>
      </c>
      <c r="ANG16" t="str">
        <f t="shared" si="116"/>
        <v>"qty":2451</v>
      </c>
      <c r="ANH16" t="str">
        <f t="shared" si="116"/>
        <v>"qty":2435</v>
      </c>
      <c r="ANI16" t="str">
        <f t="shared" si="116"/>
        <v>"qty":2433</v>
      </c>
      <c r="ANJ16" t="str">
        <f t="shared" si="116"/>
        <v>"qty":2427</v>
      </c>
      <c r="ANK16" t="str">
        <f t="shared" si="116"/>
        <v>"qty":2420</v>
      </c>
      <c r="ANL16" t="str">
        <f t="shared" si="116"/>
        <v>"qty":2415</v>
      </c>
      <c r="ANM16" t="str">
        <f t="shared" si="116"/>
        <v>"qty":2415</v>
      </c>
      <c r="ANN16" t="str">
        <f t="shared" si="116"/>
        <v>"qty":2415</v>
      </c>
      <c r="ANO16" t="str">
        <f t="shared" si="116"/>
        <v>"qty":2412</v>
      </c>
      <c r="ANP16" t="str">
        <f t="shared" si="116"/>
        <v>"qty":2412</v>
      </c>
      <c r="ANQ16" t="str">
        <f t="shared" si="116"/>
        <v>"qty":2405</v>
      </c>
      <c r="ANR16" t="str">
        <f t="shared" si="116"/>
        <v>"qty":2405</v>
      </c>
      <c r="ANS16" t="str">
        <f t="shared" si="116"/>
        <v>"qty":2405</v>
      </c>
      <c r="ANT16" t="str">
        <f t="shared" si="116"/>
        <v>"qty":2393</v>
      </c>
      <c r="ANU16" t="str">
        <f t="shared" si="116"/>
        <v>"qty":2393</v>
      </c>
      <c r="ANV16" t="str">
        <f t="shared" si="116"/>
        <v>"qty":2393</v>
      </c>
      <c r="ANW16" t="str">
        <f t="shared" si="116"/>
        <v>"qty":2393</v>
      </c>
      <c r="ANX16" t="str">
        <f t="shared" si="116"/>
        <v>"qty":2391</v>
      </c>
      <c r="ANY16" t="str">
        <f t="shared" si="116"/>
        <v>"qty":2391</v>
      </c>
      <c r="ANZ16" t="str">
        <f t="shared" si="116"/>
        <v>"qty":2386</v>
      </c>
      <c r="AOA16" t="str">
        <f t="shared" si="116"/>
        <v>"qty":2385</v>
      </c>
      <c r="AOB16" t="str">
        <f t="shared" si="116"/>
        <v>"qty":2377</v>
      </c>
      <c r="AOC16" t="str">
        <f t="shared" si="116"/>
        <v>"qty":2377</v>
      </c>
      <c r="AOD16" t="str">
        <f t="shared" si="116"/>
        <v>"qty":2365</v>
      </c>
      <c r="AOE16" t="str">
        <f t="shared" si="116"/>
        <v>"qty":2361</v>
      </c>
      <c r="AOF16" t="str">
        <f t="shared" si="116"/>
        <v>"qty":2361</v>
      </c>
      <c r="AOG16" t="str">
        <f t="shared" si="116"/>
        <v>"qty":2360</v>
      </c>
      <c r="AOH16" t="str">
        <f t="shared" si="116"/>
        <v>"qty":2355</v>
      </c>
      <c r="AOI16" t="str">
        <f t="shared" si="116"/>
        <v>"qty":2355</v>
      </c>
      <c r="AOJ16" t="str">
        <f t="shared" si="116"/>
        <v>"qty":2347</v>
      </c>
      <c r="AOK16" t="str">
        <f t="shared" si="116"/>
        <v>"qty":2344</v>
      </c>
      <c r="AOL16" t="str">
        <f t="shared" si="116"/>
        <v>"qty":2344</v>
      </c>
      <c r="AOM16" t="str">
        <f t="shared" si="116"/>
        <v>"qty":2344</v>
      </c>
      <c r="AON16" t="str">
        <f t="shared" si="116"/>
        <v>"qty":2343</v>
      </c>
      <c r="AOO16" t="str">
        <f t="shared" si="116"/>
        <v>"qty":2342</v>
      </c>
      <c r="AOP16" t="str">
        <f t="shared" si="116"/>
        <v>"qty":2342</v>
      </c>
      <c r="AOQ16" t="str">
        <f t="shared" si="116"/>
        <v>"qty":2342</v>
      </c>
      <c r="AOR16" t="str">
        <f t="shared" si="116"/>
        <v>"qty":2342</v>
      </c>
      <c r="AOS16" t="str">
        <f t="shared" si="116"/>
        <v>"qty":2341</v>
      </c>
      <c r="AOT16" t="str">
        <f t="shared" si="116"/>
        <v>"qty":2341</v>
      </c>
      <c r="AOU16" t="str">
        <f t="shared" si="116"/>
        <v>"qty":2338</v>
      </c>
      <c r="AOV16" t="str">
        <f t="shared" si="116"/>
        <v>"qty":2335</v>
      </c>
      <c r="AOW16" t="str">
        <f t="shared" si="116"/>
        <v>"qty":2335</v>
      </c>
      <c r="AOX16" t="str">
        <f t="shared" si="116"/>
        <v>"qty":2324</v>
      </c>
      <c r="AOY16" t="str">
        <f t="shared" si="116"/>
        <v>"qty":2316</v>
      </c>
      <c r="AOZ16" t="str">
        <f t="shared" si="116"/>
        <v>"qty":2297</v>
      </c>
      <c r="APA16" t="str">
        <f t="shared" si="116"/>
        <v>"qty":2297</v>
      </c>
      <c r="APB16" t="str">
        <f t="shared" si="116"/>
        <v>"qty":2297</v>
      </c>
      <c r="APC16" t="str">
        <f t="shared" si="116"/>
        <v>"qty":2287</v>
      </c>
      <c r="APD16" t="str">
        <f t="shared" si="116"/>
        <v>"qty":2284</v>
      </c>
      <c r="APE16" t="str">
        <f t="shared" si="116"/>
        <v>"qty":2283</v>
      </c>
      <c r="APF16" t="str">
        <f t="shared" si="116"/>
        <v>"qty":2283</v>
      </c>
      <c r="APG16" t="str">
        <f t="shared" si="116"/>
        <v>"qty":2283</v>
      </c>
      <c r="APH16" t="str">
        <f t="shared" si="116"/>
        <v>"qty":2259</v>
      </c>
      <c r="API16" t="str">
        <f t="shared" si="116"/>
        <v>"qty":2259</v>
      </c>
      <c r="APJ16" t="str">
        <f t="shared" ref="APJ16:ARU16" si="117">_xlfn.CONCAT("""",$L$10,"""",":",APJ10)</f>
        <v>"qty":2254</v>
      </c>
      <c r="APK16" t="str">
        <f t="shared" si="117"/>
        <v>"qty":2254</v>
      </c>
      <c r="APL16" t="str">
        <f t="shared" si="117"/>
        <v>"qty":2248</v>
      </c>
      <c r="APM16" t="str">
        <f t="shared" si="117"/>
        <v>"qty":2248</v>
      </c>
      <c r="APN16" t="str">
        <f t="shared" si="117"/>
        <v>"qty":2248</v>
      </c>
      <c r="APO16" t="str">
        <f t="shared" si="117"/>
        <v>"qty":2241</v>
      </c>
      <c r="APP16" t="str">
        <f t="shared" si="117"/>
        <v>"qty":2224</v>
      </c>
      <c r="APQ16" t="str">
        <f t="shared" si="117"/>
        <v>"qty":2224</v>
      </c>
      <c r="APR16" t="str">
        <f t="shared" si="117"/>
        <v>"qty":2224</v>
      </c>
      <c r="APS16" t="str">
        <f t="shared" si="117"/>
        <v>"qty":2224</v>
      </c>
      <c r="APT16" t="str">
        <f t="shared" si="117"/>
        <v>"qty":2214</v>
      </c>
      <c r="APU16" t="str">
        <f t="shared" si="117"/>
        <v>"qty":2214</v>
      </c>
      <c r="APV16" t="str">
        <f t="shared" si="117"/>
        <v>"qty":2214</v>
      </c>
      <c r="APW16" t="str">
        <f t="shared" si="117"/>
        <v>"qty":2214</v>
      </c>
      <c r="APX16" t="str">
        <f t="shared" si="117"/>
        <v>"qty":2214</v>
      </c>
      <c r="APY16" t="str">
        <f t="shared" si="117"/>
        <v>"qty":2211</v>
      </c>
      <c r="APZ16" t="str">
        <f t="shared" si="117"/>
        <v>"qty":2203</v>
      </c>
      <c r="AQA16" t="str">
        <f t="shared" si="117"/>
        <v>"qty":2203</v>
      </c>
      <c r="AQB16" t="str">
        <f t="shared" si="117"/>
        <v>"qty":2188</v>
      </c>
      <c r="AQC16" t="str">
        <f t="shared" si="117"/>
        <v>"qty":2179</v>
      </c>
      <c r="AQD16" t="str">
        <f t="shared" si="117"/>
        <v>"qty":2179</v>
      </c>
      <c r="AQE16" t="str">
        <f t="shared" si="117"/>
        <v>"qty":2179</v>
      </c>
      <c r="AQF16" t="str">
        <f t="shared" si="117"/>
        <v>"qty":2178</v>
      </c>
      <c r="AQG16" t="str">
        <f t="shared" si="117"/>
        <v>"qty":2165</v>
      </c>
      <c r="AQH16" t="str">
        <f t="shared" si="117"/>
        <v>"qty":2165</v>
      </c>
      <c r="AQI16" t="str">
        <f t="shared" si="117"/>
        <v>"qty":2165</v>
      </c>
      <c r="AQJ16" t="str">
        <f t="shared" si="117"/>
        <v>"qty":2160</v>
      </c>
      <c r="AQK16" t="str">
        <f t="shared" si="117"/>
        <v>"qty":2158</v>
      </c>
      <c r="AQL16" t="str">
        <f t="shared" si="117"/>
        <v>"qty":2158</v>
      </c>
      <c r="AQM16" t="str">
        <f t="shared" si="117"/>
        <v>"qty":2155</v>
      </c>
      <c r="AQN16" t="str">
        <f t="shared" si="117"/>
        <v>"qty":2155</v>
      </c>
      <c r="AQO16" t="str">
        <f t="shared" si="117"/>
        <v>"qty":2153</v>
      </c>
      <c r="AQP16" t="str">
        <f t="shared" si="117"/>
        <v>"qty":2153</v>
      </c>
      <c r="AQQ16" t="str">
        <f t="shared" si="117"/>
        <v>"qty":2153</v>
      </c>
      <c r="AQR16" t="str">
        <f t="shared" si="117"/>
        <v>"qty":2153</v>
      </c>
      <c r="AQS16" t="str">
        <f t="shared" si="117"/>
        <v>"qty":2153</v>
      </c>
      <c r="AQT16" t="str">
        <f t="shared" si="117"/>
        <v>"qty":2153</v>
      </c>
      <c r="AQU16" t="str">
        <f t="shared" si="117"/>
        <v>"qty":2149</v>
      </c>
      <c r="AQV16" t="str">
        <f t="shared" si="117"/>
        <v>"qty":2149</v>
      </c>
      <c r="AQW16" t="str">
        <f t="shared" si="117"/>
        <v>"qty":2149</v>
      </c>
      <c r="AQX16" t="str">
        <f t="shared" si="117"/>
        <v>"qty":2147</v>
      </c>
      <c r="AQY16" t="str">
        <f t="shared" si="117"/>
        <v>"qty":2147</v>
      </c>
      <c r="AQZ16" t="str">
        <f t="shared" si="117"/>
        <v>"qty":2147</v>
      </c>
      <c r="ARA16" t="str">
        <f t="shared" si="117"/>
        <v>"qty":2146</v>
      </c>
      <c r="ARB16" t="str">
        <f t="shared" si="117"/>
        <v>"qty":2145</v>
      </c>
      <c r="ARC16" t="str">
        <f t="shared" si="117"/>
        <v>"qty":2145</v>
      </c>
      <c r="ARD16" t="str">
        <f t="shared" si="117"/>
        <v>"qty":2143</v>
      </c>
      <c r="ARE16" t="str">
        <f t="shared" si="117"/>
        <v>"qty":2143</v>
      </c>
      <c r="ARF16" t="str">
        <f t="shared" si="117"/>
        <v>"qty":2143</v>
      </c>
      <c r="ARG16" t="str">
        <f t="shared" si="117"/>
        <v>"qty":2143</v>
      </c>
      <c r="ARH16" t="str">
        <f t="shared" si="117"/>
        <v>"qty":2143</v>
      </c>
      <c r="ARI16" t="str">
        <f t="shared" si="117"/>
        <v>"qty":2143</v>
      </c>
      <c r="ARJ16" t="str">
        <f t="shared" si="117"/>
        <v>"qty":2143</v>
      </c>
      <c r="ARK16" t="str">
        <f t="shared" si="117"/>
        <v>"qty":2140</v>
      </c>
      <c r="ARL16" t="str">
        <f t="shared" si="117"/>
        <v>"qty":2132</v>
      </c>
      <c r="ARM16" t="str">
        <f t="shared" si="117"/>
        <v>"qty":2132</v>
      </c>
      <c r="ARN16" t="str">
        <f t="shared" si="117"/>
        <v>"qty":2132</v>
      </c>
      <c r="ARO16" t="str">
        <f t="shared" si="117"/>
        <v>"qty":2132</v>
      </c>
      <c r="ARP16" t="str">
        <f t="shared" si="117"/>
        <v>"qty":2128</v>
      </c>
      <c r="ARQ16" t="str">
        <f t="shared" si="117"/>
        <v>"qty":2128</v>
      </c>
      <c r="ARR16" t="str">
        <f t="shared" si="117"/>
        <v>"qty":2128</v>
      </c>
      <c r="ARS16" t="str">
        <f t="shared" si="117"/>
        <v>"qty":2116</v>
      </c>
      <c r="ART16" t="str">
        <f t="shared" si="117"/>
        <v>"qty":2106</v>
      </c>
      <c r="ARU16" t="str">
        <f t="shared" si="117"/>
        <v>"qty":2106</v>
      </c>
      <c r="ARV16" t="str">
        <f t="shared" ref="ARV16:AUG16" si="118">_xlfn.CONCAT("""",$L$10,"""",":",ARV10)</f>
        <v>"qty":2087</v>
      </c>
      <c r="ARW16" t="str">
        <f t="shared" si="118"/>
        <v>"qty":2087</v>
      </c>
      <c r="ARX16" t="str">
        <f t="shared" si="118"/>
        <v>"qty":2076</v>
      </c>
      <c r="ARY16" t="str">
        <f t="shared" si="118"/>
        <v>"qty":2076</v>
      </c>
      <c r="ARZ16" t="str">
        <f t="shared" si="118"/>
        <v>"qty":2074</v>
      </c>
      <c r="ASA16" t="str">
        <f t="shared" si="118"/>
        <v>"qty":2074</v>
      </c>
      <c r="ASB16" t="str">
        <f t="shared" si="118"/>
        <v>"qty":2074</v>
      </c>
      <c r="ASC16" t="str">
        <f t="shared" si="118"/>
        <v>"qty":2056</v>
      </c>
      <c r="ASD16" t="str">
        <f t="shared" si="118"/>
        <v>"qty":2056</v>
      </c>
      <c r="ASE16" t="str">
        <f t="shared" si="118"/>
        <v>"qty":2050</v>
      </c>
      <c r="ASF16" t="str">
        <f t="shared" si="118"/>
        <v>"qty":2050</v>
      </c>
      <c r="ASG16" t="str">
        <f t="shared" si="118"/>
        <v>"qty":2040</v>
      </c>
      <c r="ASH16" t="str">
        <f t="shared" si="118"/>
        <v>"qty":2040</v>
      </c>
      <c r="ASI16" t="str">
        <f t="shared" si="118"/>
        <v>"qty":2040</v>
      </c>
      <c r="ASJ16" t="str">
        <f t="shared" si="118"/>
        <v>"qty":2036</v>
      </c>
      <c r="ASK16" t="str">
        <f t="shared" si="118"/>
        <v>"qty":2031</v>
      </c>
      <c r="ASL16" t="str">
        <f t="shared" si="118"/>
        <v>"qty":2031</v>
      </c>
      <c r="ASM16" t="str">
        <f t="shared" si="118"/>
        <v>"qty":2031</v>
      </c>
      <c r="ASN16" t="str">
        <f t="shared" si="118"/>
        <v>"qty":2019</v>
      </c>
      <c r="ASO16" t="str">
        <f t="shared" si="118"/>
        <v>"qty":2017</v>
      </c>
      <c r="ASP16" t="str">
        <f t="shared" si="118"/>
        <v>"qty":2017</v>
      </c>
      <c r="ASQ16" t="str">
        <f t="shared" si="118"/>
        <v>"qty":2017</v>
      </c>
      <c r="ASR16" t="str">
        <f t="shared" si="118"/>
        <v>"qty":2017</v>
      </c>
      <c r="ASS16" t="str">
        <f t="shared" si="118"/>
        <v>"qty":2000</v>
      </c>
      <c r="AST16" t="str">
        <f t="shared" si="118"/>
        <v>"qty":1992</v>
      </c>
      <c r="ASU16" t="str">
        <f t="shared" si="118"/>
        <v>"qty":1992</v>
      </c>
      <c r="ASV16" t="str">
        <f t="shared" si="118"/>
        <v>"qty":1987</v>
      </c>
      <c r="ASW16" t="str">
        <f t="shared" si="118"/>
        <v>"qty":1987</v>
      </c>
      <c r="ASX16" t="str">
        <f t="shared" si="118"/>
        <v>"qty":1986</v>
      </c>
      <c r="ASY16" t="str">
        <f t="shared" si="118"/>
        <v>"qty":1986</v>
      </c>
      <c r="ASZ16" t="str">
        <f t="shared" si="118"/>
        <v>"qty":1986</v>
      </c>
      <c r="ATA16" t="str">
        <f t="shared" si="118"/>
        <v>"qty":1985</v>
      </c>
      <c r="ATB16" t="str">
        <f t="shared" si="118"/>
        <v>"qty":1985</v>
      </c>
      <c r="ATC16" t="str">
        <f t="shared" si="118"/>
        <v>"qty":1978</v>
      </c>
      <c r="ATD16" t="str">
        <f t="shared" si="118"/>
        <v>"qty":1975</v>
      </c>
      <c r="ATE16" t="str">
        <f t="shared" si="118"/>
        <v>"qty":1975</v>
      </c>
      <c r="ATF16" t="str">
        <f t="shared" si="118"/>
        <v>"qty":1975</v>
      </c>
      <c r="ATG16" t="str">
        <f t="shared" si="118"/>
        <v>"qty":1975</v>
      </c>
      <c r="ATH16" t="str">
        <f t="shared" si="118"/>
        <v>"qty":1975</v>
      </c>
      <c r="ATI16" t="str">
        <f t="shared" si="118"/>
        <v>"qty":1971</v>
      </c>
      <c r="ATJ16" t="str">
        <f t="shared" si="118"/>
        <v>"qty":1971</v>
      </c>
      <c r="ATK16" t="str">
        <f t="shared" si="118"/>
        <v>"qty":1971</v>
      </c>
      <c r="ATL16" t="str">
        <f t="shared" si="118"/>
        <v>"qty":1970</v>
      </c>
      <c r="ATM16" t="str">
        <f t="shared" si="118"/>
        <v>"qty":1970</v>
      </c>
      <c r="ATN16" t="str">
        <f t="shared" si="118"/>
        <v>"qty":1970</v>
      </c>
      <c r="ATO16" t="str">
        <f t="shared" si="118"/>
        <v>"qty":1968</v>
      </c>
      <c r="ATP16" t="str">
        <f t="shared" si="118"/>
        <v>"qty":1965</v>
      </c>
      <c r="ATQ16" t="str">
        <f t="shared" si="118"/>
        <v>"qty":1965</v>
      </c>
      <c r="ATR16" t="str">
        <f t="shared" si="118"/>
        <v>"qty":1960</v>
      </c>
      <c r="ATS16" t="str">
        <f t="shared" si="118"/>
        <v>"qty":1958</v>
      </c>
      <c r="ATT16" t="str">
        <f t="shared" si="118"/>
        <v>"qty":1958</v>
      </c>
      <c r="ATU16" t="str">
        <f t="shared" si="118"/>
        <v>"qty":1958</v>
      </c>
      <c r="ATV16" t="str">
        <f t="shared" si="118"/>
        <v>"qty":1958</v>
      </c>
      <c r="ATW16" t="str">
        <f t="shared" si="118"/>
        <v>"qty":1957</v>
      </c>
      <c r="ATX16" t="str">
        <f t="shared" si="118"/>
        <v>"qty":1957</v>
      </c>
      <c r="ATY16" t="str">
        <f t="shared" si="118"/>
        <v>"qty":1957</v>
      </c>
      <c r="ATZ16" t="str">
        <f t="shared" si="118"/>
        <v>"qty":1957</v>
      </c>
      <c r="AUA16" t="str">
        <f t="shared" si="118"/>
        <v>"qty":1950</v>
      </c>
      <c r="AUB16" t="str">
        <f t="shared" si="118"/>
        <v>"qty":1950</v>
      </c>
      <c r="AUC16" t="str">
        <f t="shared" si="118"/>
        <v>"qty":1941</v>
      </c>
      <c r="AUD16" t="str">
        <f t="shared" si="118"/>
        <v>"qty":1941</v>
      </c>
      <c r="AUE16" t="str">
        <f t="shared" si="118"/>
        <v>"qty":1941</v>
      </c>
      <c r="AUF16" t="str">
        <f t="shared" si="118"/>
        <v>"qty":1935</v>
      </c>
      <c r="AUG16" t="str">
        <f t="shared" si="118"/>
        <v>"qty":1931</v>
      </c>
      <c r="AUH16" t="str">
        <f t="shared" ref="AUH16:AWS16" si="119">_xlfn.CONCAT("""",$L$10,"""",":",AUH10)</f>
        <v>"qty":1926</v>
      </c>
      <c r="AUI16" t="str">
        <f t="shared" si="119"/>
        <v>"qty":1926</v>
      </c>
      <c r="AUJ16" t="str">
        <f t="shared" si="119"/>
        <v>"qty":1926</v>
      </c>
      <c r="AUK16" t="str">
        <f t="shared" si="119"/>
        <v>"qty":1926</v>
      </c>
      <c r="AUL16" t="str">
        <f t="shared" si="119"/>
        <v>"qty":1926</v>
      </c>
      <c r="AUM16" t="str">
        <f t="shared" si="119"/>
        <v>"qty":1926</v>
      </c>
      <c r="AUN16" t="str">
        <f t="shared" si="119"/>
        <v>"qty":1926</v>
      </c>
      <c r="AUO16" t="str">
        <f t="shared" si="119"/>
        <v>"qty":1923</v>
      </c>
      <c r="AUP16" t="str">
        <f t="shared" si="119"/>
        <v>"qty":1923</v>
      </c>
      <c r="AUQ16" t="str">
        <f t="shared" si="119"/>
        <v>"qty":1923</v>
      </c>
      <c r="AUR16" t="str">
        <f t="shared" si="119"/>
        <v>"qty":1923</v>
      </c>
      <c r="AUS16" t="str">
        <f t="shared" si="119"/>
        <v>"qty":1923</v>
      </c>
      <c r="AUT16" t="str">
        <f t="shared" si="119"/>
        <v>"qty":1923</v>
      </c>
      <c r="AUU16" t="str">
        <f t="shared" si="119"/>
        <v>"qty":1923</v>
      </c>
      <c r="AUV16" t="str">
        <f t="shared" si="119"/>
        <v>"qty":1923</v>
      </c>
      <c r="AUW16" t="str">
        <f t="shared" si="119"/>
        <v>"qty":1923</v>
      </c>
      <c r="AUX16" t="str">
        <f t="shared" si="119"/>
        <v>"qty":1915</v>
      </c>
      <c r="AUY16" t="str">
        <f t="shared" si="119"/>
        <v>"qty":1913</v>
      </c>
      <c r="AUZ16" t="str">
        <f t="shared" si="119"/>
        <v>"qty":1913</v>
      </c>
      <c r="AVA16" t="str">
        <f t="shared" si="119"/>
        <v>"qty":1912</v>
      </c>
      <c r="AVB16" t="str">
        <f t="shared" si="119"/>
        <v>"qty":1902</v>
      </c>
      <c r="AVC16" t="str">
        <f t="shared" si="119"/>
        <v>"qty":1902</v>
      </c>
      <c r="AVD16" t="str">
        <f t="shared" si="119"/>
        <v>"qty":1902</v>
      </c>
      <c r="AVE16" t="str">
        <f t="shared" si="119"/>
        <v>"qty":1902</v>
      </c>
      <c r="AVF16" t="str">
        <f t="shared" si="119"/>
        <v>"qty":1902</v>
      </c>
      <c r="AVG16" t="str">
        <f t="shared" si="119"/>
        <v>"qty":1888</v>
      </c>
      <c r="AVH16" t="str">
        <f t="shared" si="119"/>
        <v>"qty":1888</v>
      </c>
      <c r="AVI16" t="str">
        <f t="shared" si="119"/>
        <v>"qty":1883</v>
      </c>
      <c r="AVJ16" t="str">
        <f t="shared" si="119"/>
        <v>"qty":1883</v>
      </c>
      <c r="AVK16" t="str">
        <f t="shared" si="119"/>
        <v>"qty":1883</v>
      </c>
      <c r="AVL16" t="str">
        <f t="shared" si="119"/>
        <v>"qty":1883</v>
      </c>
      <c r="AVM16" t="str">
        <f t="shared" si="119"/>
        <v>"qty":1883</v>
      </c>
      <c r="AVN16" t="str">
        <f t="shared" si="119"/>
        <v>"qty":1883</v>
      </c>
      <c r="AVO16" t="str">
        <f t="shared" si="119"/>
        <v>"qty":1876</v>
      </c>
      <c r="AVP16" t="str">
        <f t="shared" si="119"/>
        <v>"qty":1876</v>
      </c>
      <c r="AVQ16" t="str">
        <f t="shared" si="119"/>
        <v>"qty":1860</v>
      </c>
      <c r="AVR16" t="str">
        <f t="shared" si="119"/>
        <v>"qty":1860</v>
      </c>
      <c r="AVS16" t="str">
        <f t="shared" si="119"/>
        <v>"qty":1856</v>
      </c>
      <c r="AVT16" t="str">
        <f t="shared" si="119"/>
        <v>"qty":1856</v>
      </c>
      <c r="AVU16" t="str">
        <f t="shared" si="119"/>
        <v>"qty":1848</v>
      </c>
      <c r="AVV16" t="str">
        <f t="shared" si="119"/>
        <v>"qty":1848</v>
      </c>
      <c r="AVW16" t="str">
        <f t="shared" si="119"/>
        <v>"qty":1844</v>
      </c>
      <c r="AVX16" t="str">
        <f t="shared" si="119"/>
        <v>"qty":1844</v>
      </c>
      <c r="AVY16" t="str">
        <f t="shared" si="119"/>
        <v>"qty":1844</v>
      </c>
      <c r="AVZ16" t="str">
        <f t="shared" si="119"/>
        <v>"qty":1844</v>
      </c>
      <c r="AWA16" t="str">
        <f t="shared" si="119"/>
        <v>"qty":1842</v>
      </c>
      <c r="AWB16" t="str">
        <f t="shared" si="119"/>
        <v>"qty":1842</v>
      </c>
      <c r="AWC16" t="str">
        <f t="shared" si="119"/>
        <v>"qty":1833</v>
      </c>
      <c r="AWD16" t="str">
        <f t="shared" si="119"/>
        <v>"qty":1833</v>
      </c>
      <c r="AWE16" t="str">
        <f t="shared" si="119"/>
        <v>"qty":1832</v>
      </c>
      <c r="AWF16" t="str">
        <f t="shared" si="119"/>
        <v>"qty":1826</v>
      </c>
      <c r="AWG16" t="str">
        <f t="shared" si="119"/>
        <v>"qty":1820</v>
      </c>
      <c r="AWH16" t="str">
        <f t="shared" si="119"/>
        <v>"qty":1814</v>
      </c>
      <c r="AWI16" t="str">
        <f t="shared" si="119"/>
        <v>"qty":1814</v>
      </c>
      <c r="AWJ16" t="str">
        <f t="shared" si="119"/>
        <v>"qty":1814</v>
      </c>
      <c r="AWK16" t="str">
        <f t="shared" si="119"/>
        <v>"qty":1805</v>
      </c>
      <c r="AWL16" t="str">
        <f t="shared" si="119"/>
        <v>"qty":1805</v>
      </c>
      <c r="AWM16" t="str">
        <f t="shared" si="119"/>
        <v>"qty":1801</v>
      </c>
      <c r="AWN16" t="str">
        <f t="shared" si="119"/>
        <v>"qty":1800</v>
      </c>
      <c r="AWO16" t="str">
        <f t="shared" si="119"/>
        <v>"qty":1800</v>
      </c>
      <c r="AWP16" t="str">
        <f t="shared" si="119"/>
        <v>"qty":1793</v>
      </c>
      <c r="AWQ16" t="str">
        <f t="shared" si="119"/>
        <v>"qty":1785</v>
      </c>
      <c r="AWR16" t="str">
        <f t="shared" si="119"/>
        <v>"qty":1785</v>
      </c>
      <c r="AWS16" t="str">
        <f t="shared" si="119"/>
        <v>"qty":1784</v>
      </c>
      <c r="AWT16" t="str">
        <f t="shared" ref="AWT16:AZE16" si="120">_xlfn.CONCAT("""",$L$10,"""",":",AWT10)</f>
        <v>"qty":1783</v>
      </c>
      <c r="AWU16" t="str">
        <f t="shared" si="120"/>
        <v>"qty":1783</v>
      </c>
      <c r="AWV16" t="str">
        <f t="shared" si="120"/>
        <v>"qty":1783</v>
      </c>
      <c r="AWW16" t="str">
        <f t="shared" si="120"/>
        <v>"qty":1783</v>
      </c>
      <c r="AWX16" t="str">
        <f t="shared" si="120"/>
        <v>"qty":1779</v>
      </c>
      <c r="AWY16" t="str">
        <f t="shared" si="120"/>
        <v>"qty":1766</v>
      </c>
      <c r="AWZ16" t="str">
        <f t="shared" si="120"/>
        <v>"qty":1750</v>
      </c>
      <c r="AXA16" t="str">
        <f t="shared" si="120"/>
        <v>"qty":1750</v>
      </c>
      <c r="AXB16" t="str">
        <f t="shared" si="120"/>
        <v>"qty":1743</v>
      </c>
      <c r="AXC16" t="str">
        <f t="shared" si="120"/>
        <v>"qty":1739</v>
      </c>
      <c r="AXD16" t="str">
        <f t="shared" si="120"/>
        <v>"qty":1730</v>
      </c>
      <c r="AXE16" t="str">
        <f t="shared" si="120"/>
        <v>"qty":1730</v>
      </c>
      <c r="AXF16" t="str">
        <f t="shared" si="120"/>
        <v>"qty":1730</v>
      </c>
      <c r="AXG16" t="str">
        <f t="shared" si="120"/>
        <v>"qty":1729</v>
      </c>
      <c r="AXH16" t="str">
        <f t="shared" si="120"/>
        <v>"qty":1729</v>
      </c>
      <c r="AXI16" t="str">
        <f t="shared" si="120"/>
        <v>"qty":1729</v>
      </c>
      <c r="AXJ16" t="str">
        <f t="shared" si="120"/>
        <v>"qty":1729</v>
      </c>
      <c r="AXK16" t="str">
        <f t="shared" si="120"/>
        <v>"qty":1722</v>
      </c>
      <c r="AXL16" t="str">
        <f t="shared" si="120"/>
        <v>"qty":1721</v>
      </c>
      <c r="AXM16" t="str">
        <f t="shared" si="120"/>
        <v>"qty":1719</v>
      </c>
      <c r="AXN16" t="str">
        <f t="shared" si="120"/>
        <v>"qty":1719</v>
      </c>
      <c r="AXO16" t="str">
        <f t="shared" si="120"/>
        <v>"qty":1709</v>
      </c>
      <c r="AXP16" t="str">
        <f t="shared" si="120"/>
        <v>"qty":1703</v>
      </c>
      <c r="AXQ16" t="str">
        <f t="shared" si="120"/>
        <v>"qty":1700</v>
      </c>
      <c r="AXR16" t="str">
        <f t="shared" si="120"/>
        <v>"qty":1700</v>
      </c>
      <c r="AXS16" t="str">
        <f t="shared" si="120"/>
        <v>"qty":1689</v>
      </c>
      <c r="AXT16" t="str">
        <f t="shared" si="120"/>
        <v>"qty":1689</v>
      </c>
      <c r="AXU16" t="str">
        <f t="shared" si="120"/>
        <v>"qty":1680</v>
      </c>
      <c r="AXV16" t="str">
        <f t="shared" si="120"/>
        <v>"qty":1678</v>
      </c>
      <c r="AXW16" t="str">
        <f t="shared" si="120"/>
        <v>"qty":1678</v>
      </c>
      <c r="AXX16" t="str">
        <f t="shared" si="120"/>
        <v>"qty":1668</v>
      </c>
      <c r="AXY16" t="str">
        <f t="shared" si="120"/>
        <v>"qty":1668</v>
      </c>
      <c r="AXZ16" t="str">
        <f t="shared" si="120"/>
        <v>"qty":1655</v>
      </c>
      <c r="AYA16" t="str">
        <f t="shared" si="120"/>
        <v>"qty":1651</v>
      </c>
      <c r="AYB16" t="str">
        <f t="shared" si="120"/>
        <v>"qty":1644</v>
      </c>
      <c r="AYC16" t="str">
        <f t="shared" si="120"/>
        <v>"qty":1644</v>
      </c>
      <c r="AYD16" t="str">
        <f t="shared" si="120"/>
        <v>"qty":1644</v>
      </c>
      <c r="AYE16" t="str">
        <f t="shared" si="120"/>
        <v>"qty":1641</v>
      </c>
      <c r="AYF16" t="str">
        <f t="shared" si="120"/>
        <v>"qty":1637</v>
      </c>
      <c r="AYG16" t="str">
        <f t="shared" si="120"/>
        <v>"qty":1636</v>
      </c>
      <c r="AYH16" t="str">
        <f t="shared" si="120"/>
        <v>"qty":1636</v>
      </c>
      <c r="AYI16" t="str">
        <f t="shared" si="120"/>
        <v>"qty":1636</v>
      </c>
      <c r="AYJ16" t="str">
        <f t="shared" si="120"/>
        <v>"qty":1636</v>
      </c>
      <c r="AYK16" t="str">
        <f t="shared" si="120"/>
        <v>"qty":1636</v>
      </c>
      <c r="AYL16" t="str">
        <f t="shared" si="120"/>
        <v>"qty":1634</v>
      </c>
      <c r="AYM16" t="str">
        <f t="shared" si="120"/>
        <v>"qty":1634</v>
      </c>
      <c r="AYN16" t="str">
        <f t="shared" si="120"/>
        <v>"qty":1634</v>
      </c>
      <c r="AYO16" t="str">
        <f t="shared" si="120"/>
        <v>"qty":1634</v>
      </c>
      <c r="AYP16" t="str">
        <f t="shared" si="120"/>
        <v>"qty":1632</v>
      </c>
      <c r="AYQ16" t="str">
        <f t="shared" si="120"/>
        <v>"qty":1632</v>
      </c>
      <c r="AYR16" t="str">
        <f t="shared" si="120"/>
        <v>"qty":1632</v>
      </c>
      <c r="AYS16" t="str">
        <f t="shared" si="120"/>
        <v>"qty":1632</v>
      </c>
      <c r="AYT16" t="str">
        <f t="shared" si="120"/>
        <v>"qty":1632</v>
      </c>
      <c r="AYU16" t="str">
        <f t="shared" si="120"/>
        <v>"qty":1632</v>
      </c>
      <c r="AYV16" t="str">
        <f t="shared" si="120"/>
        <v>"qty":1624</v>
      </c>
      <c r="AYW16" t="str">
        <f t="shared" si="120"/>
        <v>"qty":1611</v>
      </c>
      <c r="AYX16" t="str">
        <f t="shared" si="120"/>
        <v>"qty":1611</v>
      </c>
      <c r="AYY16" t="str">
        <f t="shared" si="120"/>
        <v>"qty":1603</v>
      </c>
      <c r="AYZ16" t="str">
        <f t="shared" si="120"/>
        <v>"qty":1599</v>
      </c>
      <c r="AZA16" t="str">
        <f t="shared" si="120"/>
        <v>"qty":1599</v>
      </c>
      <c r="AZB16" t="str">
        <f t="shared" si="120"/>
        <v>"qty":1599</v>
      </c>
      <c r="AZC16" t="str">
        <f t="shared" si="120"/>
        <v>"qty":1599</v>
      </c>
      <c r="AZD16" t="str">
        <f t="shared" si="120"/>
        <v>"qty":1599</v>
      </c>
      <c r="AZE16" t="str">
        <f t="shared" si="120"/>
        <v>"qty":1598</v>
      </c>
      <c r="AZF16" t="str">
        <f t="shared" ref="AZF16:BBQ16" si="121">_xlfn.CONCAT("""",$L$10,"""",":",AZF10)</f>
        <v>"qty":1590</v>
      </c>
      <c r="AZG16" t="str">
        <f t="shared" si="121"/>
        <v>"qty":1582</v>
      </c>
      <c r="AZH16" t="str">
        <f t="shared" si="121"/>
        <v>"qty":1582</v>
      </c>
      <c r="AZI16" t="str">
        <f t="shared" si="121"/>
        <v>"qty":1575</v>
      </c>
      <c r="AZJ16" t="str">
        <f t="shared" si="121"/>
        <v>"qty":1575</v>
      </c>
      <c r="AZK16" t="str">
        <f t="shared" si="121"/>
        <v>"qty":1575</v>
      </c>
      <c r="AZL16" t="str">
        <f t="shared" si="121"/>
        <v>"qty":1568</v>
      </c>
      <c r="AZM16" t="str">
        <f t="shared" si="121"/>
        <v>"qty":1568</v>
      </c>
      <c r="AZN16" t="str">
        <f t="shared" si="121"/>
        <v>"qty":1561</v>
      </c>
      <c r="AZO16" t="str">
        <f t="shared" si="121"/>
        <v>"qty":1561</v>
      </c>
      <c r="AZP16" t="str">
        <f t="shared" si="121"/>
        <v>"qty":1546</v>
      </c>
      <c r="AZQ16" t="str">
        <f t="shared" si="121"/>
        <v>"qty":1546</v>
      </c>
      <c r="AZR16" t="str">
        <f t="shared" si="121"/>
        <v>"qty":1545</v>
      </c>
      <c r="AZS16" t="str">
        <f t="shared" si="121"/>
        <v>"qty":1545</v>
      </c>
      <c r="AZT16" t="str">
        <f t="shared" si="121"/>
        <v>"qty":1538</v>
      </c>
      <c r="AZU16" t="str">
        <f t="shared" si="121"/>
        <v>"qty":1538</v>
      </c>
      <c r="AZV16" t="str">
        <f t="shared" si="121"/>
        <v>"qty":1519</v>
      </c>
      <c r="AZW16" t="str">
        <f t="shared" si="121"/>
        <v>"qty":1519</v>
      </c>
      <c r="AZX16" t="str">
        <f t="shared" si="121"/>
        <v>"qty":1519</v>
      </c>
      <c r="AZY16" t="str">
        <f t="shared" si="121"/>
        <v>"qty":1517</v>
      </c>
      <c r="AZZ16" t="str">
        <f t="shared" si="121"/>
        <v>"qty":1512</v>
      </c>
      <c r="BAA16" t="str">
        <f t="shared" si="121"/>
        <v>"qty":1512</v>
      </c>
      <c r="BAB16" t="str">
        <f t="shared" si="121"/>
        <v>"qty":1512</v>
      </c>
      <c r="BAC16" t="str">
        <f t="shared" si="121"/>
        <v>"qty":1512</v>
      </c>
      <c r="BAD16" t="str">
        <f t="shared" si="121"/>
        <v>"qty":1507</v>
      </c>
      <c r="BAE16" t="str">
        <f t="shared" si="121"/>
        <v>"qty":1507</v>
      </c>
      <c r="BAF16" t="str">
        <f t="shared" si="121"/>
        <v>"qty":1495</v>
      </c>
      <c r="BAG16" t="str">
        <f t="shared" si="121"/>
        <v>"qty":1495</v>
      </c>
      <c r="BAH16" t="str">
        <f t="shared" si="121"/>
        <v>"qty":1495</v>
      </c>
      <c r="BAI16" t="str">
        <f t="shared" si="121"/>
        <v>"qty":1495</v>
      </c>
      <c r="BAJ16" t="str">
        <f t="shared" si="121"/>
        <v>"qty":1487</v>
      </c>
      <c r="BAK16" t="str">
        <f t="shared" si="121"/>
        <v>"qty":1487</v>
      </c>
      <c r="BAL16" t="str">
        <f t="shared" si="121"/>
        <v>"qty":1481</v>
      </c>
      <c r="BAM16" t="str">
        <f t="shared" si="121"/>
        <v>"qty":1452</v>
      </c>
      <c r="BAN16" t="str">
        <f t="shared" si="121"/>
        <v>"qty":1452</v>
      </c>
      <c r="BAO16" t="str">
        <f t="shared" si="121"/>
        <v>"qty":1452</v>
      </c>
      <c r="BAP16" t="str">
        <f t="shared" si="121"/>
        <v>"qty":1446</v>
      </c>
      <c r="BAQ16" t="str">
        <f t="shared" si="121"/>
        <v>"qty":1432</v>
      </c>
      <c r="BAR16" t="str">
        <f t="shared" si="121"/>
        <v>"qty":1419</v>
      </c>
      <c r="BAS16" t="str">
        <f t="shared" si="121"/>
        <v>"qty":1417</v>
      </c>
      <c r="BAT16" t="str">
        <f t="shared" si="121"/>
        <v>"qty":1417</v>
      </c>
      <c r="BAU16" t="str">
        <f t="shared" si="121"/>
        <v>"qty":1417</v>
      </c>
      <c r="BAV16" t="str">
        <f t="shared" si="121"/>
        <v>"qty":1414</v>
      </c>
      <c r="BAW16" t="str">
        <f t="shared" si="121"/>
        <v>"qty":1413</v>
      </c>
      <c r="BAX16" t="str">
        <f t="shared" si="121"/>
        <v>"qty":1412</v>
      </c>
      <c r="BAY16" t="str">
        <f t="shared" si="121"/>
        <v>"qty":1412</v>
      </c>
      <c r="BAZ16" t="str">
        <f t="shared" si="121"/>
        <v>"qty":1412</v>
      </c>
      <c r="BBA16" t="str">
        <f t="shared" si="121"/>
        <v>"qty":1406</v>
      </c>
      <c r="BBB16" t="str">
        <f t="shared" si="121"/>
        <v>"qty":1406</v>
      </c>
      <c r="BBC16" t="str">
        <f t="shared" si="121"/>
        <v>"qty":1406</v>
      </c>
      <c r="BBD16" t="str">
        <f t="shared" si="121"/>
        <v>"qty":1406</v>
      </c>
      <c r="BBE16" t="str">
        <f t="shared" si="121"/>
        <v>"qty":1406</v>
      </c>
      <c r="BBF16" t="str">
        <f t="shared" si="121"/>
        <v>"qty":1406</v>
      </c>
      <c r="BBG16" t="str">
        <f t="shared" si="121"/>
        <v>"qty":1406</v>
      </c>
      <c r="BBH16" t="str">
        <f t="shared" si="121"/>
        <v>"qty":1395</v>
      </c>
      <c r="BBI16" t="str">
        <f t="shared" si="121"/>
        <v>"qty":1389</v>
      </c>
      <c r="BBJ16" t="str">
        <f t="shared" si="121"/>
        <v>"qty":1387</v>
      </c>
      <c r="BBK16" t="str">
        <f t="shared" si="121"/>
        <v>"qty":1385</v>
      </c>
      <c r="BBL16" t="str">
        <f t="shared" si="121"/>
        <v>"qty":1384</v>
      </c>
      <c r="BBM16" t="str">
        <f t="shared" si="121"/>
        <v>"qty":1384</v>
      </c>
      <c r="BBN16" t="str">
        <f t="shared" si="121"/>
        <v>"qty":1367</v>
      </c>
      <c r="BBO16" t="str">
        <f t="shared" si="121"/>
        <v>"qty":1357</v>
      </c>
      <c r="BBP16" t="str">
        <f t="shared" si="121"/>
        <v>"qty":1357</v>
      </c>
      <c r="BBQ16" t="str">
        <f t="shared" si="121"/>
        <v>"qty":1357</v>
      </c>
      <c r="BBR16" t="str">
        <f t="shared" ref="BBR16:BEC16" si="122">_xlfn.CONCAT("""",$L$10,"""",":",BBR10)</f>
        <v>"qty":1357</v>
      </c>
      <c r="BBS16" t="str">
        <f t="shared" si="122"/>
        <v>"qty":1351</v>
      </c>
      <c r="BBT16" t="str">
        <f t="shared" si="122"/>
        <v>"qty":1351</v>
      </c>
      <c r="BBU16" t="str">
        <f t="shared" si="122"/>
        <v>"qty":1351</v>
      </c>
      <c r="BBV16" t="str">
        <f t="shared" si="122"/>
        <v>"qty":1342</v>
      </c>
      <c r="BBW16" t="str">
        <f t="shared" si="122"/>
        <v>"qty":1342</v>
      </c>
      <c r="BBX16" t="str">
        <f t="shared" si="122"/>
        <v>"qty":1331</v>
      </c>
      <c r="BBY16" t="str">
        <f t="shared" si="122"/>
        <v>"qty":1331</v>
      </c>
      <c r="BBZ16" t="str">
        <f t="shared" si="122"/>
        <v>"qty":1331</v>
      </c>
      <c r="BCA16" t="str">
        <f t="shared" si="122"/>
        <v>"qty":1331</v>
      </c>
      <c r="BCB16" t="str">
        <f t="shared" si="122"/>
        <v>"qty":1330</v>
      </c>
      <c r="BCC16" t="str">
        <f t="shared" si="122"/>
        <v>"qty":1330</v>
      </c>
      <c r="BCD16" t="str">
        <f t="shared" si="122"/>
        <v>"qty":1330</v>
      </c>
      <c r="BCE16" t="str">
        <f t="shared" si="122"/>
        <v>"qty":1325</v>
      </c>
      <c r="BCF16" t="str">
        <f t="shared" si="122"/>
        <v>"qty":1321</v>
      </c>
      <c r="BCG16" t="str">
        <f t="shared" si="122"/>
        <v>"qty":1321</v>
      </c>
      <c r="BCH16" t="str">
        <f t="shared" si="122"/>
        <v>"qty":1321</v>
      </c>
      <c r="BCI16" t="str">
        <f t="shared" si="122"/>
        <v>"qty":1321</v>
      </c>
      <c r="BCJ16" t="str">
        <f t="shared" si="122"/>
        <v>"qty":1321</v>
      </c>
      <c r="BCK16" t="str">
        <f t="shared" si="122"/>
        <v>"qty":1321</v>
      </c>
      <c r="BCL16" t="str">
        <f t="shared" si="122"/>
        <v>"qty":1317</v>
      </c>
      <c r="BCM16" t="str">
        <f t="shared" si="122"/>
        <v>"qty":1315</v>
      </c>
      <c r="BCN16" t="str">
        <f t="shared" si="122"/>
        <v>"qty":1315</v>
      </c>
      <c r="BCO16" t="str">
        <f t="shared" si="122"/>
        <v>"qty":1315</v>
      </c>
      <c r="BCP16" t="str">
        <f t="shared" si="122"/>
        <v>"qty":1315</v>
      </c>
      <c r="BCQ16" t="str">
        <f t="shared" si="122"/>
        <v>"qty":1315</v>
      </c>
      <c r="BCR16" t="str">
        <f t="shared" si="122"/>
        <v>"qty":1311</v>
      </c>
      <c r="BCS16" t="str">
        <f t="shared" si="122"/>
        <v>"qty":1311</v>
      </c>
      <c r="BCT16" t="str">
        <f t="shared" si="122"/>
        <v>"qty":1311</v>
      </c>
      <c r="BCU16" t="str">
        <f t="shared" si="122"/>
        <v>"qty":1311</v>
      </c>
      <c r="BCV16" t="str">
        <f t="shared" si="122"/>
        <v>"qty":1311</v>
      </c>
      <c r="BCW16" t="str">
        <f t="shared" si="122"/>
        <v>"qty":1311</v>
      </c>
      <c r="BCX16" t="str">
        <f t="shared" si="122"/>
        <v>"qty":1311</v>
      </c>
      <c r="BCY16" t="str">
        <f t="shared" si="122"/>
        <v>"qty":1311</v>
      </c>
      <c r="BCZ16" t="str">
        <f t="shared" si="122"/>
        <v>"qty":1309</v>
      </c>
      <c r="BDA16" t="str">
        <f t="shared" si="122"/>
        <v>"qty":1309</v>
      </c>
      <c r="BDB16" t="str">
        <f t="shared" si="122"/>
        <v>"qty":1309</v>
      </c>
      <c r="BDC16" t="str">
        <f t="shared" si="122"/>
        <v>"qty":1307</v>
      </c>
      <c r="BDD16" t="str">
        <f t="shared" si="122"/>
        <v>"qty":1302</v>
      </c>
      <c r="BDE16" t="str">
        <f t="shared" si="122"/>
        <v>"qty":1297</v>
      </c>
      <c r="BDF16" t="str">
        <f t="shared" si="122"/>
        <v>"qty":1294</v>
      </c>
      <c r="BDG16" t="str">
        <f t="shared" si="122"/>
        <v>"qty":1292</v>
      </c>
      <c r="BDH16" t="str">
        <f t="shared" si="122"/>
        <v>"qty":1290</v>
      </c>
      <c r="BDI16" t="str">
        <f t="shared" si="122"/>
        <v>"qty":1290</v>
      </c>
      <c r="BDJ16" t="str">
        <f t="shared" si="122"/>
        <v>"qty":1281</v>
      </c>
      <c r="BDK16" t="str">
        <f t="shared" si="122"/>
        <v>"qty":1276</v>
      </c>
      <c r="BDL16" t="str">
        <f t="shared" si="122"/>
        <v>"qty":1276</v>
      </c>
      <c r="BDM16" t="str">
        <f t="shared" si="122"/>
        <v>"qty":1274</v>
      </c>
      <c r="BDN16" t="str">
        <f t="shared" si="122"/>
        <v>"qty":1274</v>
      </c>
      <c r="BDO16" t="str">
        <f t="shared" si="122"/>
        <v>"qty":1274</v>
      </c>
      <c r="BDP16" t="str">
        <f t="shared" si="122"/>
        <v>"qty":1274</v>
      </c>
      <c r="BDQ16" t="str">
        <f t="shared" si="122"/>
        <v>"qty":1272</v>
      </c>
      <c r="BDR16" t="str">
        <f t="shared" si="122"/>
        <v>"qty":1266</v>
      </c>
      <c r="BDS16" t="str">
        <f t="shared" si="122"/>
        <v>"qty":1260</v>
      </c>
      <c r="BDT16" t="str">
        <f t="shared" si="122"/>
        <v>"qty":1250</v>
      </c>
      <c r="BDU16" t="str">
        <f t="shared" si="122"/>
        <v>"qty":1233</v>
      </c>
      <c r="BDV16" t="str">
        <f t="shared" si="122"/>
        <v>"qty":1221</v>
      </c>
      <c r="BDW16" t="str">
        <f t="shared" si="122"/>
        <v>"qty":1221</v>
      </c>
      <c r="BDX16" t="str">
        <f t="shared" si="122"/>
        <v>"qty":1221</v>
      </c>
      <c r="BDY16" t="str">
        <f t="shared" si="122"/>
        <v>"qty":1221</v>
      </c>
      <c r="BDZ16" t="str">
        <f t="shared" si="122"/>
        <v>"qty":1221</v>
      </c>
      <c r="BEA16" t="str">
        <f t="shared" si="122"/>
        <v>"qty":1221</v>
      </c>
      <c r="BEB16" t="str">
        <f t="shared" si="122"/>
        <v>"qty":1220</v>
      </c>
      <c r="BEC16" t="str">
        <f t="shared" si="122"/>
        <v>"qty":1220</v>
      </c>
      <c r="BED16" t="str">
        <f t="shared" ref="BED16:BGO16" si="123">_xlfn.CONCAT("""",$L$10,"""",":",BED10)</f>
        <v>"qty":1206</v>
      </c>
      <c r="BEE16" t="str">
        <f t="shared" si="123"/>
        <v>"qty":1206</v>
      </c>
      <c r="BEF16" t="str">
        <f t="shared" si="123"/>
        <v>"qty":1206</v>
      </c>
      <c r="BEG16" t="str">
        <f t="shared" si="123"/>
        <v>"qty":1205</v>
      </c>
      <c r="BEH16" t="str">
        <f t="shared" si="123"/>
        <v>"qty":1205</v>
      </c>
      <c r="BEI16" t="str">
        <f t="shared" si="123"/>
        <v>"qty":1205</v>
      </c>
      <c r="BEJ16" t="str">
        <f t="shared" si="123"/>
        <v>"qty":1195</v>
      </c>
      <c r="BEK16" t="str">
        <f t="shared" si="123"/>
        <v>"qty":1195</v>
      </c>
      <c r="BEL16" t="str">
        <f t="shared" si="123"/>
        <v>"qty":1190</v>
      </c>
      <c r="BEM16" t="str">
        <f t="shared" si="123"/>
        <v>"qty":1190</v>
      </c>
      <c r="BEN16" t="str">
        <f t="shared" si="123"/>
        <v>"qty":1190</v>
      </c>
      <c r="BEO16" t="str">
        <f t="shared" si="123"/>
        <v>"qty":1189</v>
      </c>
      <c r="BEP16" t="str">
        <f t="shared" si="123"/>
        <v>"qty":1188</v>
      </c>
      <c r="BEQ16" t="str">
        <f t="shared" si="123"/>
        <v>"qty":1188</v>
      </c>
      <c r="BER16" t="str">
        <f t="shared" si="123"/>
        <v>"qty":1180</v>
      </c>
      <c r="BES16" t="str">
        <f t="shared" si="123"/>
        <v>"qty":1180</v>
      </c>
      <c r="BET16" t="str">
        <f t="shared" si="123"/>
        <v>"qty":1180</v>
      </c>
      <c r="BEU16" t="str">
        <f t="shared" si="123"/>
        <v>"qty":1179</v>
      </c>
      <c r="BEV16" t="str">
        <f t="shared" si="123"/>
        <v>"qty":1179</v>
      </c>
      <c r="BEW16" t="str">
        <f t="shared" si="123"/>
        <v>"qty":1179</v>
      </c>
      <c r="BEX16" t="str">
        <f t="shared" si="123"/>
        <v>"qty":1172</v>
      </c>
      <c r="BEY16" t="str">
        <f t="shared" si="123"/>
        <v>"qty":1155</v>
      </c>
      <c r="BEZ16" t="str">
        <f t="shared" si="123"/>
        <v>"qty":1153</v>
      </c>
      <c r="BFA16" t="str">
        <f t="shared" si="123"/>
        <v>"qty":1153</v>
      </c>
      <c r="BFB16" t="str">
        <f t="shared" si="123"/>
        <v>"qty":1137</v>
      </c>
      <c r="BFC16" t="str">
        <f t="shared" si="123"/>
        <v>"qty":1131</v>
      </c>
      <c r="BFD16" t="str">
        <f t="shared" si="123"/>
        <v>"qty":1123</v>
      </c>
      <c r="BFE16" t="str">
        <f t="shared" si="123"/>
        <v>"qty":1123</v>
      </c>
      <c r="BFF16" t="str">
        <f t="shared" si="123"/>
        <v>"qty":1121</v>
      </c>
      <c r="BFG16" t="str">
        <f t="shared" si="123"/>
        <v>"qty":1121</v>
      </c>
      <c r="BFH16" t="str">
        <f t="shared" si="123"/>
        <v>"qty":1118</v>
      </c>
      <c r="BFI16" t="str">
        <f t="shared" si="123"/>
        <v>"qty":1118</v>
      </c>
      <c r="BFJ16" t="str">
        <f t="shared" si="123"/>
        <v>"qty":1118</v>
      </c>
      <c r="BFK16" t="str">
        <f t="shared" si="123"/>
        <v>"qty":1118</v>
      </c>
      <c r="BFL16" t="str">
        <f t="shared" si="123"/>
        <v>"qty":1114</v>
      </c>
      <c r="BFM16" t="str">
        <f t="shared" si="123"/>
        <v>"qty":1107</v>
      </c>
      <c r="BFN16" t="str">
        <f t="shared" si="123"/>
        <v>"qty":1107</v>
      </c>
      <c r="BFO16" t="str">
        <f t="shared" si="123"/>
        <v>"qty":1103</v>
      </c>
      <c r="BFP16" t="str">
        <f t="shared" si="123"/>
        <v>"qty":1100</v>
      </c>
      <c r="BFQ16" t="str">
        <f t="shared" si="123"/>
        <v>"qty":1100</v>
      </c>
      <c r="BFR16" t="str">
        <f t="shared" si="123"/>
        <v>"qty":1100</v>
      </c>
      <c r="BFS16" t="str">
        <f t="shared" si="123"/>
        <v>"qty":1092</v>
      </c>
      <c r="BFT16" t="str">
        <f t="shared" si="123"/>
        <v>"qty":1080</v>
      </c>
      <c r="BFU16" t="str">
        <f t="shared" si="123"/>
        <v>"qty":1074</v>
      </c>
      <c r="BFV16" t="str">
        <f t="shared" si="123"/>
        <v>"qty":1074</v>
      </c>
      <c r="BFW16" t="str">
        <f t="shared" si="123"/>
        <v>"qty":1074</v>
      </c>
      <c r="BFX16" t="str">
        <f t="shared" si="123"/>
        <v>"qty":1074</v>
      </c>
      <c r="BFY16" t="str">
        <f t="shared" si="123"/>
        <v>"qty":1073</v>
      </c>
      <c r="BFZ16" t="str">
        <f t="shared" si="123"/>
        <v>"qty":1071</v>
      </c>
      <c r="BGA16" t="str">
        <f t="shared" si="123"/>
        <v>"qty":1070</v>
      </c>
      <c r="BGB16" t="str">
        <f t="shared" si="123"/>
        <v>"qty":1070</v>
      </c>
      <c r="BGC16" t="str">
        <f t="shared" si="123"/>
        <v>"qty":1067</v>
      </c>
      <c r="BGD16" t="str">
        <f t="shared" si="123"/>
        <v>"qty":1067</v>
      </c>
      <c r="BGE16" t="str">
        <f t="shared" si="123"/>
        <v>"qty":1067</v>
      </c>
      <c r="BGF16" t="str">
        <f t="shared" si="123"/>
        <v>"qty":1064</v>
      </c>
      <c r="BGG16" t="str">
        <f t="shared" si="123"/>
        <v>"qty":1055</v>
      </c>
      <c r="BGH16" t="str">
        <f t="shared" si="123"/>
        <v>"qty":1054</v>
      </c>
      <c r="BGI16" t="str">
        <f t="shared" si="123"/>
        <v>"qty":1054</v>
      </c>
      <c r="BGJ16" t="str">
        <f t="shared" si="123"/>
        <v>"qty":1046</v>
      </c>
      <c r="BGK16" t="str">
        <f t="shared" si="123"/>
        <v>"qty":1046</v>
      </c>
      <c r="BGL16" t="str">
        <f t="shared" si="123"/>
        <v>"qty":1035</v>
      </c>
      <c r="BGM16" t="str">
        <f t="shared" si="123"/>
        <v>"qty":1035</v>
      </c>
      <c r="BGN16" t="str">
        <f t="shared" si="123"/>
        <v>"qty":1031</v>
      </c>
      <c r="BGO16" t="str">
        <f t="shared" si="123"/>
        <v>"qty":1030</v>
      </c>
      <c r="BGP16" t="str">
        <f t="shared" ref="BGP16:BHC16" si="124">_xlfn.CONCAT("""",$L$10,"""",":",BGP10)</f>
        <v>"qty":1030</v>
      </c>
      <c r="BGQ16" t="str">
        <f t="shared" si="124"/>
        <v>"qty":1030</v>
      </c>
      <c r="BGR16" t="str">
        <f t="shared" si="124"/>
        <v>"qty":1026</v>
      </c>
      <c r="BGS16" t="str">
        <f t="shared" si="124"/>
        <v>"qty":1021</v>
      </c>
      <c r="BGT16" t="str">
        <f t="shared" si="124"/>
        <v>"qty":1021</v>
      </c>
      <c r="BGU16" t="str">
        <f t="shared" si="124"/>
        <v>"qty":1021</v>
      </c>
      <c r="BGV16" t="str">
        <f t="shared" si="124"/>
        <v>"qty":1006</v>
      </c>
      <c r="BGW16" t="str">
        <f t="shared" si="124"/>
        <v>"qty":1006</v>
      </c>
      <c r="BGX16" t="str">
        <f t="shared" si="124"/>
        <v>"qty":1006</v>
      </c>
      <c r="BGY16" t="str">
        <f t="shared" si="124"/>
        <v>"qty":1000</v>
      </c>
      <c r="BGZ16" t="str">
        <f t="shared" si="124"/>
        <v>"qty":1000</v>
      </c>
      <c r="BHA16" t="str">
        <f t="shared" si="124"/>
        <v>"qty":1000</v>
      </c>
      <c r="BHB16" t="str">
        <f t="shared" si="124"/>
        <v>"qty":1000</v>
      </c>
      <c r="BHC16" t="str">
        <f t="shared" si="124"/>
        <v>"qty":1000</v>
      </c>
    </row>
    <row r="17" spans="5:21" x14ac:dyDescent="0.25">
      <c r="E17" s="6" t="s">
        <v>2486</v>
      </c>
      <c r="F17" t="s">
        <v>22</v>
      </c>
      <c r="G17" t="s">
        <v>23</v>
      </c>
      <c r="H17" t="s">
        <v>25</v>
      </c>
      <c r="I17">
        <v>105272</v>
      </c>
    </row>
    <row r="18" spans="5:21" x14ac:dyDescent="0.25">
      <c r="E18" t="s">
        <v>2382</v>
      </c>
      <c r="F18" t="s">
        <v>2383</v>
      </c>
      <c r="G18" t="s">
        <v>26</v>
      </c>
      <c r="H18" t="s">
        <v>27</v>
      </c>
      <c r="I18">
        <v>96451</v>
      </c>
      <c r="T18" t="s">
        <v>2499</v>
      </c>
    </row>
    <row r="19" spans="5:21" x14ac:dyDescent="0.25">
      <c r="E19" t="s">
        <v>2382</v>
      </c>
      <c r="F19" t="s">
        <v>2383</v>
      </c>
      <c r="G19" t="s">
        <v>28</v>
      </c>
      <c r="H19" t="s">
        <v>29</v>
      </c>
      <c r="I19">
        <v>96451</v>
      </c>
      <c r="K19" t="s">
        <v>2504</v>
      </c>
      <c r="L19" t="str">
        <f>_xlfn.CONCAT("""","id","""",":","""",K19,"""",",")</f>
        <v>"id":"s1",</v>
      </c>
      <c r="M19" t="str" cm="1">
        <f t="array" ref="M19:Q1569">TRANSPOSE(M12:BHC16)</f>
        <v>"cate":"Resistor ",</v>
      </c>
      <c r="N19" t="str">
        <v>"des":"RST 10K 1/4W 5% 805",</v>
      </c>
      <c r="O19" t="str">
        <v>"mfg":"KOA",</v>
      </c>
      <c r="P19" t="str">
        <v>"pn":"RK73B2ATTD103J",</v>
      </c>
      <c r="Q19" t="str">
        <v>"qty":358146</v>
      </c>
      <c r="S19" t="s">
        <v>2498</v>
      </c>
      <c r="T19" t="str">
        <f>_xlfn.CONCAT(L19:Q19)</f>
        <v>"id":"s1","cate":"Resistor ","des":"RST 10K 1/4W 5% 805","mfg":"KOA","pn":"RK73B2ATTD103J","qty":358146</v>
      </c>
      <c r="U19" t="s">
        <v>2503</v>
      </c>
    </row>
    <row r="20" spans="5:21" x14ac:dyDescent="0.25">
      <c r="E20" t="s">
        <v>2382</v>
      </c>
      <c r="F20" t="s">
        <v>2383</v>
      </c>
      <c r="G20" t="s">
        <v>30</v>
      </c>
      <c r="H20" t="s">
        <v>27</v>
      </c>
      <c r="I20">
        <v>96451</v>
      </c>
      <c r="K20" t="s">
        <v>2506</v>
      </c>
      <c r="L20" t="str">
        <f t="shared" ref="L20:L83" si="125">_xlfn.CONCAT("""","id","""",":","""",K20,"""",",")</f>
        <v>"id":"s2",</v>
      </c>
      <c r="M20" t="str">
        <v>"cate":"Resistor ",</v>
      </c>
      <c r="N20" t="str">
        <v>"des":"RST 10K 1/4W 5% 805",</v>
      </c>
      <c r="O20" t="str">
        <v>"mfg":"KOA",</v>
      </c>
      <c r="P20" t="str">
        <v>"pn":"SG73P2ATTD1002F",</v>
      </c>
      <c r="Q20" t="str">
        <v>"qty":358146</v>
      </c>
      <c r="S20" t="s">
        <v>2498</v>
      </c>
      <c r="T20" t="str">
        <f t="shared" ref="T20:T83" si="126">_xlfn.CONCAT(L20:Q20)</f>
        <v>"id":"s2","cate":"Resistor ","des":"RST 10K 1/4W 5% 805","mfg":"KOA","pn":"SG73P2ATTD1002F","qty":358146</v>
      </c>
      <c r="U20" t="s">
        <v>2503</v>
      </c>
    </row>
    <row r="21" spans="5:21" x14ac:dyDescent="0.25">
      <c r="E21" t="s">
        <v>2193</v>
      </c>
      <c r="F21" t="s">
        <v>31</v>
      </c>
      <c r="G21" t="s">
        <v>13</v>
      </c>
      <c r="H21" t="s">
        <v>32</v>
      </c>
      <c r="I21">
        <v>82594</v>
      </c>
      <c r="K21" t="s">
        <v>2507</v>
      </c>
      <c r="L21" t="str">
        <f t="shared" si="125"/>
        <v>"id":"s3",</v>
      </c>
      <c r="M21" t="str">
        <v>"cate":"Capacitor",</v>
      </c>
      <c r="N21" t="str">
        <v>"des":"Capacitor 100NF K16V0402",</v>
      </c>
      <c r="O21" t="str">
        <v>"mfg":"SAMSUNG",</v>
      </c>
      <c r="P21" t="str">
        <v>"pn":"CL05B104KO5NNNC",</v>
      </c>
      <c r="Q21" t="str">
        <v>"qty":268614</v>
      </c>
      <c r="S21" t="s">
        <v>2498</v>
      </c>
      <c r="T21" t="str">
        <f t="shared" si="126"/>
        <v>"id":"s3","cate":"Capacitor","des":"Capacitor 100NF K16V0402","mfg":"SAMSUNG","pn":"CL05B104KO5NNNC","qty":268614</v>
      </c>
      <c r="U21" t="s">
        <v>2503</v>
      </c>
    </row>
    <row r="22" spans="5:21" x14ac:dyDescent="0.25">
      <c r="E22" t="s">
        <v>2193</v>
      </c>
      <c r="F22" t="s">
        <v>31</v>
      </c>
      <c r="G22" t="s">
        <v>10</v>
      </c>
      <c r="H22" t="s">
        <v>33</v>
      </c>
      <c r="I22">
        <v>82594</v>
      </c>
      <c r="K22" t="s">
        <v>2505</v>
      </c>
      <c r="L22" t="str">
        <f t="shared" si="125"/>
        <v>"id":"s4",</v>
      </c>
      <c r="M22" t="str">
        <v>"cate":"Capacitor",</v>
      </c>
      <c r="N22" t="str">
        <v>"des":"Capacitor 100NF K16V0402",</v>
      </c>
      <c r="O22" t="str">
        <v>"mfg":"WALSIN",</v>
      </c>
      <c r="P22" t="str">
        <v>"pn":"0402B104K160CT",</v>
      </c>
      <c r="Q22" t="str">
        <v>"qty":268614</v>
      </c>
      <c r="S22" t="s">
        <v>2498</v>
      </c>
      <c r="T22" t="str">
        <f t="shared" si="126"/>
        <v>"id":"s4","cate":"Capacitor","des":"Capacitor 100NF K16V0402","mfg":"WALSIN","pn":"0402B104K160CT","qty":268614</v>
      </c>
      <c r="U22" t="s">
        <v>2503</v>
      </c>
    </row>
    <row r="23" spans="5:21" x14ac:dyDescent="0.25">
      <c r="E23" t="s">
        <v>2194</v>
      </c>
      <c r="F23" t="s">
        <v>2197</v>
      </c>
      <c r="G23" t="s">
        <v>13</v>
      </c>
      <c r="H23" t="s">
        <v>34</v>
      </c>
      <c r="I23">
        <v>67975</v>
      </c>
      <c r="K23" t="s">
        <v>2508</v>
      </c>
      <c r="L23" t="str">
        <f t="shared" si="125"/>
        <v>"id":"s5",</v>
      </c>
      <c r="M23" t="str">
        <v>"cate":"Resistor ",</v>
      </c>
      <c r="N23" t="str">
        <v>"des":"RST 100K 0,1W 5%603",</v>
      </c>
      <c r="O23" t="str">
        <v>"mfg":"YAGEO",</v>
      </c>
      <c r="P23" t="str">
        <v>"pn":"RC0603JR-07100KL",</v>
      </c>
      <c r="Q23" t="str">
        <v>"qty":193847</v>
      </c>
      <c r="S23" t="s">
        <v>2498</v>
      </c>
      <c r="T23" t="str">
        <f t="shared" si="126"/>
        <v>"id":"s5","cate":"Resistor ","des":"RST 100K 0,1W 5%603","mfg":"YAGEO","pn":"RC0603JR-07100KL","qty":193847</v>
      </c>
      <c r="U23" t="s">
        <v>2503</v>
      </c>
    </row>
    <row r="24" spans="5:21" x14ac:dyDescent="0.25">
      <c r="E24" t="s">
        <v>2194</v>
      </c>
      <c r="F24" t="s">
        <v>2197</v>
      </c>
      <c r="G24" t="s">
        <v>8</v>
      </c>
      <c r="H24" t="s">
        <v>35</v>
      </c>
      <c r="I24">
        <v>67975</v>
      </c>
      <c r="K24" t="s">
        <v>2509</v>
      </c>
      <c r="L24" t="str">
        <f t="shared" si="125"/>
        <v>"id":"s6",</v>
      </c>
      <c r="M24" t="str">
        <v>"cate":"Resistor ",</v>
      </c>
      <c r="N24" t="str">
        <v>"des":"RST 100K 0,1W 5%603",</v>
      </c>
      <c r="O24" t="str">
        <v>"mfg":"WALSIN",</v>
      </c>
      <c r="P24" t="str">
        <v>"pn":"WR06X104 JTL",</v>
      </c>
      <c r="Q24" t="str">
        <v>"qty":193847</v>
      </c>
      <c r="S24" t="s">
        <v>2498</v>
      </c>
      <c r="T24" t="str">
        <f t="shared" si="126"/>
        <v>"id":"s6","cate":"Resistor ","des":"RST 100K 0,1W 5%603","mfg":"WALSIN","pn":"WR06X104 JTL","qty":193847</v>
      </c>
      <c r="U24" t="s">
        <v>2503</v>
      </c>
    </row>
    <row r="25" spans="5:21" x14ac:dyDescent="0.25">
      <c r="E25" t="s">
        <v>2122</v>
      </c>
      <c r="F25" t="s">
        <v>36</v>
      </c>
      <c r="G25" t="s">
        <v>37</v>
      </c>
      <c r="H25" t="s">
        <v>38</v>
      </c>
      <c r="I25">
        <v>65424</v>
      </c>
      <c r="K25" t="s">
        <v>2510</v>
      </c>
      <c r="L25" t="str">
        <f t="shared" si="125"/>
        <v>"id":"s7",</v>
      </c>
      <c r="M25" t="str">
        <v>"cate":"Resistor ",</v>
      </c>
      <c r="N25" t="str">
        <v>"des":"RST 4,7K 0,1W 5%603",</v>
      </c>
      <c r="O25" t="str">
        <v>"mfg":"YAGEO",</v>
      </c>
      <c r="P25" t="str">
        <v>"pn":"RC0603JR-074K7L",</v>
      </c>
      <c r="Q25" t="str">
        <v>"qty":168926</v>
      </c>
      <c r="S25" t="s">
        <v>2498</v>
      </c>
      <c r="T25" t="str">
        <f t="shared" si="126"/>
        <v>"id":"s7","cate":"Resistor ","des":"RST 4,7K 0,1W 5%603","mfg":"YAGEO","pn":"RC0603JR-074K7L","qty":168926</v>
      </c>
      <c r="U25" t="s">
        <v>2503</v>
      </c>
    </row>
    <row r="26" spans="5:21" x14ac:dyDescent="0.25">
      <c r="E26" t="s">
        <v>2122</v>
      </c>
      <c r="F26" t="s">
        <v>36</v>
      </c>
      <c r="G26" t="s">
        <v>37</v>
      </c>
      <c r="H26" t="s">
        <v>39</v>
      </c>
      <c r="I26">
        <v>65424</v>
      </c>
      <c r="K26" t="s">
        <v>2511</v>
      </c>
      <c r="L26" t="str">
        <f t="shared" si="125"/>
        <v>"id":"s8",</v>
      </c>
      <c r="M26" t="str">
        <v>"cate":"Resistor ",</v>
      </c>
      <c r="N26" t="str">
        <v>"des":"RST 4,7K 0,1W 5%603",</v>
      </c>
      <c r="O26" t="str">
        <v>"mfg":"WALSIN",</v>
      </c>
      <c r="P26" t="str">
        <v>"pn":"WR06X472JTL",</v>
      </c>
      <c r="Q26" t="str">
        <v>"qty":168926</v>
      </c>
      <c r="S26" t="s">
        <v>2498</v>
      </c>
      <c r="T26" t="str">
        <f t="shared" si="126"/>
        <v>"id":"s8","cate":"Resistor ","des":"RST 4,7K 0,1W 5%603","mfg":"WALSIN","pn":"WR06X472JTL","qty":168926</v>
      </c>
      <c r="U26" t="s">
        <v>2503</v>
      </c>
    </row>
    <row r="27" spans="5:21" x14ac:dyDescent="0.25">
      <c r="E27" t="s">
        <v>2122</v>
      </c>
      <c r="F27" t="s">
        <v>36</v>
      </c>
      <c r="G27" t="s">
        <v>37</v>
      </c>
      <c r="H27" t="s">
        <v>40</v>
      </c>
      <c r="I27">
        <v>65424</v>
      </c>
      <c r="K27" t="s">
        <v>2512</v>
      </c>
      <c r="L27" t="str">
        <f t="shared" si="125"/>
        <v>"id":"s9",</v>
      </c>
      <c r="M27" t="str">
        <v>"cate":"Resistor ",</v>
      </c>
      <c r="N27" t="str">
        <v>"des":"RST 1K69 0,1W1%0603",</v>
      </c>
      <c r="O27" t="str">
        <v>"mfg":"YAGEO",</v>
      </c>
      <c r="P27" t="str">
        <v>"pn":"RC0603FR-071K69L",</v>
      </c>
      <c r="Q27" t="str">
        <v>"qty":152560</v>
      </c>
      <c r="S27" t="s">
        <v>2498</v>
      </c>
      <c r="T27" t="str">
        <f t="shared" si="126"/>
        <v>"id":"s9","cate":"Resistor ","des":"RST 1K69 0,1W1%0603","mfg":"YAGEO","pn":"RC0603FR-071K69L","qty":152560</v>
      </c>
      <c r="U27" t="s">
        <v>2503</v>
      </c>
    </row>
    <row r="28" spans="5:21" x14ac:dyDescent="0.25">
      <c r="E28" t="s">
        <v>2122</v>
      </c>
      <c r="F28" t="s">
        <v>36</v>
      </c>
      <c r="G28" t="s">
        <v>37</v>
      </c>
      <c r="H28" t="s">
        <v>41</v>
      </c>
      <c r="I28">
        <v>65424</v>
      </c>
      <c r="K28" t="s">
        <v>2513</v>
      </c>
      <c r="L28" t="str">
        <f t="shared" si="125"/>
        <v>"id":"s10",</v>
      </c>
      <c r="M28" t="str">
        <v>"cate":"Diode",</v>
      </c>
      <c r="N28" t="str">
        <v>"des":"DiodeE ZE 12V/1W",</v>
      </c>
      <c r="O28" t="str">
        <v>"mfg":"DiodeES INC.",</v>
      </c>
      <c r="P28" t="str">
        <v>"pn":"SMAZ12-13-F",</v>
      </c>
      <c r="Q28" t="str">
        <v>"qty":128362</v>
      </c>
      <c r="S28" t="s">
        <v>2498</v>
      </c>
      <c r="T28" t="str">
        <f t="shared" si="126"/>
        <v>"id":"s10","cate":"Diode","des":"DiodeE ZE 12V/1W","mfg":"DiodeES INC.","pn":"SMAZ12-13-F","qty":128362</v>
      </c>
      <c r="U28" t="s">
        <v>2503</v>
      </c>
    </row>
    <row r="29" spans="5:21" x14ac:dyDescent="0.25">
      <c r="E29" t="s">
        <v>2122</v>
      </c>
      <c r="F29" t="s">
        <v>36</v>
      </c>
      <c r="G29" t="s">
        <v>37</v>
      </c>
      <c r="H29" t="s">
        <v>42</v>
      </c>
      <c r="I29">
        <v>65424</v>
      </c>
      <c r="K29" t="s">
        <v>2514</v>
      </c>
      <c r="L29" t="str">
        <f t="shared" si="125"/>
        <v>"id":"s11",</v>
      </c>
      <c r="M29" t="str">
        <v>"cate":"Opto",</v>
      </c>
      <c r="N29" t="str">
        <v>"des":"OPT DRIVER 5KV-02",</v>
      </c>
      <c r="O29" t="str">
        <v>"mfg":"BROADCOM",</v>
      </c>
      <c r="P29" t="str">
        <v>"pn":"HCPL-817-30LE",</v>
      </c>
      <c r="Q29" t="str">
        <v>"qty":105272</v>
      </c>
      <c r="S29" t="s">
        <v>2498</v>
      </c>
      <c r="T29" t="str">
        <f t="shared" si="126"/>
        <v>"id":"s11","cate":"Opto","des":"OPT DRIVER 5KV-02","mfg":"BROADCOM","pn":"HCPL-817-30LE","qty":105272</v>
      </c>
      <c r="U29" t="s">
        <v>2503</v>
      </c>
    </row>
    <row r="30" spans="5:21" x14ac:dyDescent="0.25">
      <c r="E30" t="s">
        <v>2193</v>
      </c>
      <c r="F30" t="s">
        <v>43</v>
      </c>
      <c r="G30" t="s">
        <v>10</v>
      </c>
      <c r="H30" t="s">
        <v>44</v>
      </c>
      <c r="I30">
        <v>64154</v>
      </c>
      <c r="K30" t="s">
        <v>2515</v>
      </c>
      <c r="L30" t="str">
        <f t="shared" si="125"/>
        <v>"id":"s12",</v>
      </c>
      <c r="M30" t="str">
        <v>"cate":"Opto",</v>
      </c>
      <c r="N30" t="str">
        <v>"des":"OPT DRIVER 5KV-02",</v>
      </c>
      <c r="O30" t="str">
        <v>"mfg":"BROADCOM",</v>
      </c>
      <c r="P30" t="str">
        <v>"pn":"HCPL-817-50LE",</v>
      </c>
      <c r="Q30" t="str">
        <v>"qty":105272</v>
      </c>
      <c r="S30" t="s">
        <v>2498</v>
      </c>
      <c r="T30" t="str">
        <f t="shared" si="126"/>
        <v>"id":"s12","cate":"Opto","des":"OPT DRIVER 5KV-02","mfg":"BROADCOM","pn":"HCPL-817-50LE","qty":105272</v>
      </c>
      <c r="U30" t="s">
        <v>2503</v>
      </c>
    </row>
    <row r="31" spans="5:21" x14ac:dyDescent="0.25">
      <c r="E31" t="s">
        <v>2394</v>
      </c>
      <c r="F31" t="s">
        <v>2395</v>
      </c>
      <c r="G31" t="s">
        <v>45</v>
      </c>
      <c r="H31" t="s">
        <v>46</v>
      </c>
      <c r="I31">
        <v>63893</v>
      </c>
      <c r="K31" t="s">
        <v>2516</v>
      </c>
      <c r="L31" t="str">
        <f t="shared" si="125"/>
        <v>"id":"s13",</v>
      </c>
      <c r="M31" t="str">
        <v>"cate":"IC",</v>
      </c>
      <c r="N31" t="str">
        <v>"des":"ICMD 74HC125",</v>
      </c>
      <c r="O31" t="str">
        <v>"mfg":"NXP SEMICONDUCTORS",</v>
      </c>
      <c r="P31" t="str">
        <v>"pn":"74HC125D,653",</v>
      </c>
      <c r="Q31" t="str">
        <v>"qty":96451</v>
      </c>
      <c r="S31" t="s">
        <v>2498</v>
      </c>
      <c r="T31" t="str">
        <f t="shared" si="126"/>
        <v>"id":"s13","cate":"IC","des":"ICMD 74HC125","mfg":"NXP SEMICONDUCTORS","pn":"74HC125D,653","qty":96451</v>
      </c>
      <c r="U31" t="s">
        <v>2503</v>
      </c>
    </row>
    <row r="32" spans="5:21" x14ac:dyDescent="0.25">
      <c r="E32" t="s">
        <v>2194</v>
      </c>
      <c r="F32" t="s">
        <v>2198</v>
      </c>
      <c r="G32" t="s">
        <v>47</v>
      </c>
      <c r="H32" t="s">
        <v>48</v>
      </c>
      <c r="I32">
        <v>63546</v>
      </c>
      <c r="K32" t="s">
        <v>2517</v>
      </c>
      <c r="L32" t="str">
        <f t="shared" si="125"/>
        <v>"id":"s14",</v>
      </c>
      <c r="M32" t="str">
        <v>"cate":"IC",</v>
      </c>
      <c r="N32" t="str">
        <v>"des":"ICMD 74HC125",</v>
      </c>
      <c r="O32" t="str">
        <v>"mfg":"ON SEMICONDUCTOR",</v>
      </c>
      <c r="P32" t="str">
        <v>"pn":"MC74HC125ADR2G",</v>
      </c>
      <c r="Q32" t="str">
        <v>"qty":96451</v>
      </c>
      <c r="S32" t="s">
        <v>2498</v>
      </c>
      <c r="T32" t="str">
        <f t="shared" si="126"/>
        <v>"id":"s14","cate":"IC","des":"ICMD 74HC125","mfg":"ON SEMICONDUCTOR","pn":"MC74HC125ADR2G","qty":96451</v>
      </c>
      <c r="U32" t="s">
        <v>2503</v>
      </c>
    </row>
    <row r="33" spans="5:21" x14ac:dyDescent="0.25">
      <c r="E33" t="s">
        <v>2194</v>
      </c>
      <c r="F33" t="s">
        <v>2198</v>
      </c>
      <c r="G33" t="s">
        <v>49</v>
      </c>
      <c r="H33" t="s">
        <v>50</v>
      </c>
      <c r="I33">
        <v>63546</v>
      </c>
      <c r="K33" t="s">
        <v>2518</v>
      </c>
      <c r="L33" t="str">
        <f t="shared" si="125"/>
        <v>"id":"s15",</v>
      </c>
      <c r="M33" t="str">
        <v>"cate":"IC",</v>
      </c>
      <c r="N33" t="str">
        <v>"des":"ICMD 74HC125",</v>
      </c>
      <c r="O33" t="str">
        <v>"mfg":"NEXPERIA",</v>
      </c>
      <c r="P33" t="str">
        <v>"pn":"74HC125D,653",</v>
      </c>
      <c r="Q33" t="str">
        <v>"qty":96451</v>
      </c>
      <c r="S33" t="s">
        <v>2498</v>
      </c>
      <c r="T33" t="str">
        <f t="shared" si="126"/>
        <v>"id":"s15","cate":"IC","des":"ICMD 74HC125","mfg":"NEXPERIA","pn":"74HC125D,653","qty":96451</v>
      </c>
      <c r="U33" t="s">
        <v>2503</v>
      </c>
    </row>
    <row r="34" spans="5:21" x14ac:dyDescent="0.25">
      <c r="E34" t="s">
        <v>2194</v>
      </c>
      <c r="F34" t="s">
        <v>2198</v>
      </c>
      <c r="G34" t="s">
        <v>8</v>
      </c>
      <c r="H34" t="s">
        <v>51</v>
      </c>
      <c r="I34">
        <v>63546</v>
      </c>
      <c r="K34" t="s">
        <v>2519</v>
      </c>
      <c r="L34" t="str">
        <f t="shared" si="125"/>
        <v>"id":"s16",</v>
      </c>
      <c r="M34" t="str">
        <v>"cate":"Resistor ",</v>
      </c>
      <c r="N34" t="str">
        <v>"des":"RST 220 0,1W 5%0603",</v>
      </c>
      <c r="O34" t="str">
        <v>"mfg":"YAGEO",</v>
      </c>
      <c r="P34" t="str">
        <v>"pn":"RC0603JR-07220RL",</v>
      </c>
      <c r="Q34" t="str">
        <v>"qty":82594</v>
      </c>
      <c r="S34" t="s">
        <v>2498</v>
      </c>
      <c r="T34" t="str">
        <f t="shared" si="126"/>
        <v>"id":"s16","cate":"Resistor ","des":"RST 220 0,1W 5%0603","mfg":"YAGEO","pn":"RC0603JR-07220RL","qty":82594</v>
      </c>
      <c r="U34" t="s">
        <v>2503</v>
      </c>
    </row>
    <row r="35" spans="5:21" x14ac:dyDescent="0.25">
      <c r="E35" t="s">
        <v>2194</v>
      </c>
      <c r="F35" t="s">
        <v>2198</v>
      </c>
      <c r="G35" t="s">
        <v>10</v>
      </c>
      <c r="H35" t="s">
        <v>52</v>
      </c>
      <c r="I35">
        <v>63546</v>
      </c>
      <c r="K35" t="s">
        <v>2520</v>
      </c>
      <c r="L35" t="str">
        <f t="shared" si="125"/>
        <v>"id":"s17",</v>
      </c>
      <c r="M35" t="str">
        <v>"cate":"Resistor ",</v>
      </c>
      <c r="N35" t="str">
        <v>"des":"RST 220 0,1W 5%0603",</v>
      </c>
      <c r="O35" t="str">
        <v>"mfg":"WALSIN",</v>
      </c>
      <c r="P35" t="str">
        <v>"pn":"WR06X221JTL",</v>
      </c>
      <c r="Q35" t="str">
        <v>"qty":82594</v>
      </c>
      <c r="S35" t="s">
        <v>2498</v>
      </c>
      <c r="T35" t="str">
        <f t="shared" si="126"/>
        <v>"id":"s17","cate":"Resistor ","des":"RST 220 0,1W 5%0603","mfg":"WALSIN","pn":"WR06X221JTL","qty":82594</v>
      </c>
      <c r="U35" t="s">
        <v>2503</v>
      </c>
    </row>
    <row r="36" spans="5:21" x14ac:dyDescent="0.25">
      <c r="E36" t="s">
        <v>2194</v>
      </c>
      <c r="F36" t="s">
        <v>2198</v>
      </c>
      <c r="G36" t="s">
        <v>10</v>
      </c>
      <c r="H36" t="s">
        <v>53</v>
      </c>
      <c r="I36">
        <v>63546</v>
      </c>
      <c r="K36" t="s">
        <v>2521</v>
      </c>
      <c r="L36" t="str">
        <f t="shared" si="125"/>
        <v>"id":"s18",</v>
      </c>
      <c r="M36" t="str">
        <v>"cate":"Capacitor",</v>
      </c>
      <c r="N36" t="str">
        <v>"des":"Capacitor 4U7/10V 20%402",</v>
      </c>
      <c r="O36" t="str">
        <v>"mfg":"YAGEO",</v>
      </c>
      <c r="P36" t="str">
        <v>"pn":"CC0402MRX5R6BB475",</v>
      </c>
      <c r="Q36" t="str">
        <v>"qty":67975</v>
      </c>
      <c r="S36" t="s">
        <v>2498</v>
      </c>
      <c r="T36" t="str">
        <f t="shared" si="126"/>
        <v>"id":"s18","cate":"Capacitor","des":"Capacitor 4U7/10V 20%402","mfg":"YAGEO","pn":"CC0402MRX5R6BB475","qty":67975</v>
      </c>
      <c r="U36" t="s">
        <v>2503</v>
      </c>
    </row>
    <row r="37" spans="5:21" x14ac:dyDescent="0.25">
      <c r="E37" t="s">
        <v>2194</v>
      </c>
      <c r="F37" t="s">
        <v>2199</v>
      </c>
      <c r="G37" t="s">
        <v>13</v>
      </c>
      <c r="H37" t="s">
        <v>54</v>
      </c>
      <c r="I37">
        <v>61895</v>
      </c>
      <c r="K37" t="s">
        <v>2522</v>
      </c>
      <c r="L37" t="str">
        <f t="shared" si="125"/>
        <v>"id":"s19",</v>
      </c>
      <c r="M37" t="str">
        <v>"cate":"Capacitor",</v>
      </c>
      <c r="N37" t="str">
        <v>"des":"Capacitor 4U7/10V 20%402",</v>
      </c>
      <c r="O37" t="str">
        <v>"mfg":"SAMSUNG",</v>
      </c>
      <c r="P37" t="str">
        <v>"pn":"CL05A475MP5NRNC",</v>
      </c>
      <c r="Q37" t="str">
        <v>"qty":67975</v>
      </c>
      <c r="S37" t="s">
        <v>2498</v>
      </c>
      <c r="T37" t="str">
        <f t="shared" si="126"/>
        <v>"id":"s19","cate":"Capacitor","des":"Capacitor 4U7/10V 20%402","mfg":"SAMSUNG","pn":"CL05A475MP5NRNC","qty":67975</v>
      </c>
      <c r="U37" t="s">
        <v>2503</v>
      </c>
    </row>
    <row r="38" spans="5:21" x14ac:dyDescent="0.25">
      <c r="E38" t="s">
        <v>2194</v>
      </c>
      <c r="F38" t="s">
        <v>2199</v>
      </c>
      <c r="G38" t="s">
        <v>47</v>
      </c>
      <c r="H38" t="s">
        <v>55</v>
      </c>
      <c r="I38">
        <v>61895</v>
      </c>
      <c r="K38" t="s">
        <v>2523</v>
      </c>
      <c r="L38" t="str">
        <f t="shared" si="125"/>
        <v>"id":"s20",</v>
      </c>
      <c r="M38" t="str">
        <v>"cate":"NTC ",</v>
      </c>
      <c r="N38" t="str">
        <v>"des":"NTC 47K",</v>
      </c>
      <c r="O38" t="str">
        <v>"mfg":"VISHAY",</v>
      </c>
      <c r="P38" t="str">
        <v>"pn":"NTCLE100E3473HB0",</v>
      </c>
      <c r="Q38" t="str">
        <v>"qty":65424</v>
      </c>
      <c r="S38" t="s">
        <v>2498</v>
      </c>
      <c r="T38" t="str">
        <f t="shared" si="126"/>
        <v>"id":"s20","cate":"NTC ","des":"NTC 47K","mfg":"VISHAY","pn":"NTCLE100E3473HB0","qty":65424</v>
      </c>
      <c r="U38" t="s">
        <v>2503</v>
      </c>
    </row>
    <row r="39" spans="5:21" x14ac:dyDescent="0.25">
      <c r="E39" t="s">
        <v>2194</v>
      </c>
      <c r="F39" t="s">
        <v>2199</v>
      </c>
      <c r="G39" t="s">
        <v>8</v>
      </c>
      <c r="H39" t="s">
        <v>56</v>
      </c>
      <c r="I39">
        <v>61895</v>
      </c>
      <c r="K39" t="s">
        <v>2524</v>
      </c>
      <c r="L39" t="str">
        <f t="shared" si="125"/>
        <v>"id":"s21",</v>
      </c>
      <c r="M39" t="str">
        <v>"cate":"NTC ",</v>
      </c>
      <c r="N39" t="str">
        <v>"des":"NTC 47K",</v>
      </c>
      <c r="O39" t="str">
        <v>"mfg":"VISHAY",</v>
      </c>
      <c r="P39" t="str">
        <v>"pn":"NTCLE100E3473HB0A",</v>
      </c>
      <c r="Q39" t="str">
        <v>"qty":65424</v>
      </c>
      <c r="S39" t="s">
        <v>2498</v>
      </c>
      <c r="T39" t="str">
        <f t="shared" si="126"/>
        <v>"id":"s21","cate":"NTC ","des":"NTC 47K","mfg":"VISHAY","pn":"NTCLE100E3473HB0A","qty":65424</v>
      </c>
      <c r="U39" t="s">
        <v>2503</v>
      </c>
    </row>
    <row r="40" spans="5:21" x14ac:dyDescent="0.25">
      <c r="E40" t="s">
        <v>2405</v>
      </c>
      <c r="F40" t="s">
        <v>2407</v>
      </c>
      <c r="G40" t="s">
        <v>57</v>
      </c>
      <c r="H40" t="s">
        <v>58</v>
      </c>
      <c r="I40">
        <v>61128</v>
      </c>
      <c r="K40" t="s">
        <v>2525</v>
      </c>
      <c r="L40" t="str">
        <f t="shared" si="125"/>
        <v>"id":"s22",</v>
      </c>
      <c r="M40" t="str">
        <v>"cate":"NTC ",</v>
      </c>
      <c r="N40" t="str">
        <v>"des":"NTC 47K",</v>
      </c>
      <c r="O40" t="str">
        <v>"mfg":"VISHAY",</v>
      </c>
      <c r="P40" t="str">
        <v>"pn":"NTCLE100E3473JB0",</v>
      </c>
      <c r="Q40" t="str">
        <v>"qty":65424</v>
      </c>
      <c r="S40" t="s">
        <v>2498</v>
      </c>
      <c r="T40" t="str">
        <f t="shared" si="126"/>
        <v>"id":"s22","cate":"NTC ","des":"NTC 47K","mfg":"VISHAY","pn":"NTCLE100E3473JB0","qty":65424</v>
      </c>
      <c r="U40" t="s">
        <v>2503</v>
      </c>
    </row>
    <row r="41" spans="5:21" x14ac:dyDescent="0.25">
      <c r="E41" t="s">
        <v>2405</v>
      </c>
      <c r="F41" t="s">
        <v>2407</v>
      </c>
      <c r="G41" t="s">
        <v>37</v>
      </c>
      <c r="H41" t="s">
        <v>59</v>
      </c>
      <c r="I41">
        <v>61128</v>
      </c>
      <c r="K41" t="s">
        <v>2526</v>
      </c>
      <c r="L41" t="str">
        <f t="shared" si="125"/>
        <v>"id":"s23",</v>
      </c>
      <c r="M41" t="str">
        <v>"cate":"NTC ",</v>
      </c>
      <c r="N41" t="str">
        <v>"des":"NTC 47K",</v>
      </c>
      <c r="O41" t="str">
        <v>"mfg":"VISHAY",</v>
      </c>
      <c r="P41" t="str">
        <v>"pn":"NTCLE100E3473JB0A",</v>
      </c>
      <c r="Q41" t="str">
        <v>"qty":65424</v>
      </c>
      <c r="S41" t="s">
        <v>2498</v>
      </c>
      <c r="T41" t="str">
        <f t="shared" si="126"/>
        <v>"id":"s23","cate":"NTC ","des":"NTC 47K","mfg":"VISHAY","pn":"NTCLE100E3473JB0A","qty":65424</v>
      </c>
      <c r="U41" t="s">
        <v>2503</v>
      </c>
    </row>
    <row r="42" spans="5:21" x14ac:dyDescent="0.25">
      <c r="E42" t="s">
        <v>2405</v>
      </c>
      <c r="F42" t="s">
        <v>2407</v>
      </c>
      <c r="G42" t="s">
        <v>37</v>
      </c>
      <c r="H42" t="s">
        <v>60</v>
      </c>
      <c r="I42">
        <v>61128</v>
      </c>
      <c r="K42" t="s">
        <v>2527</v>
      </c>
      <c r="L42" t="str">
        <f t="shared" si="125"/>
        <v>"id":"s24",</v>
      </c>
      <c r="M42" t="str">
        <v>"cate":"NTC ",</v>
      </c>
      <c r="N42" t="str">
        <v>"des":"NTC 47K",</v>
      </c>
      <c r="O42" t="str">
        <v>"mfg":"VISHAY",</v>
      </c>
      <c r="P42" t="str">
        <v>"pn":"2381 640 63473",</v>
      </c>
      <c r="Q42" t="str">
        <v>"qty":65424</v>
      </c>
      <c r="S42" t="s">
        <v>2498</v>
      </c>
      <c r="T42" t="str">
        <f t="shared" si="126"/>
        <v>"id":"s24","cate":"NTC ","des":"NTC 47K","mfg":"VISHAY","pn":"2381 640 63473","qty":65424</v>
      </c>
      <c r="U42" t="s">
        <v>2503</v>
      </c>
    </row>
    <row r="43" spans="5:21" x14ac:dyDescent="0.25">
      <c r="E43" t="s">
        <v>2405</v>
      </c>
      <c r="F43" t="s">
        <v>2407</v>
      </c>
      <c r="G43" t="s">
        <v>61</v>
      </c>
      <c r="H43" t="s">
        <v>58</v>
      </c>
      <c r="I43">
        <v>61128</v>
      </c>
      <c r="K43" t="s">
        <v>2528</v>
      </c>
      <c r="L43" t="str">
        <f t="shared" si="125"/>
        <v>"id":"s25",</v>
      </c>
      <c r="M43" t="str">
        <v>"cate":"Resistor ",</v>
      </c>
      <c r="N43" t="str">
        <v>"des":"RST 23K7 0,1W 1%603",</v>
      </c>
      <c r="O43" t="str">
        <v>"mfg":"WALSIN",</v>
      </c>
      <c r="P43" t="str">
        <v>"pn":"WR06X2372FTL",</v>
      </c>
      <c r="Q43" t="str">
        <v>"qty":64154</v>
      </c>
      <c r="S43" t="s">
        <v>2498</v>
      </c>
      <c r="T43" t="str">
        <f t="shared" si="126"/>
        <v>"id":"s25","cate":"Resistor ","des":"RST 23K7 0,1W 1%603","mfg":"WALSIN","pn":"WR06X2372FTL","qty":64154</v>
      </c>
      <c r="U43" t="s">
        <v>2503</v>
      </c>
    </row>
    <row r="44" spans="5:21" x14ac:dyDescent="0.25">
      <c r="E44" t="s">
        <v>2394</v>
      </c>
      <c r="F44" t="s">
        <v>2396</v>
      </c>
      <c r="G44" t="s">
        <v>62</v>
      </c>
      <c r="H44" t="s">
        <v>63</v>
      </c>
      <c r="I44">
        <v>60773</v>
      </c>
      <c r="K44" t="s">
        <v>2529</v>
      </c>
      <c r="L44" t="str">
        <f t="shared" si="125"/>
        <v>"id":"s26",</v>
      </c>
      <c r="M44" t="str">
        <v>"cate":"Choke Coil",</v>
      </c>
      <c r="N44" t="str">
        <v>"des":"Choke CoilE SMD 3,3U 3,2A",</v>
      </c>
      <c r="O44" t="str">
        <v>"mfg":"EPCOS/TDK",</v>
      </c>
      <c r="P44" t="str">
        <v>"pn":"LTF5022T-3R3N2R5-LC",</v>
      </c>
      <c r="Q44" t="str">
        <v>"qty":63893</v>
      </c>
      <c r="S44" t="s">
        <v>2498</v>
      </c>
      <c r="T44" t="str">
        <f t="shared" si="126"/>
        <v>"id":"s26","cate":"Choke Coil","des":"Choke CoilE SMD 3,3U 3,2A","mfg":"EPCOS/TDK","pn":"LTF5022T-3R3N2R5-LC","qty":63893</v>
      </c>
      <c r="U44" t="s">
        <v>2503</v>
      </c>
    </row>
    <row r="45" spans="5:21" x14ac:dyDescent="0.25">
      <c r="E45" t="s">
        <v>2194</v>
      </c>
      <c r="F45" t="s">
        <v>2200</v>
      </c>
      <c r="G45" t="s">
        <v>64</v>
      </c>
      <c r="H45" t="s">
        <v>65</v>
      </c>
      <c r="I45">
        <v>60002</v>
      </c>
      <c r="K45" t="s">
        <v>2530</v>
      </c>
      <c r="L45" t="str">
        <f t="shared" si="125"/>
        <v>"id":"s27",</v>
      </c>
      <c r="M45" t="str">
        <v>"cate":"Capacitor",</v>
      </c>
      <c r="N45" t="str">
        <v>"des":"Capacitor 1NF/25V 5%-02",</v>
      </c>
      <c r="O45" t="str">
        <v>"mfg":"KEMET",</v>
      </c>
      <c r="P45" t="str">
        <v>"pn":"C0805C102J5RACTU",</v>
      </c>
      <c r="Q45" t="str">
        <v>"qty":63546</v>
      </c>
      <c r="S45" t="s">
        <v>2498</v>
      </c>
      <c r="T45" t="str">
        <f t="shared" si="126"/>
        <v>"id":"s27","cate":"Capacitor","des":"Capacitor 1NF/25V 5%-02","mfg":"KEMET","pn":"C0805C102J5RACTU","qty":63546</v>
      </c>
      <c r="U45" t="s">
        <v>2503</v>
      </c>
    </row>
    <row r="46" spans="5:21" x14ac:dyDescent="0.25">
      <c r="E46" t="s">
        <v>2194</v>
      </c>
      <c r="F46" t="s">
        <v>2200</v>
      </c>
      <c r="G46" t="s">
        <v>8</v>
      </c>
      <c r="H46" t="s">
        <v>66</v>
      </c>
      <c r="I46">
        <v>60002</v>
      </c>
      <c r="K46" t="s">
        <v>2531</v>
      </c>
      <c r="L46" t="str">
        <f t="shared" si="125"/>
        <v>"id":"s28",</v>
      </c>
      <c r="M46" t="str">
        <v>"cate":"Capacitor",</v>
      </c>
      <c r="N46" t="str">
        <v>"des":"Capacitor 1NF/25V 5%-02",</v>
      </c>
      <c r="O46" t="str">
        <v>"mfg":"AVX",</v>
      </c>
      <c r="P46" t="str">
        <v>"pn":"08055C102JAT2A",</v>
      </c>
      <c r="Q46" t="str">
        <v>"qty":63546</v>
      </c>
      <c r="S46" t="s">
        <v>2498</v>
      </c>
      <c r="T46" t="str">
        <f t="shared" si="126"/>
        <v>"id":"s28","cate":"Capacitor","des":"Capacitor 1NF/25V 5%-02","mfg":"AVX","pn":"08055C102JAT2A","qty":63546</v>
      </c>
      <c r="U46" t="s">
        <v>2503</v>
      </c>
    </row>
    <row r="47" spans="5:21" x14ac:dyDescent="0.25">
      <c r="E47" t="s">
        <v>2194</v>
      </c>
      <c r="F47" t="s">
        <v>2201</v>
      </c>
      <c r="G47" t="s">
        <v>13</v>
      </c>
      <c r="H47" t="s">
        <v>67</v>
      </c>
      <c r="I47">
        <v>59154</v>
      </c>
      <c r="K47" t="s">
        <v>2532</v>
      </c>
      <c r="L47" t="str">
        <f t="shared" si="125"/>
        <v>"id":"s29",</v>
      </c>
      <c r="M47" t="str">
        <v>"cate":"Capacitor",</v>
      </c>
      <c r="N47" t="str">
        <v>"des":"Capacitor 1NF/25V 5%-02",</v>
      </c>
      <c r="O47" t="str">
        <v>"mfg":"SAMSUNG",</v>
      </c>
      <c r="P47" t="str">
        <v>"pn":"CL21B102JBANNNC",</v>
      </c>
      <c r="Q47" t="str">
        <v>"qty":63546</v>
      </c>
      <c r="S47" t="s">
        <v>2498</v>
      </c>
      <c r="T47" t="str">
        <f t="shared" si="126"/>
        <v>"id":"s29","cate":"Capacitor","des":"Capacitor 1NF/25V 5%-02","mfg":"SAMSUNG","pn":"CL21B102JBANNNC","qty":63546</v>
      </c>
      <c r="U47" t="s">
        <v>2503</v>
      </c>
    </row>
    <row r="48" spans="5:21" x14ac:dyDescent="0.25">
      <c r="E48" t="s">
        <v>2194</v>
      </c>
      <c r="F48" t="s">
        <v>2201</v>
      </c>
      <c r="G48" t="s">
        <v>64</v>
      </c>
      <c r="H48" t="s">
        <v>68</v>
      </c>
      <c r="I48">
        <v>59154</v>
      </c>
      <c r="K48" t="s">
        <v>2533</v>
      </c>
      <c r="L48" t="str">
        <f t="shared" si="125"/>
        <v>"id":"s30",</v>
      </c>
      <c r="M48" t="str">
        <v>"cate":"Capacitor",</v>
      </c>
      <c r="N48" t="str">
        <v>"des":"Capacitor 1NF/25V 5%-02",</v>
      </c>
      <c r="O48" t="str">
        <v>"mfg":"WALSIN",</v>
      </c>
      <c r="P48" t="str">
        <v>"pn":"0805B102K250CT",</v>
      </c>
      <c r="Q48" t="str">
        <v>"qty":63546</v>
      </c>
      <c r="S48" t="s">
        <v>2498</v>
      </c>
      <c r="T48" t="str">
        <f t="shared" si="126"/>
        <v>"id":"s30","cate":"Capacitor","des":"Capacitor 1NF/25V 5%-02","mfg":"WALSIN","pn":"0805B102K250CT","qty":63546</v>
      </c>
      <c r="U48" t="s">
        <v>2503</v>
      </c>
    </row>
    <row r="49" spans="5:21" x14ac:dyDescent="0.25">
      <c r="E49" t="s">
        <v>2194</v>
      </c>
      <c r="F49" t="s">
        <v>2201</v>
      </c>
      <c r="G49" t="s">
        <v>10</v>
      </c>
      <c r="H49" t="s">
        <v>69</v>
      </c>
      <c r="I49">
        <v>59154</v>
      </c>
      <c r="K49" t="s">
        <v>2534</v>
      </c>
      <c r="L49" t="str">
        <f t="shared" si="125"/>
        <v>"id":"s31",</v>
      </c>
      <c r="M49" t="str">
        <v>"cate":"Capacitor",</v>
      </c>
      <c r="N49" t="str">
        <v>"des":"Capacitor 1NF/25V 5%-02",</v>
      </c>
      <c r="O49" t="str">
        <v>"mfg":"WALSIN",</v>
      </c>
      <c r="P49" t="str">
        <v>"pn":"0805B102K500CT",</v>
      </c>
      <c r="Q49" t="str">
        <v>"qty":63546</v>
      </c>
      <c r="S49" t="s">
        <v>2498</v>
      </c>
      <c r="T49" t="str">
        <f t="shared" si="126"/>
        <v>"id":"s31","cate":"Capacitor","des":"Capacitor 1NF/25V 5%-02","mfg":"WALSIN","pn":"0805B102K500CT","qty":63546</v>
      </c>
      <c r="U49" t="s">
        <v>2503</v>
      </c>
    </row>
    <row r="50" spans="5:21" x14ac:dyDescent="0.25">
      <c r="E50" t="s">
        <v>2194</v>
      </c>
      <c r="F50" t="s">
        <v>2202</v>
      </c>
      <c r="G50" t="s">
        <v>8</v>
      </c>
      <c r="H50" t="s">
        <v>70</v>
      </c>
      <c r="I50">
        <v>50308</v>
      </c>
      <c r="K50" t="s">
        <v>2535</v>
      </c>
      <c r="L50" t="str">
        <f t="shared" si="125"/>
        <v>"id":"s32",</v>
      </c>
      <c r="M50" t="str">
        <v>"cate":"Capacitor",</v>
      </c>
      <c r="N50" t="str">
        <v>"des":"Capacitor 1UF K25V 0805",</v>
      </c>
      <c r="O50" t="str">
        <v>"mfg":"YAGEO",</v>
      </c>
      <c r="P50" t="str">
        <v>"pn":"CC0805KKX7R8BB105",</v>
      </c>
      <c r="Q50" t="str">
        <v>"qty":61895</v>
      </c>
      <c r="S50" t="s">
        <v>2498</v>
      </c>
      <c r="T50" t="str">
        <f t="shared" si="126"/>
        <v>"id":"s32","cate":"Capacitor","des":"Capacitor 1UF K25V 0805","mfg":"YAGEO","pn":"CC0805KKX7R8BB105","qty":61895</v>
      </c>
      <c r="U50" t="s">
        <v>2503</v>
      </c>
    </row>
    <row r="51" spans="5:21" x14ac:dyDescent="0.25">
      <c r="E51" t="s">
        <v>2194</v>
      </c>
      <c r="F51" t="s">
        <v>2202</v>
      </c>
      <c r="G51" t="s">
        <v>8</v>
      </c>
      <c r="H51" t="s">
        <v>71</v>
      </c>
      <c r="I51">
        <v>50308</v>
      </c>
      <c r="K51" t="s">
        <v>2536</v>
      </c>
      <c r="L51" t="str">
        <f t="shared" si="125"/>
        <v>"id":"s33",</v>
      </c>
      <c r="M51" t="str">
        <v>"cate":"Capacitor",</v>
      </c>
      <c r="N51" t="str">
        <v>"des":"Capacitor 1UF K25V 0805",</v>
      </c>
      <c r="O51" t="str">
        <v>"mfg":"KEMET",</v>
      </c>
      <c r="P51" t="str">
        <v>"pn":"C0805C105K3RACTU",</v>
      </c>
      <c r="Q51" t="str">
        <v>"qty":61895</v>
      </c>
      <c r="S51" t="s">
        <v>2498</v>
      </c>
      <c r="T51" t="str">
        <f t="shared" si="126"/>
        <v>"id":"s33","cate":"Capacitor","des":"Capacitor 1UF K25V 0805","mfg":"KEMET","pn":"C0805C105K3RACTU","qty":61895</v>
      </c>
      <c r="U51" t="s">
        <v>2503</v>
      </c>
    </row>
    <row r="52" spans="5:21" x14ac:dyDescent="0.25">
      <c r="E52" t="s">
        <v>2194</v>
      </c>
      <c r="F52" t="s">
        <v>2203</v>
      </c>
      <c r="G52" t="s">
        <v>64</v>
      </c>
      <c r="H52" t="s">
        <v>72</v>
      </c>
      <c r="I52">
        <v>49527</v>
      </c>
      <c r="K52" t="s">
        <v>2537</v>
      </c>
      <c r="L52" t="str">
        <f t="shared" si="125"/>
        <v>"id":"s34",</v>
      </c>
      <c r="M52" t="str">
        <v>"cate":"Capacitor",</v>
      </c>
      <c r="N52" t="str">
        <v>"des":"Capacitor 1UF K25V 0805",</v>
      </c>
      <c r="O52" t="str">
        <v>"mfg":"SAMSUNG",</v>
      </c>
      <c r="P52" t="str">
        <v>"pn":"CL21B105KAFNNNE",</v>
      </c>
      <c r="Q52" t="str">
        <v>"qty":61895</v>
      </c>
      <c r="S52" t="s">
        <v>2498</v>
      </c>
      <c r="T52" t="str">
        <f t="shared" si="126"/>
        <v>"id":"s34","cate":"Capacitor","des":"Capacitor 1UF K25V 0805","mfg":"SAMSUNG","pn":"CL21B105KAFNNNE","qty":61895</v>
      </c>
      <c r="U52" t="s">
        <v>2503</v>
      </c>
    </row>
    <row r="53" spans="5:21" x14ac:dyDescent="0.25">
      <c r="E53" t="s">
        <v>2194</v>
      </c>
      <c r="F53" t="s">
        <v>2203</v>
      </c>
      <c r="G53" t="s">
        <v>73</v>
      </c>
      <c r="H53" t="s">
        <v>74</v>
      </c>
      <c r="I53">
        <v>49527</v>
      </c>
      <c r="K53" t="s">
        <v>2538</v>
      </c>
      <c r="L53" t="str">
        <f t="shared" si="125"/>
        <v>"id":"s35",</v>
      </c>
      <c r="M53" t="str">
        <v>"cate":"Diode",</v>
      </c>
      <c r="N53" t="str">
        <v>"des":"DiodeE 5V/10MA",</v>
      </c>
      <c r="O53" t="str">
        <v>"mfg":"LITTELFUSE",</v>
      </c>
      <c r="P53" t="str">
        <v>"pn":"SMBJ5.0A",</v>
      </c>
      <c r="Q53" t="str">
        <v>"qty":61128</v>
      </c>
      <c r="S53" t="s">
        <v>2498</v>
      </c>
      <c r="T53" t="str">
        <f t="shared" si="126"/>
        <v>"id":"s35","cate":"Diode","des":"DiodeE 5V/10MA","mfg":"LITTELFUSE","pn":"SMBJ5.0A","qty":61128</v>
      </c>
      <c r="U53" t="s">
        <v>2503</v>
      </c>
    </row>
    <row r="54" spans="5:21" x14ac:dyDescent="0.25">
      <c r="E54" t="s">
        <v>2194</v>
      </c>
      <c r="F54" t="s">
        <v>2203</v>
      </c>
      <c r="G54" t="s">
        <v>73</v>
      </c>
      <c r="H54" t="s">
        <v>75</v>
      </c>
      <c r="I54">
        <v>49527</v>
      </c>
      <c r="K54" t="s">
        <v>2539</v>
      </c>
      <c r="L54" t="str">
        <f t="shared" si="125"/>
        <v>"id":"s36",</v>
      </c>
      <c r="M54" t="str">
        <v>"cate":"Diode",</v>
      </c>
      <c r="N54" t="str">
        <v>"des":"DiodeE 5V/10MA",</v>
      </c>
      <c r="O54" t="str">
        <v>"mfg":"VISHAY",</v>
      </c>
      <c r="P54" t="str">
        <v>"pn":"SMBJ5.0A-E3",</v>
      </c>
      <c r="Q54" t="str">
        <v>"qty":61128</v>
      </c>
      <c r="S54" t="s">
        <v>2498</v>
      </c>
      <c r="T54" t="str">
        <f t="shared" si="126"/>
        <v>"id":"s36","cate":"Diode","des":"DiodeE 5V/10MA","mfg":"VISHAY","pn":"SMBJ5.0A-E3","qty":61128</v>
      </c>
      <c r="U54" t="s">
        <v>2503</v>
      </c>
    </row>
    <row r="55" spans="5:21" x14ac:dyDescent="0.25">
      <c r="E55" t="s">
        <v>2194</v>
      </c>
      <c r="F55" t="s">
        <v>2203</v>
      </c>
      <c r="G55" t="s">
        <v>73</v>
      </c>
      <c r="H55" t="s">
        <v>76</v>
      </c>
      <c r="I55">
        <v>49527</v>
      </c>
      <c r="K55" t="s">
        <v>2540</v>
      </c>
      <c r="L55" t="str">
        <f t="shared" si="125"/>
        <v>"id":"s37",</v>
      </c>
      <c r="M55" t="str">
        <v>"cate":"Diode",</v>
      </c>
      <c r="N55" t="str">
        <v>"des":"DiodeE 5V/10MA",</v>
      </c>
      <c r="O55" t="str">
        <v>"mfg":"VISHAY",</v>
      </c>
      <c r="P55" t="str">
        <v>"pn":"SMBJ5.0A-E3/52",</v>
      </c>
      <c r="Q55" t="str">
        <v>"qty":61128</v>
      </c>
      <c r="S55" t="s">
        <v>2498</v>
      </c>
      <c r="T55" t="str">
        <f t="shared" si="126"/>
        <v>"id":"s37","cate":"Diode","des":"DiodeE 5V/10MA","mfg":"VISHAY","pn":"SMBJ5.0A-E3/52","qty":61128</v>
      </c>
      <c r="U55" t="s">
        <v>2503</v>
      </c>
    </row>
    <row r="56" spans="5:21" x14ac:dyDescent="0.25">
      <c r="E56" t="s">
        <v>2194</v>
      </c>
      <c r="F56" t="s">
        <v>2203</v>
      </c>
      <c r="G56" t="s">
        <v>73</v>
      </c>
      <c r="H56" t="s">
        <v>77</v>
      </c>
      <c r="I56">
        <v>49527</v>
      </c>
      <c r="K56" t="s">
        <v>2541</v>
      </c>
      <c r="L56" t="str">
        <f t="shared" si="125"/>
        <v>"id":"s38",</v>
      </c>
      <c r="M56" t="str">
        <v>"cate":"Diode",</v>
      </c>
      <c r="N56" t="str">
        <v>"des":"DiodeE 5V/10MA",</v>
      </c>
      <c r="O56" t="str">
        <v>"mfg":"STMICROELECTRONICS",</v>
      </c>
      <c r="P56" t="str">
        <v>"pn":"SMBJ5.0A",</v>
      </c>
      <c r="Q56" t="str">
        <v>"qty":61128</v>
      </c>
      <c r="S56" t="s">
        <v>2498</v>
      </c>
      <c r="T56" t="str">
        <f t="shared" si="126"/>
        <v>"id":"s38","cate":"Diode","des":"DiodeE 5V/10MA","mfg":"STMICROELECTRONICS","pn":"SMBJ5.0A","qty":61128</v>
      </c>
      <c r="U56" t="s">
        <v>2503</v>
      </c>
    </row>
    <row r="57" spans="5:21" x14ac:dyDescent="0.25">
      <c r="E57" t="s">
        <v>2194</v>
      </c>
      <c r="F57" t="s">
        <v>2203</v>
      </c>
      <c r="G57" t="s">
        <v>73</v>
      </c>
      <c r="H57" t="s">
        <v>78</v>
      </c>
      <c r="I57">
        <v>49527</v>
      </c>
      <c r="K57" t="s">
        <v>2542</v>
      </c>
      <c r="L57" t="str">
        <f t="shared" si="125"/>
        <v>"id":"s39",</v>
      </c>
      <c r="M57" t="str">
        <v>"cate":"Choke Coil",</v>
      </c>
      <c r="N57" t="str">
        <v>"des":"Choke CoilE SMD 2,2U 2,5A",</v>
      </c>
      <c r="O57" t="str">
        <v>"mfg":"TDK",</v>
      </c>
      <c r="P57" t="str">
        <v>"pn":"LTF5022T-2R2N3R2-LC",</v>
      </c>
      <c r="Q57" t="str">
        <v>"qty":60773</v>
      </c>
      <c r="S57" t="s">
        <v>2498</v>
      </c>
      <c r="T57" t="str">
        <f t="shared" si="126"/>
        <v>"id":"s39","cate":"Choke Coil","des":"Choke CoilE SMD 2,2U 2,5A","mfg":"TDK","pn":"LTF5022T-2R2N3R2-LC","qty":60773</v>
      </c>
      <c r="U57" t="s">
        <v>2503</v>
      </c>
    </row>
    <row r="58" spans="5:21" x14ac:dyDescent="0.25">
      <c r="E58" t="s">
        <v>2194</v>
      </c>
      <c r="F58" t="s">
        <v>2203</v>
      </c>
      <c r="G58" t="s">
        <v>8</v>
      </c>
      <c r="H58" t="s">
        <v>79</v>
      </c>
      <c r="I58">
        <v>49527</v>
      </c>
      <c r="K58" t="s">
        <v>2543</v>
      </c>
      <c r="L58" t="str">
        <f t="shared" si="125"/>
        <v>"id":"s40",</v>
      </c>
      <c r="M58" t="str">
        <v>"cate":"Capacitor",</v>
      </c>
      <c r="N58" t="str">
        <v>"des":"Capacitor 1UF/25V 402",</v>
      </c>
      <c r="O58" t="str">
        <v>"mfg":"MURATA MANUFACTURING",</v>
      </c>
      <c r="P58" t="str">
        <v>"pn":"GRM155R61E105KA12D",</v>
      </c>
      <c r="Q58" t="str">
        <v>"qty":60002</v>
      </c>
      <c r="S58" t="s">
        <v>2498</v>
      </c>
      <c r="T58" t="str">
        <f t="shared" si="126"/>
        <v>"id":"s40","cate":"Capacitor","des":"Capacitor 1UF/25V 402","mfg":"MURATA MANUFACTURING","pn":"GRM155R61E105KA12D","qty":60002</v>
      </c>
      <c r="U58" t="s">
        <v>2503</v>
      </c>
    </row>
    <row r="59" spans="5:21" x14ac:dyDescent="0.25">
      <c r="E59" t="s">
        <v>2193</v>
      </c>
      <c r="F59" t="s">
        <v>80</v>
      </c>
      <c r="G59" t="s">
        <v>10</v>
      </c>
      <c r="H59" t="s">
        <v>81</v>
      </c>
      <c r="I59">
        <v>48308</v>
      </c>
      <c r="K59" t="s">
        <v>2544</v>
      </c>
      <c r="L59" t="str">
        <f t="shared" si="125"/>
        <v>"id":"s41",</v>
      </c>
      <c r="M59" t="str">
        <v>"cate":"Capacitor",</v>
      </c>
      <c r="N59" t="str">
        <v>"des":"Capacitor 1UF/25V 402",</v>
      </c>
      <c r="O59" t="str">
        <v>"mfg":"SAMSUNG",</v>
      </c>
      <c r="P59" t="str">
        <v>"pn":"CL05A105KA5NNNC",</v>
      </c>
      <c r="Q59" t="str">
        <v>"qty":60002</v>
      </c>
      <c r="S59" t="s">
        <v>2498</v>
      </c>
      <c r="T59" t="str">
        <f t="shared" si="126"/>
        <v>"id":"s41","cate":"Capacitor","des":"Capacitor 1UF/25V 402","mfg":"SAMSUNG","pn":"CL05A105KA5NNNC","qty":60002</v>
      </c>
      <c r="U59" t="s">
        <v>2503</v>
      </c>
    </row>
    <row r="60" spans="5:21" x14ac:dyDescent="0.25">
      <c r="E60" t="s">
        <v>2382</v>
      </c>
      <c r="F60" t="s">
        <v>2473</v>
      </c>
      <c r="G60" t="s">
        <v>28</v>
      </c>
      <c r="H60" t="s">
        <v>82</v>
      </c>
      <c r="I60">
        <v>48293</v>
      </c>
      <c r="K60" t="s">
        <v>2545</v>
      </c>
      <c r="L60" t="str">
        <f t="shared" si="125"/>
        <v>"id":"s42",</v>
      </c>
      <c r="M60" t="str">
        <v>"cate":"Capacitor",</v>
      </c>
      <c r="N60" t="str">
        <v>"des":"Capacitor 2NF K16V 0402",</v>
      </c>
      <c r="O60" t="str">
        <v>"mfg":"YAGEO",</v>
      </c>
      <c r="P60" t="str">
        <v>"pn":"CC0402KRX7R9BB202",</v>
      </c>
      <c r="Q60" t="str">
        <v>"qty":59154</v>
      </c>
      <c r="S60" t="s">
        <v>2498</v>
      </c>
      <c r="T60" t="str">
        <f t="shared" si="126"/>
        <v>"id":"s42","cate":"Capacitor","des":"Capacitor 2NF K16V 0402","mfg":"YAGEO","pn":"CC0402KRX7R9BB202","qty":59154</v>
      </c>
      <c r="U60" t="s">
        <v>2503</v>
      </c>
    </row>
    <row r="61" spans="5:21" x14ac:dyDescent="0.25">
      <c r="E61" t="s">
        <v>2193</v>
      </c>
      <c r="F61" t="s">
        <v>83</v>
      </c>
      <c r="G61" t="s">
        <v>13</v>
      </c>
      <c r="H61" t="s">
        <v>84</v>
      </c>
      <c r="I61">
        <v>46936</v>
      </c>
      <c r="K61" t="s">
        <v>2546</v>
      </c>
      <c r="L61" t="str">
        <f t="shared" si="125"/>
        <v>"id":"s43",</v>
      </c>
      <c r="M61" t="str">
        <v>"cate":"Capacitor",</v>
      </c>
      <c r="N61" t="str">
        <v>"des":"Capacitor 2NF K16V 0402",</v>
      </c>
      <c r="O61" t="str">
        <v>"mfg":"MURATA MANUFACTURING",</v>
      </c>
      <c r="P61" t="str">
        <v>"pn":"GRM155R71H202KA01D",</v>
      </c>
      <c r="Q61" t="str">
        <v>"qty":59154</v>
      </c>
      <c r="S61" t="s">
        <v>2498</v>
      </c>
      <c r="T61" t="str">
        <f t="shared" si="126"/>
        <v>"id":"s43","cate":"Capacitor","des":"Capacitor 2NF K16V 0402","mfg":"MURATA MANUFACTURING","pn":"GRM155R71H202KA01D","qty":59154</v>
      </c>
      <c r="U61" t="s">
        <v>2503</v>
      </c>
    </row>
    <row r="62" spans="5:21" x14ac:dyDescent="0.25">
      <c r="E62" t="s">
        <v>2193</v>
      </c>
      <c r="F62" t="s">
        <v>83</v>
      </c>
      <c r="G62" t="s">
        <v>13</v>
      </c>
      <c r="H62" t="s">
        <v>85</v>
      </c>
      <c r="I62">
        <v>46936</v>
      </c>
      <c r="K62" t="s">
        <v>2547</v>
      </c>
      <c r="L62" t="str">
        <f t="shared" si="125"/>
        <v>"id":"s44",</v>
      </c>
      <c r="M62" t="str">
        <v>"cate":"Capacitor",</v>
      </c>
      <c r="N62" t="str">
        <v>"des":"Capacitor 2NF K16V 0402",</v>
      </c>
      <c r="O62" t="str">
        <v>"mfg":"WALSIN",</v>
      </c>
      <c r="P62" t="str">
        <v>"pn":"0402B202K500CT",</v>
      </c>
      <c r="Q62" t="str">
        <v>"qty":59154</v>
      </c>
      <c r="S62" t="s">
        <v>2498</v>
      </c>
      <c r="T62" t="str">
        <f t="shared" si="126"/>
        <v>"id":"s44","cate":"Capacitor","des":"Capacitor 2NF K16V 0402","mfg":"WALSIN","pn":"0402B202K500CT","qty":59154</v>
      </c>
      <c r="U62" t="s">
        <v>2503</v>
      </c>
    </row>
    <row r="63" spans="5:21" x14ac:dyDescent="0.25">
      <c r="E63" t="s">
        <v>2193</v>
      </c>
      <c r="F63" t="s">
        <v>83</v>
      </c>
      <c r="G63" t="s">
        <v>37</v>
      </c>
      <c r="H63" t="s">
        <v>86</v>
      </c>
      <c r="I63">
        <v>46936</v>
      </c>
      <c r="K63" t="s">
        <v>2548</v>
      </c>
      <c r="L63" t="str">
        <f t="shared" si="125"/>
        <v>"id":"s45",</v>
      </c>
      <c r="M63" t="str">
        <v>"cate":"Capacitor",</v>
      </c>
      <c r="N63" t="str">
        <v>"des":"Capacitor 33PF K16V 0603",</v>
      </c>
      <c r="O63" t="str">
        <v>"mfg":"SAMSUNG",</v>
      </c>
      <c r="P63" t="str">
        <v>"pn":"CL10C330JB8NNNC",</v>
      </c>
      <c r="Q63" t="str">
        <v>"qty":50308</v>
      </c>
      <c r="S63" t="s">
        <v>2498</v>
      </c>
      <c r="T63" t="str">
        <f t="shared" si="126"/>
        <v>"id":"s45","cate":"Capacitor","des":"Capacitor 33PF K16V 0603","mfg":"SAMSUNG","pn":"CL10C330JB8NNNC","qty":50308</v>
      </c>
      <c r="U63" t="s">
        <v>2503</v>
      </c>
    </row>
    <row r="64" spans="5:21" x14ac:dyDescent="0.25">
      <c r="E64" t="s">
        <v>2193</v>
      </c>
      <c r="F64" t="s">
        <v>83</v>
      </c>
      <c r="G64" t="s">
        <v>5</v>
      </c>
      <c r="H64" t="s">
        <v>87</v>
      </c>
      <c r="I64">
        <v>46936</v>
      </c>
      <c r="K64" t="s">
        <v>2549</v>
      </c>
      <c r="L64" t="str">
        <f t="shared" si="125"/>
        <v>"id":"s46",</v>
      </c>
      <c r="M64" t="str">
        <v>"cate":"Capacitor",</v>
      </c>
      <c r="N64" t="str">
        <v>"des":"Capacitor 33PF K16V 0603",</v>
      </c>
      <c r="O64" t="str">
        <v>"mfg":"SAMSUNG",</v>
      </c>
      <c r="P64" t="str">
        <v>"pn":"CL10C330KB8NNNC",</v>
      </c>
      <c r="Q64" t="str">
        <v>"qty":50308</v>
      </c>
      <c r="S64" t="s">
        <v>2498</v>
      </c>
      <c r="T64" t="str">
        <f t="shared" si="126"/>
        <v>"id":"s46","cate":"Capacitor","des":"Capacitor 33PF K16V 0603","mfg":"SAMSUNG","pn":"CL10C330KB8NNNC","qty":50308</v>
      </c>
      <c r="U64" t="s">
        <v>2503</v>
      </c>
    </row>
    <row r="65" spans="5:21" x14ac:dyDescent="0.25">
      <c r="E65" t="s">
        <v>2193</v>
      </c>
      <c r="F65" t="s">
        <v>83</v>
      </c>
      <c r="G65" t="s">
        <v>10</v>
      </c>
      <c r="H65" t="s">
        <v>88</v>
      </c>
      <c r="I65">
        <v>46936</v>
      </c>
      <c r="K65" t="s">
        <v>2550</v>
      </c>
      <c r="L65" t="str">
        <f t="shared" si="125"/>
        <v>"id":"s47",</v>
      </c>
      <c r="M65" t="str">
        <v>"cate":"Capacitor",</v>
      </c>
      <c r="N65" t="str">
        <v>"des":"Capacitor 10UF/50V 10%",</v>
      </c>
      <c r="O65" t="str">
        <v>"mfg":"MURATA MANUFACTURING",</v>
      </c>
      <c r="P65" t="str">
        <v>"pn":"GRM32ER71H106KA12L",</v>
      </c>
      <c r="Q65" t="str">
        <v>"qty":49527</v>
      </c>
      <c r="S65" t="s">
        <v>2498</v>
      </c>
      <c r="T65" t="str">
        <f t="shared" si="126"/>
        <v>"id":"s47","cate":"Capacitor","des":"Capacitor 10UF/50V 10%","mfg":"MURATA MANUFACTURING","pn":"GRM32ER71H106KA12L","qty":49527</v>
      </c>
      <c r="U65" t="s">
        <v>2503</v>
      </c>
    </row>
    <row r="66" spans="5:21" x14ac:dyDescent="0.25">
      <c r="E66" t="s">
        <v>2193</v>
      </c>
      <c r="F66" t="s">
        <v>83</v>
      </c>
      <c r="G66" t="s">
        <v>89</v>
      </c>
      <c r="H66" t="s">
        <v>90</v>
      </c>
      <c r="I66">
        <v>46936</v>
      </c>
      <c r="K66" t="s">
        <v>2551</v>
      </c>
      <c r="L66" t="str">
        <f t="shared" si="125"/>
        <v>"id":"s48",</v>
      </c>
      <c r="M66" t="str">
        <v>"cate":"Capacitor",</v>
      </c>
      <c r="N66" t="str">
        <v>"des":"Capacitor 10UF/50V 10%",</v>
      </c>
      <c r="O66" t="str">
        <v>"mfg":"TAIYO YUDEN",</v>
      </c>
      <c r="P66" t="str">
        <v>"pn":"UMJ325KB7106KMHP",</v>
      </c>
      <c r="Q66" t="str">
        <v>"qty":49527</v>
      </c>
      <c r="S66" t="s">
        <v>2498</v>
      </c>
      <c r="T66" t="str">
        <f t="shared" si="126"/>
        <v>"id":"s48","cate":"Capacitor","des":"Capacitor 10UF/50V 10%","mfg":"TAIYO YUDEN","pn":"UMJ325KB7106KMHP","qty":49527</v>
      </c>
      <c r="U66" t="s">
        <v>2503</v>
      </c>
    </row>
    <row r="67" spans="5:21" x14ac:dyDescent="0.25">
      <c r="E67" t="s">
        <v>2194</v>
      </c>
      <c r="F67" t="s">
        <v>2204</v>
      </c>
      <c r="G67" t="s">
        <v>49</v>
      </c>
      <c r="H67" t="s">
        <v>91</v>
      </c>
      <c r="I67">
        <v>45462</v>
      </c>
      <c r="K67" t="s">
        <v>2552</v>
      </c>
      <c r="L67" t="str">
        <f t="shared" si="125"/>
        <v>"id":"s49",</v>
      </c>
      <c r="M67" t="str">
        <v>"cate":"Capacitor",</v>
      </c>
      <c r="N67" t="str">
        <v>"des":"Capacitor 10UF/50V 10%",</v>
      </c>
      <c r="O67" t="str">
        <v>"mfg":"TAIYO YUDEN",</v>
      </c>
      <c r="P67" t="str">
        <v>"pn":"UMK325AB7106KM-P",</v>
      </c>
      <c r="Q67" t="str">
        <v>"qty":49527</v>
      </c>
      <c r="S67" t="s">
        <v>2498</v>
      </c>
      <c r="T67" t="str">
        <f t="shared" si="126"/>
        <v>"id":"s49","cate":"Capacitor","des":"Capacitor 10UF/50V 10%","mfg":"TAIYO YUDEN","pn":"UMK325AB7106KM-P","qty":49527</v>
      </c>
      <c r="U67" t="s">
        <v>2503</v>
      </c>
    </row>
    <row r="68" spans="5:21" x14ac:dyDescent="0.25">
      <c r="E68" t="s">
        <v>2474</v>
      </c>
      <c r="F68" t="s">
        <v>2475</v>
      </c>
      <c r="G68" t="s">
        <v>2467</v>
      </c>
      <c r="H68" t="s">
        <v>92</v>
      </c>
      <c r="I68">
        <v>43617</v>
      </c>
      <c r="K68" t="s">
        <v>2553</v>
      </c>
      <c r="L68" t="str">
        <f t="shared" si="125"/>
        <v>"id":"s50",</v>
      </c>
      <c r="M68" t="str">
        <v>"cate":"Capacitor",</v>
      </c>
      <c r="N68" t="str">
        <v>"des":"Capacitor 10UF/50V 10%",</v>
      </c>
      <c r="O68" t="str">
        <v>"mfg":"TAIYO YUDEN",</v>
      </c>
      <c r="P68" t="str">
        <v>"pn":"UMK325AB7106KM-T",</v>
      </c>
      <c r="Q68" t="str">
        <v>"qty":49527</v>
      </c>
      <c r="S68" t="s">
        <v>2498</v>
      </c>
      <c r="T68" t="str">
        <f t="shared" si="126"/>
        <v>"id":"s50","cate":"Capacitor","des":"Capacitor 10UF/50V 10%","mfg":"TAIYO YUDEN","pn":"UMK325AB7106KM-T","qty":49527</v>
      </c>
      <c r="U68" t="s">
        <v>2503</v>
      </c>
    </row>
    <row r="69" spans="5:21" x14ac:dyDescent="0.25">
      <c r="E69" t="s">
        <v>2474</v>
      </c>
      <c r="F69" t="s">
        <v>2475</v>
      </c>
      <c r="G69" t="s">
        <v>28</v>
      </c>
      <c r="H69" t="s">
        <v>93</v>
      </c>
      <c r="I69">
        <v>43617</v>
      </c>
      <c r="K69" t="s">
        <v>2554</v>
      </c>
      <c r="L69" t="str">
        <f t="shared" si="125"/>
        <v>"id":"s51",</v>
      </c>
      <c r="M69" t="str">
        <v>"cate":"Capacitor",</v>
      </c>
      <c r="N69" t="str">
        <v>"des":"Capacitor 10UF/50V 10%",</v>
      </c>
      <c r="O69" t="str">
        <v>"mfg":"TAIYO YUDEN",</v>
      </c>
      <c r="P69" t="str">
        <v>"pn":"UMK325AB7106KMHP",</v>
      </c>
      <c r="Q69" t="str">
        <v>"qty":49527</v>
      </c>
      <c r="S69" t="s">
        <v>2498</v>
      </c>
      <c r="T69" t="str">
        <f t="shared" si="126"/>
        <v>"id":"s51","cate":"Capacitor","des":"Capacitor 10UF/50V 10%","mfg":"TAIYO YUDEN","pn":"UMK325AB7106KMHP","qty":49527</v>
      </c>
      <c r="U69" t="s">
        <v>2503</v>
      </c>
    </row>
    <row r="70" spans="5:21" x14ac:dyDescent="0.25">
      <c r="E70" t="s">
        <v>2474</v>
      </c>
      <c r="F70" t="s">
        <v>2475</v>
      </c>
      <c r="G70" t="s">
        <v>30</v>
      </c>
      <c r="H70" t="s">
        <v>94</v>
      </c>
      <c r="I70">
        <v>43617</v>
      </c>
      <c r="K70" t="s">
        <v>2555</v>
      </c>
      <c r="L70" t="str">
        <f t="shared" si="125"/>
        <v>"id":"s52",</v>
      </c>
      <c r="M70" t="str">
        <v>"cate":"Capacitor",</v>
      </c>
      <c r="N70" t="str">
        <v>"des":"Capacitor 10UF/50V 10%",</v>
      </c>
      <c r="O70" t="str">
        <v>"mfg":"TAIYO YUDEN",</v>
      </c>
      <c r="P70" t="str">
        <v>"pn":"UMK325AB7106KMHT",</v>
      </c>
      <c r="Q70" t="str">
        <v>"qty":49527</v>
      </c>
      <c r="S70" t="s">
        <v>2498</v>
      </c>
      <c r="T70" t="str">
        <f t="shared" si="126"/>
        <v>"id":"s52","cate":"Capacitor","des":"Capacitor 10UF/50V 10%","mfg":"TAIYO YUDEN","pn":"UMK325AB7106KMHT","qty":49527</v>
      </c>
      <c r="U70" t="s">
        <v>2503</v>
      </c>
    </row>
    <row r="71" spans="5:21" x14ac:dyDescent="0.25">
      <c r="E71" t="s">
        <v>2194</v>
      </c>
      <c r="F71" t="s">
        <v>2205</v>
      </c>
      <c r="G71" t="s">
        <v>13</v>
      </c>
      <c r="H71" t="s">
        <v>95</v>
      </c>
      <c r="I71">
        <v>43022</v>
      </c>
      <c r="K71" t="s">
        <v>2556</v>
      </c>
      <c r="L71" t="str">
        <f t="shared" si="125"/>
        <v>"id":"s53",</v>
      </c>
      <c r="M71" t="str">
        <v>"cate":"Capacitor",</v>
      </c>
      <c r="N71" t="str">
        <v>"des":"Capacitor 10UF/50V 10%",</v>
      </c>
      <c r="O71" t="str">
        <v>"mfg":"SAMSUNG",</v>
      </c>
      <c r="P71" t="str">
        <v>"pn":"CL32B106KBJNFNE",</v>
      </c>
      <c r="Q71" t="str">
        <v>"qty":49527</v>
      </c>
      <c r="S71" t="s">
        <v>2498</v>
      </c>
      <c r="T71" t="str">
        <f t="shared" si="126"/>
        <v>"id":"s53","cate":"Capacitor","des":"Capacitor 10UF/50V 10%","mfg":"SAMSUNG","pn":"CL32B106KBJNFNE","qty":49527</v>
      </c>
      <c r="U71" t="s">
        <v>2503</v>
      </c>
    </row>
    <row r="72" spans="5:21" x14ac:dyDescent="0.25">
      <c r="E72" t="s">
        <v>2194</v>
      </c>
      <c r="F72" t="s">
        <v>2205</v>
      </c>
      <c r="G72" t="s">
        <v>47</v>
      </c>
      <c r="H72" t="s">
        <v>96</v>
      </c>
      <c r="I72">
        <v>43022</v>
      </c>
      <c r="K72" t="s">
        <v>2557</v>
      </c>
      <c r="L72" t="str">
        <f t="shared" si="125"/>
        <v>"id":"s54",</v>
      </c>
      <c r="M72" t="str">
        <v>"cate":"Resistor ",</v>
      </c>
      <c r="N72" t="str">
        <v>"des":"RST 124K 0,1W 1%603",</v>
      </c>
      <c r="O72" t="str">
        <v>"mfg":"WALSIN",</v>
      </c>
      <c r="P72" t="str">
        <v>"pn":"WR06X1243FTL",</v>
      </c>
      <c r="Q72" t="str">
        <v>"qty":48308</v>
      </c>
      <c r="S72" t="s">
        <v>2498</v>
      </c>
      <c r="T72" t="str">
        <f t="shared" si="126"/>
        <v>"id":"s54","cate":"Resistor ","des":"RST 124K 0,1W 1%603","mfg":"WALSIN","pn":"WR06X1243FTL","qty":48308</v>
      </c>
      <c r="U72" t="s">
        <v>2503</v>
      </c>
    </row>
    <row r="73" spans="5:21" x14ac:dyDescent="0.25">
      <c r="E73" t="s">
        <v>2194</v>
      </c>
      <c r="F73" t="s">
        <v>2205</v>
      </c>
      <c r="G73" t="s">
        <v>47</v>
      </c>
      <c r="H73" t="s">
        <v>97</v>
      </c>
      <c r="I73">
        <v>43022</v>
      </c>
      <c r="K73" t="s">
        <v>2558</v>
      </c>
      <c r="L73" t="str">
        <f t="shared" si="125"/>
        <v>"id":"s55",</v>
      </c>
      <c r="M73" t="str">
        <v>"cate":"IC",</v>
      </c>
      <c r="N73" t="str">
        <v>"des":"High Efficiency, High Current Serial LED Driver with 30 V Integrated Switch",</v>
      </c>
      <c r="O73" t="str">
        <v>"mfg":"ON SEMICONDUCTOR",</v>
      </c>
      <c r="P73" t="str">
        <v>"pn":"FAN5333BSX",</v>
      </c>
      <c r="Q73" t="str">
        <v>"qty":48293</v>
      </c>
      <c r="S73" t="s">
        <v>2498</v>
      </c>
      <c r="T73" t="str">
        <f t="shared" si="126"/>
        <v>"id":"s55","cate":"IC","des":"High Efficiency, High Current Serial LED Driver with 30 V Integrated Switch","mfg":"ON SEMICONDUCTOR","pn":"FAN5333BSX","qty":48293</v>
      </c>
      <c r="U73" t="s">
        <v>2503</v>
      </c>
    </row>
    <row r="74" spans="5:21" x14ac:dyDescent="0.25">
      <c r="E74" t="s">
        <v>2194</v>
      </c>
      <c r="F74" t="s">
        <v>2205</v>
      </c>
      <c r="G74" t="s">
        <v>64</v>
      </c>
      <c r="H74" t="s">
        <v>98</v>
      </c>
      <c r="I74">
        <v>43022</v>
      </c>
      <c r="K74" t="s">
        <v>2559</v>
      </c>
      <c r="L74" t="str">
        <f t="shared" si="125"/>
        <v>"id":"s56",</v>
      </c>
      <c r="M74" t="str">
        <v>"cate":"Resistor ",</v>
      </c>
      <c r="N74" t="str">
        <v>"des":"RST 127K 1/8W 1%SMD",</v>
      </c>
      <c r="O74" t="str">
        <v>"mfg":"YAGEO",</v>
      </c>
      <c r="P74" t="str">
        <v>"pn":"RC0805FR-07 127K",</v>
      </c>
      <c r="Q74" t="str">
        <v>"qty":46936</v>
      </c>
      <c r="S74" t="s">
        <v>2498</v>
      </c>
      <c r="T74" t="str">
        <f t="shared" si="126"/>
        <v>"id":"s56","cate":"Resistor ","des":"RST 127K 1/8W 1%SMD","mfg":"YAGEO","pn":"RC0805FR-07 127K","qty":46936</v>
      </c>
      <c r="U74" t="s">
        <v>2503</v>
      </c>
    </row>
    <row r="75" spans="5:21" x14ac:dyDescent="0.25">
      <c r="E75" t="s">
        <v>2194</v>
      </c>
      <c r="F75" t="s">
        <v>2205</v>
      </c>
      <c r="G75" t="s">
        <v>49</v>
      </c>
      <c r="H75" t="s">
        <v>99</v>
      </c>
      <c r="I75">
        <v>43022</v>
      </c>
      <c r="K75" t="s">
        <v>2560</v>
      </c>
      <c r="L75" t="str">
        <f t="shared" si="125"/>
        <v>"id":"s57",</v>
      </c>
      <c r="M75" t="str">
        <v>"cate":"Resistor ",</v>
      </c>
      <c r="N75" t="str">
        <v>"des":"RST 127K 1/8W 1%SMD",</v>
      </c>
      <c r="O75" t="str">
        <v>"mfg":"YAGEO",</v>
      </c>
      <c r="P75" t="str">
        <v>"pn":"RC0805FR-07127KL",</v>
      </c>
      <c r="Q75" t="str">
        <v>"qty":46936</v>
      </c>
      <c r="S75" t="s">
        <v>2498</v>
      </c>
      <c r="T75" t="str">
        <f t="shared" si="126"/>
        <v>"id":"s57","cate":"Resistor ","des":"RST 127K 1/8W 1%SMD","mfg":"YAGEO","pn":"RC0805FR-07127KL","qty":46936</v>
      </c>
      <c r="U75" t="s">
        <v>2503</v>
      </c>
    </row>
    <row r="76" spans="5:21" x14ac:dyDescent="0.25">
      <c r="E76" t="s">
        <v>2194</v>
      </c>
      <c r="F76" t="s">
        <v>2205</v>
      </c>
      <c r="G76" t="s">
        <v>8</v>
      </c>
      <c r="H76" t="s">
        <v>100</v>
      </c>
      <c r="I76">
        <v>43022</v>
      </c>
      <c r="K76" t="s">
        <v>2561</v>
      </c>
      <c r="L76" t="str">
        <f t="shared" si="125"/>
        <v>"id":"s58",</v>
      </c>
      <c r="M76" t="str">
        <v>"cate":"Resistor ",</v>
      </c>
      <c r="N76" t="str">
        <v>"des":"RST 127K 1/8W 1%SMD",</v>
      </c>
      <c r="O76" t="str">
        <v>"mfg":"VISHAY",</v>
      </c>
      <c r="P76" t="str">
        <v>"pn":"CRCW0805127KFKEA",</v>
      </c>
      <c r="Q76" t="str">
        <v>"qty":46936</v>
      </c>
      <c r="S76" t="s">
        <v>2498</v>
      </c>
      <c r="T76" t="str">
        <f t="shared" si="126"/>
        <v>"id":"s58","cate":"Resistor ","des":"RST 127K 1/8W 1%SMD","mfg":"VISHAY","pn":"CRCW0805127KFKEA","qty":46936</v>
      </c>
      <c r="U76" t="s">
        <v>2503</v>
      </c>
    </row>
    <row r="77" spans="5:21" x14ac:dyDescent="0.25">
      <c r="E77" t="s">
        <v>2194</v>
      </c>
      <c r="F77" t="s">
        <v>2205</v>
      </c>
      <c r="G77" t="s">
        <v>10</v>
      </c>
      <c r="H77" t="s">
        <v>101</v>
      </c>
      <c r="I77">
        <v>43022</v>
      </c>
      <c r="K77" t="s">
        <v>2562</v>
      </c>
      <c r="L77" t="str">
        <f t="shared" si="125"/>
        <v>"id":"s59",</v>
      </c>
      <c r="M77" t="str">
        <v>"cate":"Resistor ",</v>
      </c>
      <c r="N77" t="str">
        <v>"des":"RST 127K 1/8W 1%SMD",</v>
      </c>
      <c r="O77" t="str">
        <v>"mfg":"KOA",</v>
      </c>
      <c r="P77" t="str">
        <v>"pn":"RK73H2ATTD1273F",</v>
      </c>
      <c r="Q77" t="str">
        <v>"qty":46936</v>
      </c>
      <c r="S77" t="s">
        <v>2498</v>
      </c>
      <c r="T77" t="str">
        <f t="shared" si="126"/>
        <v>"id":"s59","cate":"Resistor ","des":"RST 127K 1/8W 1%SMD","mfg":"KOA","pn":"RK73H2ATTD1273F","qty":46936</v>
      </c>
      <c r="U77" t="s">
        <v>2503</v>
      </c>
    </row>
    <row r="78" spans="5:21" x14ac:dyDescent="0.25">
      <c r="E78" t="s">
        <v>2193</v>
      </c>
      <c r="F78" t="s">
        <v>102</v>
      </c>
      <c r="G78" t="s">
        <v>13</v>
      </c>
      <c r="H78" t="s">
        <v>103</v>
      </c>
      <c r="I78">
        <v>40160</v>
      </c>
      <c r="K78" t="s">
        <v>2563</v>
      </c>
      <c r="L78" t="str">
        <f t="shared" si="125"/>
        <v>"id":"s60",</v>
      </c>
      <c r="M78" t="str">
        <v>"cate":"Resistor ",</v>
      </c>
      <c r="N78" t="str">
        <v>"des":"RST 127K 1/8W 1%SMD",</v>
      </c>
      <c r="O78" t="str">
        <v>"mfg":"WALSIN",</v>
      </c>
      <c r="P78" t="str">
        <v>"pn":"WR08X1273FTL",</v>
      </c>
      <c r="Q78" t="str">
        <v>"qty":46936</v>
      </c>
      <c r="S78" t="s">
        <v>2498</v>
      </c>
      <c r="T78" t="str">
        <f t="shared" si="126"/>
        <v>"id":"s60","cate":"Resistor ","des":"RST 127K 1/8W 1%SMD","mfg":"WALSIN","pn":"WR08X1273FTL","qty":46936</v>
      </c>
      <c r="U78" t="s">
        <v>2503</v>
      </c>
    </row>
    <row r="79" spans="5:21" x14ac:dyDescent="0.25">
      <c r="E79" t="s">
        <v>2193</v>
      </c>
      <c r="F79" t="s">
        <v>102</v>
      </c>
      <c r="G79" t="s">
        <v>13</v>
      </c>
      <c r="H79" t="s">
        <v>104</v>
      </c>
      <c r="I79">
        <v>40160</v>
      </c>
      <c r="K79" t="s">
        <v>2564</v>
      </c>
      <c r="L79" t="str">
        <f t="shared" si="125"/>
        <v>"id":"s61",</v>
      </c>
      <c r="M79" t="str">
        <v>"cate":"Resistor ",</v>
      </c>
      <c r="N79" t="str">
        <v>"des":"RST 127K 1/8W 1%SMD",</v>
      </c>
      <c r="O79" t="str">
        <v>"mfg":"BOURNS",</v>
      </c>
      <c r="P79" t="str">
        <v>"pn":"CR0805-FX-1273ELF",</v>
      </c>
      <c r="Q79" t="str">
        <v>"qty":46936</v>
      </c>
      <c r="S79" t="s">
        <v>2498</v>
      </c>
      <c r="T79" t="str">
        <f t="shared" si="126"/>
        <v>"id":"s61","cate":"Resistor ","des":"RST 127K 1/8W 1%SMD","mfg":"BOURNS","pn":"CR0805-FX-1273ELF","qty":46936</v>
      </c>
      <c r="U79" t="s">
        <v>2503</v>
      </c>
    </row>
    <row r="80" spans="5:21" x14ac:dyDescent="0.25">
      <c r="E80" t="s">
        <v>2193</v>
      </c>
      <c r="F80" t="s">
        <v>102</v>
      </c>
      <c r="G80" t="s">
        <v>13</v>
      </c>
      <c r="H80" t="s">
        <v>105</v>
      </c>
      <c r="I80">
        <v>40160</v>
      </c>
      <c r="K80" t="s">
        <v>2565</v>
      </c>
      <c r="L80" t="str">
        <f t="shared" si="125"/>
        <v>"id":"s62",</v>
      </c>
      <c r="M80" t="str">
        <v>"cate":"Capacitor",</v>
      </c>
      <c r="N80" t="str">
        <v>"des":"Capacitor 22UF K10V 1206",</v>
      </c>
      <c r="O80" t="str">
        <v>"mfg":"AVX",</v>
      </c>
      <c r="P80" t="str">
        <v>"pn":"TAJA226K010RNJ",</v>
      </c>
      <c r="Q80" t="str">
        <v>"qty":45462</v>
      </c>
      <c r="S80" t="s">
        <v>2498</v>
      </c>
      <c r="T80" t="str">
        <f t="shared" si="126"/>
        <v>"id":"s62","cate":"Capacitor","des":"Capacitor 22UF K10V 1206","mfg":"AVX","pn":"TAJA226K010RNJ","qty":45462</v>
      </c>
      <c r="U80" t="s">
        <v>2503</v>
      </c>
    </row>
    <row r="81" spans="5:21" x14ac:dyDescent="0.25">
      <c r="E81" t="s">
        <v>2193</v>
      </c>
      <c r="F81" t="s">
        <v>102</v>
      </c>
      <c r="G81" t="s">
        <v>10</v>
      </c>
      <c r="H81" t="s">
        <v>106</v>
      </c>
      <c r="I81">
        <v>40160</v>
      </c>
      <c r="K81" t="s">
        <v>2566</v>
      </c>
      <c r="L81" t="str">
        <f t="shared" si="125"/>
        <v>"id":"s63",</v>
      </c>
      <c r="M81" t="str">
        <v>"cate":"MOSFET",</v>
      </c>
      <c r="N81" t="str">
        <v>"des":"MOSFETET 60V 0,3A SC7",</v>
      </c>
      <c r="O81" t="str">
        <v>"mfg":"DiodeES INC.",</v>
      </c>
      <c r="P81" t="str">
        <v>"pn":"2N7002W-7-F",</v>
      </c>
      <c r="Q81" t="str">
        <v>"qty":43617</v>
      </c>
      <c r="S81" t="s">
        <v>2498</v>
      </c>
      <c r="T81" t="str">
        <f t="shared" si="126"/>
        <v>"id":"s63","cate":"MOSFET","des":"MOSFETET 60V 0,3A SC7","mfg":"DiodeES INC.","pn":"2N7002W-7-F","qty":43617</v>
      </c>
      <c r="U81" t="s">
        <v>2503</v>
      </c>
    </row>
    <row r="82" spans="5:21" x14ac:dyDescent="0.25">
      <c r="E82" t="s">
        <v>2193</v>
      </c>
      <c r="F82" t="s">
        <v>107</v>
      </c>
      <c r="G82" t="s">
        <v>37</v>
      </c>
      <c r="H82" t="s">
        <v>108</v>
      </c>
      <c r="I82">
        <v>40037</v>
      </c>
      <c r="K82" t="s">
        <v>2567</v>
      </c>
      <c r="L82" t="str">
        <f t="shared" si="125"/>
        <v>"id":"s64",</v>
      </c>
      <c r="M82" t="str">
        <v>"cate":"MOSFET",</v>
      </c>
      <c r="N82" t="str">
        <v>"des":"MOSFETET 60V 0,3A SC7",</v>
      </c>
      <c r="O82" t="str">
        <v>"mfg":"ON SEMICONDUCTOR",</v>
      </c>
      <c r="P82" t="str">
        <v>"pn":"2N7002WT1G",</v>
      </c>
      <c r="Q82" t="str">
        <v>"qty":43617</v>
      </c>
      <c r="S82" t="s">
        <v>2498</v>
      </c>
      <c r="T82" t="str">
        <f t="shared" si="126"/>
        <v>"id":"s64","cate":"MOSFET","des":"MOSFETET 60V 0,3A SC7","mfg":"ON SEMICONDUCTOR","pn":"2N7002WT1G","qty":43617</v>
      </c>
      <c r="U82" t="s">
        <v>2503</v>
      </c>
    </row>
    <row r="83" spans="5:21" x14ac:dyDescent="0.25">
      <c r="E83" t="s">
        <v>2123</v>
      </c>
      <c r="F83" t="s">
        <v>109</v>
      </c>
      <c r="G83" t="s">
        <v>110</v>
      </c>
      <c r="H83" t="s">
        <v>111</v>
      </c>
      <c r="I83">
        <v>38652</v>
      </c>
      <c r="K83" t="s">
        <v>2568</v>
      </c>
      <c r="L83" t="str">
        <f t="shared" si="125"/>
        <v>"id":"s65",</v>
      </c>
      <c r="M83" t="str">
        <v>"cate":"MOSFET",</v>
      </c>
      <c r="N83" t="str">
        <v>"des":"MOSFETET 60V 0,3A SC7",</v>
      </c>
      <c r="O83" t="str">
        <v>"mfg":"NEXPERIA",</v>
      </c>
      <c r="P83" t="str">
        <v>"pn":"2N7002BKW,115",</v>
      </c>
      <c r="Q83" t="str">
        <v>"qty":43617</v>
      </c>
      <c r="S83" t="s">
        <v>2498</v>
      </c>
      <c r="T83" t="str">
        <f t="shared" si="126"/>
        <v>"id":"s65","cate":"MOSFET","des":"MOSFETET 60V 0,3A SC7","mfg":"NEXPERIA","pn":"2N7002BKW,115","qty":43617</v>
      </c>
      <c r="U83" t="s">
        <v>2503</v>
      </c>
    </row>
    <row r="84" spans="5:21" x14ac:dyDescent="0.25">
      <c r="E84" t="s">
        <v>2123</v>
      </c>
      <c r="F84" t="s">
        <v>109</v>
      </c>
      <c r="G84" t="s">
        <v>110</v>
      </c>
      <c r="H84" t="s">
        <v>112</v>
      </c>
      <c r="I84">
        <v>38652</v>
      </c>
      <c r="K84" t="s">
        <v>2569</v>
      </c>
      <c r="L84" t="str">
        <f t="shared" ref="L84:L147" si="127">_xlfn.CONCAT("""","id","""",":","""",K84,"""",",")</f>
        <v>"id":"s66",</v>
      </c>
      <c r="M84" t="str">
        <v>"cate":"Capacitor",</v>
      </c>
      <c r="N84" t="str">
        <v>"des":"Capacitor 100NF K16V0603",</v>
      </c>
      <c r="O84" t="str">
        <v>"mfg":"YAGEO",</v>
      </c>
      <c r="P84" t="str">
        <v>"pn":"CC0603KRX7R8BB104",</v>
      </c>
      <c r="Q84" t="str">
        <v>"qty":43022</v>
      </c>
      <c r="S84" t="s">
        <v>2498</v>
      </c>
      <c r="T84" t="str">
        <f t="shared" ref="T84:T147" si="128">_xlfn.CONCAT(L84:Q84)</f>
        <v>"id":"s66","cate":"Capacitor","des":"Capacitor 100NF K16V0603","mfg":"YAGEO","pn":"CC0603KRX7R8BB104","qty":43022</v>
      </c>
      <c r="U84" t="s">
        <v>2503</v>
      </c>
    </row>
    <row r="85" spans="5:21" x14ac:dyDescent="0.25">
      <c r="E85" t="s">
        <v>2123</v>
      </c>
      <c r="F85" t="s">
        <v>109</v>
      </c>
      <c r="G85" t="s">
        <v>110</v>
      </c>
      <c r="H85" t="s">
        <v>113</v>
      </c>
      <c r="I85">
        <v>38652</v>
      </c>
      <c r="K85" t="s">
        <v>2570</v>
      </c>
      <c r="L85" t="str">
        <f t="shared" si="127"/>
        <v>"id":"s67",</v>
      </c>
      <c r="M85" t="str">
        <v>"cate":"Capacitor",</v>
      </c>
      <c r="N85" t="str">
        <v>"des":"Capacitor 100NF K16V0603",</v>
      </c>
      <c r="O85" t="str">
        <v>"mfg":"KEMET",</v>
      </c>
      <c r="P85" t="str">
        <v>"pn":"C0603C104K4RACTU",</v>
      </c>
      <c r="Q85" t="str">
        <v>"qty":43022</v>
      </c>
      <c r="S85" t="s">
        <v>2498</v>
      </c>
      <c r="T85" t="str">
        <f t="shared" si="128"/>
        <v>"id":"s67","cate":"Capacitor","des":"Capacitor 100NF K16V0603","mfg":"KEMET","pn":"C0603C104K4RACTU","qty":43022</v>
      </c>
      <c r="U85" t="s">
        <v>2503</v>
      </c>
    </row>
    <row r="86" spans="5:21" x14ac:dyDescent="0.25">
      <c r="E86" t="s">
        <v>2123</v>
      </c>
      <c r="F86" t="s">
        <v>109</v>
      </c>
      <c r="G86" t="s">
        <v>110</v>
      </c>
      <c r="H86" t="s">
        <v>114</v>
      </c>
      <c r="I86">
        <v>38652</v>
      </c>
      <c r="K86" t="s">
        <v>2571</v>
      </c>
      <c r="L86" t="str">
        <f t="shared" si="127"/>
        <v>"id":"s68",</v>
      </c>
      <c r="M86" t="str">
        <v>"cate":"Capacitor",</v>
      </c>
      <c r="N86" t="str">
        <v>"des":"Capacitor 100NF K16V0603",</v>
      </c>
      <c r="O86" t="str">
        <v>"mfg":"KEMET",</v>
      </c>
      <c r="P86" t="str">
        <v>"pn":"C0603C104K4RAC7867",</v>
      </c>
      <c r="Q86" t="str">
        <v>"qty":43022</v>
      </c>
      <c r="S86" t="s">
        <v>2498</v>
      </c>
      <c r="T86" t="str">
        <f t="shared" si="128"/>
        <v>"id":"s68","cate":"Capacitor","des":"Capacitor 100NF K16V0603","mfg":"KEMET","pn":"C0603C104K4RAC7867","qty":43022</v>
      </c>
      <c r="U86" t="s">
        <v>2503</v>
      </c>
    </row>
    <row r="87" spans="5:21" x14ac:dyDescent="0.25">
      <c r="E87" t="s">
        <v>2123</v>
      </c>
      <c r="F87" t="s">
        <v>109</v>
      </c>
      <c r="G87" t="s">
        <v>110</v>
      </c>
      <c r="H87" t="s">
        <v>115</v>
      </c>
      <c r="I87">
        <v>38652</v>
      </c>
      <c r="K87" t="s">
        <v>2572</v>
      </c>
      <c r="L87" t="str">
        <f t="shared" si="127"/>
        <v>"id":"s69",</v>
      </c>
      <c r="M87" t="str">
        <v>"cate":"Capacitor",</v>
      </c>
      <c r="N87" t="str">
        <v>"des":"Capacitor 100NF K16V0603",</v>
      </c>
      <c r="O87" t="str">
        <v>"mfg":"MURATA MANUFACTURING",</v>
      </c>
      <c r="P87" t="str">
        <v>"pn":"GCM188R71C104KA37D",</v>
      </c>
      <c r="Q87" t="str">
        <v>"qty":43022</v>
      </c>
      <c r="S87" t="s">
        <v>2498</v>
      </c>
      <c r="T87" t="str">
        <f t="shared" si="128"/>
        <v>"id":"s69","cate":"Capacitor","des":"Capacitor 100NF K16V0603","mfg":"MURATA MANUFACTURING","pn":"GCM188R71C104KA37D","qty":43022</v>
      </c>
      <c r="U87" t="s">
        <v>2503</v>
      </c>
    </row>
    <row r="88" spans="5:21" x14ac:dyDescent="0.25">
      <c r="E88" t="s">
        <v>2123</v>
      </c>
      <c r="F88" t="s">
        <v>109</v>
      </c>
      <c r="G88" t="s">
        <v>110</v>
      </c>
      <c r="H88" t="s">
        <v>116</v>
      </c>
      <c r="I88">
        <v>38652</v>
      </c>
      <c r="K88" t="s">
        <v>2573</v>
      </c>
      <c r="L88" t="str">
        <f t="shared" si="127"/>
        <v>"id":"s70",</v>
      </c>
      <c r="M88" t="str">
        <v>"cate":"Capacitor",</v>
      </c>
      <c r="N88" t="str">
        <v>"des":"Capacitor 100NF K16V0603",</v>
      </c>
      <c r="O88" t="str">
        <v>"mfg":"AVX",</v>
      </c>
      <c r="P88" t="str">
        <v>"pn":"0603YC104KAT2A",</v>
      </c>
      <c r="Q88" t="str">
        <v>"qty":43022</v>
      </c>
      <c r="S88" t="s">
        <v>2498</v>
      </c>
      <c r="T88" t="str">
        <f t="shared" si="128"/>
        <v>"id":"s70","cate":"Capacitor","des":"Capacitor 100NF K16V0603","mfg":"AVX","pn":"0603YC104KAT2A","qty":43022</v>
      </c>
      <c r="U88" t="s">
        <v>2503</v>
      </c>
    </row>
    <row r="89" spans="5:21" x14ac:dyDescent="0.25">
      <c r="E89" t="s">
        <v>2123</v>
      </c>
      <c r="F89" t="s">
        <v>109</v>
      </c>
      <c r="G89" t="s">
        <v>110</v>
      </c>
      <c r="H89" t="s">
        <v>117</v>
      </c>
      <c r="I89">
        <v>38652</v>
      </c>
      <c r="K89" t="s">
        <v>2574</v>
      </c>
      <c r="L89" t="str">
        <f t="shared" si="127"/>
        <v>"id":"s71",</v>
      </c>
      <c r="M89" t="str">
        <v>"cate":"Capacitor",</v>
      </c>
      <c r="N89" t="str">
        <v>"des":"Capacitor 100NF K16V0603",</v>
      </c>
      <c r="O89" t="str">
        <v>"mfg":"SAMSUNG",</v>
      </c>
      <c r="P89" t="str">
        <v>"pn":"CL10B104KO8NNNC",</v>
      </c>
      <c r="Q89" t="str">
        <v>"qty":43022</v>
      </c>
      <c r="S89" t="s">
        <v>2498</v>
      </c>
      <c r="T89" t="str">
        <f t="shared" si="128"/>
        <v>"id":"s71","cate":"Capacitor","des":"Capacitor 100NF K16V0603","mfg":"SAMSUNG","pn":"CL10B104KO8NNNC","qty":43022</v>
      </c>
      <c r="U89" t="s">
        <v>2503</v>
      </c>
    </row>
    <row r="90" spans="5:21" x14ac:dyDescent="0.25">
      <c r="E90" t="s">
        <v>2193</v>
      </c>
      <c r="F90" t="s">
        <v>118</v>
      </c>
      <c r="G90" t="s">
        <v>13</v>
      </c>
      <c r="H90" t="s">
        <v>119</v>
      </c>
      <c r="I90">
        <v>38083</v>
      </c>
      <c r="K90" t="s">
        <v>2575</v>
      </c>
      <c r="L90" t="str">
        <f t="shared" si="127"/>
        <v>"id":"s72",</v>
      </c>
      <c r="M90" t="str">
        <v>"cate":"Capacitor",</v>
      </c>
      <c r="N90" t="str">
        <v>"des":"Capacitor 100NF K16V0603",</v>
      </c>
      <c r="O90" t="str">
        <v>"mfg":"WALSIN",</v>
      </c>
      <c r="P90" t="str">
        <v>"pn":"0603B104K500LT",</v>
      </c>
      <c r="Q90" t="str">
        <v>"qty":43022</v>
      </c>
      <c r="S90" t="s">
        <v>2498</v>
      </c>
      <c r="T90" t="str">
        <f t="shared" si="128"/>
        <v>"id":"s72","cate":"Capacitor","des":"Capacitor 100NF K16V0603","mfg":"WALSIN","pn":"0603B104K500LT","qty":43022</v>
      </c>
      <c r="U90" t="s">
        <v>2503</v>
      </c>
    </row>
    <row r="91" spans="5:21" x14ac:dyDescent="0.25">
      <c r="E91" t="s">
        <v>2193</v>
      </c>
      <c r="F91" t="s">
        <v>120</v>
      </c>
      <c r="G91" t="s">
        <v>13</v>
      </c>
      <c r="H91" t="s">
        <v>121</v>
      </c>
      <c r="I91">
        <v>35762</v>
      </c>
      <c r="K91" t="s">
        <v>2576</v>
      </c>
      <c r="L91" t="str">
        <f t="shared" si="127"/>
        <v>"id":"s73",</v>
      </c>
      <c r="M91" t="str">
        <v>"cate":"Resistor ",</v>
      </c>
      <c r="N91" t="str">
        <v>"des":"RST 33K 1/4W 5%1206",</v>
      </c>
      <c r="O91" t="str">
        <v>"mfg":"YAGEO",</v>
      </c>
      <c r="P91" t="str">
        <v>"pn":"AC1206JR-0733KL",</v>
      </c>
      <c r="Q91" t="str">
        <v>"qty":40160</v>
      </c>
      <c r="S91" t="s">
        <v>2498</v>
      </c>
      <c r="T91" t="str">
        <f t="shared" si="128"/>
        <v>"id":"s73","cate":"Resistor ","des":"RST 33K 1/4W 5%1206","mfg":"YAGEO","pn":"AC1206JR-0733KL","qty":40160</v>
      </c>
      <c r="U91" t="s">
        <v>2503</v>
      </c>
    </row>
    <row r="92" spans="5:21" x14ac:dyDescent="0.25">
      <c r="E92" t="s">
        <v>2193</v>
      </c>
      <c r="F92" t="s">
        <v>120</v>
      </c>
      <c r="G92" t="s">
        <v>10</v>
      </c>
      <c r="H92" t="s">
        <v>122</v>
      </c>
      <c r="I92">
        <v>35762</v>
      </c>
      <c r="K92" t="s">
        <v>2577</v>
      </c>
      <c r="L92" t="str">
        <f t="shared" si="127"/>
        <v>"id":"s74",</v>
      </c>
      <c r="M92" t="str">
        <v>"cate":"Resistor ",</v>
      </c>
      <c r="N92" t="str">
        <v>"des":"RST 33K 1/4W 5%1206",</v>
      </c>
      <c r="O92" t="str">
        <v>"mfg":"YAGEO",</v>
      </c>
      <c r="P92" t="str">
        <v>"pn":"RC1206FR-0733KL",</v>
      </c>
      <c r="Q92" t="str">
        <v>"qty":40160</v>
      </c>
      <c r="S92" t="s">
        <v>2498</v>
      </c>
      <c r="T92" t="str">
        <f t="shared" si="128"/>
        <v>"id":"s74","cate":"Resistor ","des":"RST 33K 1/4W 5%1206","mfg":"YAGEO","pn":"RC1206FR-0733KL","qty":40160</v>
      </c>
      <c r="U92" t="s">
        <v>2503</v>
      </c>
    </row>
    <row r="93" spans="5:21" x14ac:dyDescent="0.25">
      <c r="E93" t="s">
        <v>2194</v>
      </c>
      <c r="F93" t="s">
        <v>2206</v>
      </c>
      <c r="G93" t="s">
        <v>123</v>
      </c>
      <c r="H93" t="s">
        <v>124</v>
      </c>
      <c r="I93">
        <v>35261</v>
      </c>
      <c r="K93" t="s">
        <v>2578</v>
      </c>
      <c r="L93" t="str">
        <f t="shared" si="127"/>
        <v>"id":"s75",</v>
      </c>
      <c r="M93" t="str">
        <v>"cate":"Resistor ",</v>
      </c>
      <c r="N93" t="str">
        <v>"des":"RST 33K 1/4W 5%1206",</v>
      </c>
      <c r="O93" t="str">
        <v>"mfg":"YAGEO",</v>
      </c>
      <c r="P93" t="str">
        <v>"pn":"RC1206JR-0733KL",</v>
      </c>
      <c r="Q93" t="str">
        <v>"qty":40160</v>
      </c>
      <c r="S93" t="s">
        <v>2498</v>
      </c>
      <c r="T93" t="str">
        <f t="shared" si="128"/>
        <v>"id":"s75","cate":"Resistor ","des":"RST 33K 1/4W 5%1206","mfg":"YAGEO","pn":"RC1206JR-0733KL","qty":40160</v>
      </c>
      <c r="U93" t="s">
        <v>2503</v>
      </c>
    </row>
    <row r="94" spans="5:21" x14ac:dyDescent="0.25">
      <c r="E94" t="s">
        <v>2194</v>
      </c>
      <c r="F94" t="s">
        <v>2206</v>
      </c>
      <c r="G94" t="s">
        <v>123</v>
      </c>
      <c r="H94" t="s">
        <v>125</v>
      </c>
      <c r="I94">
        <v>35261</v>
      </c>
      <c r="K94" t="s">
        <v>2579</v>
      </c>
      <c r="L94" t="str">
        <f t="shared" si="127"/>
        <v>"id":"s76",</v>
      </c>
      <c r="M94" t="str">
        <v>"cate":"Resistor ",</v>
      </c>
      <c r="N94" t="str">
        <v>"des":"RST 33K 1/4W 5%1206",</v>
      </c>
      <c r="O94" t="str">
        <v>"mfg":"WALSIN",</v>
      </c>
      <c r="P94" t="str">
        <v>"pn":"WR12X3302FTL",</v>
      </c>
      <c r="Q94" t="str">
        <v>"qty":40160</v>
      </c>
      <c r="S94" t="s">
        <v>2498</v>
      </c>
      <c r="T94" t="str">
        <f t="shared" si="128"/>
        <v>"id":"s76","cate":"Resistor ","des":"RST 33K 1/4W 5%1206","mfg":"WALSIN","pn":"WR12X3302FTL","qty":40160</v>
      </c>
      <c r="U94" t="s">
        <v>2503</v>
      </c>
    </row>
    <row r="95" spans="5:21" x14ac:dyDescent="0.25">
      <c r="E95" t="s">
        <v>2194</v>
      </c>
      <c r="F95" t="s">
        <v>2207</v>
      </c>
      <c r="G95" t="s">
        <v>47</v>
      </c>
      <c r="H95" t="s">
        <v>126</v>
      </c>
      <c r="I95">
        <v>34908</v>
      </c>
      <c r="K95" t="s">
        <v>2580</v>
      </c>
      <c r="L95" t="str">
        <f t="shared" si="127"/>
        <v>"id":"s77",</v>
      </c>
      <c r="M95" t="str">
        <v>"cate":"Resistor ",</v>
      </c>
      <c r="N95" t="str">
        <v>"des":"RST 100 0,1W 5%0603",</v>
      </c>
      <c r="O95" t="str">
        <v>"mfg":"VISHAY",</v>
      </c>
      <c r="P95" t="str">
        <v>"pn":"CRCW0603100RJNEA",</v>
      </c>
      <c r="Q95" t="str">
        <v>"qty":40037</v>
      </c>
      <c r="S95" t="s">
        <v>2498</v>
      </c>
      <c r="T95" t="str">
        <f t="shared" si="128"/>
        <v>"id":"s77","cate":"Resistor ","des":"RST 100 0,1W 5%0603","mfg":"VISHAY","pn":"CRCW0603100RJNEA","qty":40037</v>
      </c>
      <c r="U95" t="s">
        <v>2503</v>
      </c>
    </row>
    <row r="96" spans="5:21" x14ac:dyDescent="0.25">
      <c r="E96" t="s">
        <v>2194</v>
      </c>
      <c r="F96" t="s">
        <v>2207</v>
      </c>
      <c r="G96" t="s">
        <v>37</v>
      </c>
      <c r="H96" t="s">
        <v>127</v>
      </c>
      <c r="I96">
        <v>34908</v>
      </c>
      <c r="K96" t="s">
        <v>2581</v>
      </c>
      <c r="L96" t="str">
        <f t="shared" si="127"/>
        <v>"id":"s78",</v>
      </c>
      <c r="M96" t="str">
        <v>"cate":"LED ",</v>
      </c>
      <c r="N96" t="str">
        <v>"des":"LED SMD CL-RD PLCC2",</v>
      </c>
      <c r="O96" t="str">
        <v>"mfg":"OSRAM",</v>
      </c>
      <c r="P96" t="str">
        <v>"pn":"LS T670-J1K2-1-0-10",</v>
      </c>
      <c r="Q96" t="str">
        <v>"qty":38652</v>
      </c>
      <c r="S96" t="s">
        <v>2498</v>
      </c>
      <c r="T96" t="str">
        <f t="shared" si="128"/>
        <v>"id":"s78","cate":"LED ","des":"LED SMD CL-RD PLCC2","mfg":"OSRAM","pn":"LS T670-J1K2-1-0-10","qty":38652</v>
      </c>
      <c r="U96" t="s">
        <v>2503</v>
      </c>
    </row>
    <row r="97" spans="5:21" x14ac:dyDescent="0.25">
      <c r="E97" t="s">
        <v>2194</v>
      </c>
      <c r="F97" t="s">
        <v>2207</v>
      </c>
      <c r="G97" t="s">
        <v>10</v>
      </c>
      <c r="H97" t="s">
        <v>128</v>
      </c>
      <c r="I97">
        <v>34908</v>
      </c>
      <c r="K97" t="s">
        <v>2582</v>
      </c>
      <c r="L97" t="str">
        <f t="shared" si="127"/>
        <v>"id":"s79",</v>
      </c>
      <c r="M97" t="str">
        <v>"cate":"LED ",</v>
      </c>
      <c r="N97" t="str">
        <v>"des":"LED SMD CL-RD PLCC2",</v>
      </c>
      <c r="O97" t="str">
        <v>"mfg":"OSRAM",</v>
      </c>
      <c r="P97" t="str">
        <v>"pn":"LS T670-J1K2-1-0-10-R-18Z",</v>
      </c>
      <c r="Q97" t="str">
        <v>"qty":38652</v>
      </c>
      <c r="S97" t="s">
        <v>2498</v>
      </c>
      <c r="T97" t="str">
        <f t="shared" si="128"/>
        <v>"id":"s79","cate":"LED ","des":"LED SMD CL-RD PLCC2","mfg":"OSRAM","pn":"LS T670-J1K2-1-0-10-R-18Z","qty":38652</v>
      </c>
      <c r="U97" t="s">
        <v>2503</v>
      </c>
    </row>
    <row r="98" spans="5:21" x14ac:dyDescent="0.25">
      <c r="E98" t="s">
        <v>2123</v>
      </c>
      <c r="F98" t="s">
        <v>129</v>
      </c>
      <c r="G98" t="s">
        <v>130</v>
      </c>
      <c r="H98" t="s">
        <v>131</v>
      </c>
      <c r="I98">
        <v>34659</v>
      </c>
      <c r="K98" t="s">
        <v>2583</v>
      </c>
      <c r="L98" t="str">
        <f t="shared" si="127"/>
        <v>"id":"s80",</v>
      </c>
      <c r="M98" t="str">
        <v>"cate":"LED ",</v>
      </c>
      <c r="N98" t="str">
        <v>"des":"LED SMD CL-RD PLCC2",</v>
      </c>
      <c r="O98" t="str">
        <v>"mfg":"OSRAM",</v>
      </c>
      <c r="P98" t="str">
        <v>"pn":"LS T670-J1L2-1",</v>
      </c>
      <c r="Q98" t="str">
        <v>"qty":38652</v>
      </c>
      <c r="S98" t="s">
        <v>2498</v>
      </c>
      <c r="T98" t="str">
        <f t="shared" si="128"/>
        <v>"id":"s80","cate":"LED ","des":"LED SMD CL-RD PLCC2","mfg":"OSRAM","pn":"LS T670-J1L2-1","qty":38652</v>
      </c>
      <c r="U98" t="s">
        <v>2503</v>
      </c>
    </row>
    <row r="99" spans="5:21" x14ac:dyDescent="0.25">
      <c r="E99" t="s">
        <v>2123</v>
      </c>
      <c r="F99" t="s">
        <v>129</v>
      </c>
      <c r="G99" t="s">
        <v>132</v>
      </c>
      <c r="H99" t="s">
        <v>133</v>
      </c>
      <c r="I99">
        <v>34659</v>
      </c>
      <c r="K99" t="s">
        <v>2584</v>
      </c>
      <c r="L99" t="str">
        <f t="shared" si="127"/>
        <v>"id":"s81",</v>
      </c>
      <c r="M99" t="str">
        <v>"cate":"LED ",</v>
      </c>
      <c r="N99" t="str">
        <v>"des":"LED SMD CL-RD PLCC2",</v>
      </c>
      <c r="O99" t="str">
        <v>"mfg":"OSRAM",</v>
      </c>
      <c r="P99" t="str">
        <v>"pn":"LS T670-J1L2-1-0-10",</v>
      </c>
      <c r="Q99" t="str">
        <v>"qty":38652</v>
      </c>
      <c r="S99" t="s">
        <v>2498</v>
      </c>
      <c r="T99" t="str">
        <f t="shared" si="128"/>
        <v>"id":"s81","cate":"LED ","des":"LED SMD CL-RD PLCC2","mfg":"OSRAM","pn":"LS T670-J1L2-1-0-10","qty":38652</v>
      </c>
      <c r="U99" t="s">
        <v>2503</v>
      </c>
    </row>
    <row r="100" spans="5:21" x14ac:dyDescent="0.25">
      <c r="E100" t="s">
        <v>2123</v>
      </c>
      <c r="F100" t="s">
        <v>129</v>
      </c>
      <c r="G100" t="s">
        <v>132</v>
      </c>
      <c r="H100" t="s">
        <v>134</v>
      </c>
      <c r="I100">
        <v>34659</v>
      </c>
      <c r="K100" t="s">
        <v>2585</v>
      </c>
      <c r="L100" t="str">
        <f t="shared" si="127"/>
        <v>"id":"s82",</v>
      </c>
      <c r="M100" t="str">
        <v>"cate":"LED ",</v>
      </c>
      <c r="N100" t="str">
        <v>"des":"LED SMD CL-RD PLCC2",</v>
      </c>
      <c r="O100" t="str">
        <v>"mfg":"OSRAM",</v>
      </c>
      <c r="P100" t="str">
        <v>"pn":"LS T670-J1L2-1-0-10-R-18Z",</v>
      </c>
      <c r="Q100" t="str">
        <v>"qty":38652</v>
      </c>
      <c r="S100" t="s">
        <v>2498</v>
      </c>
      <c r="T100" t="str">
        <f t="shared" si="128"/>
        <v>"id":"s82","cate":"LED ","des":"LED SMD CL-RD PLCC2","mfg":"OSRAM","pn":"LS T670-J1L2-1-0-10-R-18Z","qty":38652</v>
      </c>
      <c r="U100" t="s">
        <v>2503</v>
      </c>
    </row>
    <row r="101" spans="5:21" x14ac:dyDescent="0.25">
      <c r="E101" t="s">
        <v>2123</v>
      </c>
      <c r="F101" t="s">
        <v>129</v>
      </c>
      <c r="G101" t="s">
        <v>110</v>
      </c>
      <c r="H101" t="s">
        <v>135</v>
      </c>
      <c r="I101">
        <v>34659</v>
      </c>
      <c r="K101" t="s">
        <v>2586</v>
      </c>
      <c r="L101" t="str">
        <f t="shared" si="127"/>
        <v>"id":"s83",</v>
      </c>
      <c r="M101" t="str">
        <v>"cate":"LED ",</v>
      </c>
      <c r="N101" t="str">
        <v>"des":"LED SMD CL-RD PLCC2",</v>
      </c>
      <c r="O101" t="str">
        <v>"mfg":"OSRAM",</v>
      </c>
      <c r="P101" t="str">
        <v>"pn":"LS T676-P2S1-1-0-20-R18-Z",</v>
      </c>
      <c r="Q101" t="str">
        <v>"qty":38652</v>
      </c>
      <c r="S101" t="s">
        <v>2498</v>
      </c>
      <c r="T101" t="str">
        <f t="shared" si="128"/>
        <v>"id":"s83","cate":"LED ","des":"LED SMD CL-RD PLCC2","mfg":"OSRAM","pn":"LS T676-P2S1-1-0-20-R18-Z","qty":38652</v>
      </c>
      <c r="U101" t="s">
        <v>2503</v>
      </c>
    </row>
    <row r="102" spans="5:21" x14ac:dyDescent="0.25">
      <c r="E102" t="s">
        <v>2123</v>
      </c>
      <c r="F102" t="s">
        <v>129</v>
      </c>
      <c r="G102" t="s">
        <v>110</v>
      </c>
      <c r="H102" t="s">
        <v>136</v>
      </c>
      <c r="I102">
        <v>34659</v>
      </c>
      <c r="K102" t="s">
        <v>2587</v>
      </c>
      <c r="L102" t="str">
        <f t="shared" si="127"/>
        <v>"id":"s84",</v>
      </c>
      <c r="M102" t="str">
        <v>"cate":"LED ",</v>
      </c>
      <c r="N102" t="str">
        <v>"des":"LED SMD CL-RD PLCC2",</v>
      </c>
      <c r="O102" t="str">
        <v>"mfg":"OSRAM",</v>
      </c>
      <c r="P102" t="str">
        <v>"pn":"LST670-J1L2-1-Z",</v>
      </c>
      <c r="Q102" t="str">
        <v>"qty":38652</v>
      </c>
      <c r="S102" t="s">
        <v>2498</v>
      </c>
      <c r="T102" t="str">
        <f t="shared" si="128"/>
        <v>"id":"s84","cate":"LED ","des":"LED SMD CL-RD PLCC2","mfg":"OSRAM","pn":"LST670-J1L2-1-Z","qty":38652</v>
      </c>
      <c r="U102" t="s">
        <v>2503</v>
      </c>
    </row>
    <row r="103" spans="5:21" x14ac:dyDescent="0.25">
      <c r="E103" t="s">
        <v>2123</v>
      </c>
      <c r="F103" t="s">
        <v>129</v>
      </c>
      <c r="G103" t="s">
        <v>110</v>
      </c>
      <c r="H103" t="s">
        <v>137</v>
      </c>
      <c r="I103">
        <v>34659</v>
      </c>
      <c r="K103" t="s">
        <v>2588</v>
      </c>
      <c r="L103" t="str">
        <f t="shared" si="127"/>
        <v>"id":"s85",</v>
      </c>
      <c r="M103" t="str">
        <v>"cate":"Resistor ",</v>
      </c>
      <c r="N103" t="str">
        <v>"des":"RST 100K 1/4W 0,1%S",</v>
      </c>
      <c r="O103" t="str">
        <v>"mfg":"YAGEO",</v>
      </c>
      <c r="P103" t="str">
        <v>"pn":"RT1206BRD07100KL",</v>
      </c>
      <c r="Q103" t="str">
        <v>"qty":38083</v>
      </c>
      <c r="S103" t="s">
        <v>2498</v>
      </c>
      <c r="T103" t="str">
        <f t="shared" si="128"/>
        <v>"id":"s85","cate":"Resistor ","des":"RST 100K 1/4W 0,1%S","mfg":"YAGEO","pn":"RT1206BRD07100KL","qty":38083</v>
      </c>
      <c r="U103" t="s">
        <v>2503</v>
      </c>
    </row>
    <row r="104" spans="5:21" x14ac:dyDescent="0.25">
      <c r="E104" t="s">
        <v>2123</v>
      </c>
      <c r="F104" t="s">
        <v>129</v>
      </c>
      <c r="G104" t="s">
        <v>138</v>
      </c>
      <c r="H104" t="s">
        <v>139</v>
      </c>
      <c r="I104">
        <v>34659</v>
      </c>
      <c r="K104" t="s">
        <v>2589</v>
      </c>
      <c r="L104" t="str">
        <f t="shared" si="127"/>
        <v>"id":"s86",</v>
      </c>
      <c r="M104" t="str">
        <v>"cate":"Resistor ",</v>
      </c>
      <c r="N104" t="str">
        <v>"des":"RST 15K 0,1W 5%0603",</v>
      </c>
      <c r="O104" t="str">
        <v>"mfg":"YAGEO",</v>
      </c>
      <c r="P104" t="str">
        <v>"pn":"RC0603JR-0715KL",</v>
      </c>
      <c r="Q104" t="str">
        <v>"qty":35762</v>
      </c>
      <c r="S104" t="s">
        <v>2498</v>
      </c>
      <c r="T104" t="str">
        <f t="shared" si="128"/>
        <v>"id":"s86","cate":"Resistor ","des":"RST 15K 0,1W 5%0603","mfg":"YAGEO","pn":"RC0603JR-0715KL","qty":35762</v>
      </c>
      <c r="U104" t="s">
        <v>2503</v>
      </c>
    </row>
    <row r="105" spans="5:21" x14ac:dyDescent="0.25">
      <c r="E105" t="s">
        <v>2194</v>
      </c>
      <c r="F105" t="s">
        <v>2208</v>
      </c>
      <c r="G105" t="s">
        <v>8</v>
      </c>
      <c r="H105" t="s">
        <v>140</v>
      </c>
      <c r="I105">
        <v>34308</v>
      </c>
      <c r="K105" t="s">
        <v>2590</v>
      </c>
      <c r="L105" t="str">
        <f t="shared" si="127"/>
        <v>"id":"s87",</v>
      </c>
      <c r="M105" t="str">
        <v>"cate":"Resistor ",</v>
      </c>
      <c r="N105" t="str">
        <v>"des":"RST 15K 0,1W 5%0603",</v>
      </c>
      <c r="O105" t="str">
        <v>"mfg":"WALSIN",</v>
      </c>
      <c r="P105" t="str">
        <v>"pn":"WR06X153JTL",</v>
      </c>
      <c r="Q105" t="str">
        <v>"qty":35762</v>
      </c>
      <c r="S105" t="s">
        <v>2498</v>
      </c>
      <c r="T105" t="str">
        <f t="shared" si="128"/>
        <v>"id":"s87","cate":"Resistor ","des":"RST 15K 0,1W 5%0603","mfg":"WALSIN","pn":"WR06X153JTL","qty":35762</v>
      </c>
      <c r="U105" t="s">
        <v>2503</v>
      </c>
    </row>
    <row r="106" spans="5:21" x14ac:dyDescent="0.25">
      <c r="E106" s="6" t="s">
        <v>2382</v>
      </c>
      <c r="F106" t="s">
        <v>141</v>
      </c>
      <c r="G106" t="s">
        <v>142</v>
      </c>
      <c r="H106" t="s">
        <v>143</v>
      </c>
      <c r="I106">
        <v>34276</v>
      </c>
      <c r="K106" t="s">
        <v>2591</v>
      </c>
      <c r="L106" t="str">
        <f t="shared" si="127"/>
        <v>"id":"s88",</v>
      </c>
      <c r="M106" t="str">
        <v>"cate":"Capacitor",</v>
      </c>
      <c r="N106" t="str">
        <v>"des":"Capacitor 1NF/630V 10%",</v>
      </c>
      <c r="O106" t="str">
        <v>"mfg":"WIMA",</v>
      </c>
      <c r="P106" t="str">
        <v>"pn":"FKP1J011004B00JSSD",</v>
      </c>
      <c r="Q106" t="str">
        <v>"qty":35261</v>
      </c>
      <c r="S106" t="s">
        <v>2498</v>
      </c>
      <c r="T106" t="str">
        <f t="shared" si="128"/>
        <v>"id":"s88","cate":"Capacitor","des":"Capacitor 1NF/630V 10%","mfg":"WIMA","pn":"FKP1J011004B00JSSD","qty":35261</v>
      </c>
      <c r="U106" t="s">
        <v>2503</v>
      </c>
    </row>
    <row r="107" spans="5:21" x14ac:dyDescent="0.25">
      <c r="E107" t="s">
        <v>2193</v>
      </c>
      <c r="F107" t="s">
        <v>144</v>
      </c>
      <c r="G107" t="s">
        <v>10</v>
      </c>
      <c r="H107" t="s">
        <v>145</v>
      </c>
      <c r="I107">
        <v>34154</v>
      </c>
      <c r="K107" t="s">
        <v>2592</v>
      </c>
      <c r="L107" t="str">
        <f t="shared" si="127"/>
        <v>"id":"s89",</v>
      </c>
      <c r="M107" t="str">
        <v>"cate":"Capacitor",</v>
      </c>
      <c r="N107" t="str">
        <v>"des":"Capacitor 1NF/630V 10%",</v>
      </c>
      <c r="O107" t="str">
        <v>"mfg":"WIMA",</v>
      </c>
      <c r="P107" t="str">
        <v>"pn":"FKP1J011004B00KSSD",</v>
      </c>
      <c r="Q107" t="str">
        <v>"qty":35261</v>
      </c>
      <c r="S107" t="s">
        <v>2498</v>
      </c>
      <c r="T107" t="str">
        <f t="shared" si="128"/>
        <v>"id":"s89","cate":"Capacitor","des":"Capacitor 1NF/630V 10%","mfg":"WIMA","pn":"FKP1J011004B00KSSD","qty":35261</v>
      </c>
      <c r="U107" t="s">
        <v>2503</v>
      </c>
    </row>
    <row r="108" spans="5:21" x14ac:dyDescent="0.25">
      <c r="E108" t="s">
        <v>2194</v>
      </c>
      <c r="F108" t="s">
        <v>2209</v>
      </c>
      <c r="G108" t="s">
        <v>47</v>
      </c>
      <c r="H108" t="s">
        <v>146</v>
      </c>
      <c r="I108">
        <v>33628</v>
      </c>
      <c r="K108" t="s">
        <v>2593</v>
      </c>
      <c r="L108" t="str">
        <f t="shared" si="127"/>
        <v>"id":"s90",</v>
      </c>
      <c r="M108" t="str">
        <v>"cate":"Capacitor",</v>
      </c>
      <c r="N108" t="str">
        <v>"des":"Capacitor 56PF J50V 0603",</v>
      </c>
      <c r="O108" t="str">
        <v>"mfg":"KEMET",</v>
      </c>
      <c r="P108" t="str">
        <v>"pn":"C0603C560J5GACTU",</v>
      </c>
      <c r="Q108" t="str">
        <v>"qty":34908</v>
      </c>
      <c r="S108" t="s">
        <v>2498</v>
      </c>
      <c r="T108" t="str">
        <f t="shared" si="128"/>
        <v>"id":"s90","cate":"Capacitor","des":"Capacitor 56PF J50V 0603","mfg":"KEMET","pn":"C0603C560J5GACTU","qty":34908</v>
      </c>
      <c r="U108" t="s">
        <v>2503</v>
      </c>
    </row>
    <row r="109" spans="5:21" x14ac:dyDescent="0.25">
      <c r="E109" t="s">
        <v>2194</v>
      </c>
      <c r="F109" t="s">
        <v>2209</v>
      </c>
      <c r="G109" t="s">
        <v>49</v>
      </c>
      <c r="H109" t="s">
        <v>147</v>
      </c>
      <c r="I109">
        <v>33628</v>
      </c>
      <c r="K109" t="s">
        <v>2594</v>
      </c>
      <c r="L109" t="str">
        <f t="shared" si="127"/>
        <v>"id":"s91",</v>
      </c>
      <c r="M109" t="str">
        <v>"cate":"Capacitor",</v>
      </c>
      <c r="N109" t="str">
        <v>"des":"Capacitor 56PF J50V 0603",</v>
      </c>
      <c r="O109" t="str">
        <v>"mfg":"VISHAY",</v>
      </c>
      <c r="P109" t="str">
        <v>"pn":"VJ0603A560JXACW1BC",</v>
      </c>
      <c r="Q109" t="str">
        <v>"qty":34908</v>
      </c>
      <c r="S109" t="s">
        <v>2498</v>
      </c>
      <c r="T109" t="str">
        <f t="shared" si="128"/>
        <v>"id":"s91","cate":"Capacitor","des":"Capacitor 56PF J50V 0603","mfg":"VISHAY","pn":"VJ0603A560JXACW1BC","qty":34908</v>
      </c>
      <c r="U109" t="s">
        <v>2503</v>
      </c>
    </row>
    <row r="110" spans="5:21" x14ac:dyDescent="0.25">
      <c r="E110" t="s">
        <v>2194</v>
      </c>
      <c r="F110" t="s">
        <v>2209</v>
      </c>
      <c r="G110" t="s">
        <v>10</v>
      </c>
      <c r="H110" t="s">
        <v>148</v>
      </c>
      <c r="I110">
        <v>33628</v>
      </c>
      <c r="K110" t="s">
        <v>2595</v>
      </c>
      <c r="L110" t="str">
        <f t="shared" si="127"/>
        <v>"id":"s92",</v>
      </c>
      <c r="M110" t="str">
        <v>"cate":"Capacitor",</v>
      </c>
      <c r="N110" t="str">
        <v>"des":"Capacitor 56PF J50V 0603",</v>
      </c>
      <c r="O110" t="str">
        <v>"mfg":"WALSIN",</v>
      </c>
      <c r="P110" t="str">
        <v>"pn":"0603N560J500CT",</v>
      </c>
      <c r="Q110" t="str">
        <v>"qty":34908</v>
      </c>
      <c r="S110" t="s">
        <v>2498</v>
      </c>
      <c r="T110" t="str">
        <f t="shared" si="128"/>
        <v>"id":"s92","cate":"Capacitor","des":"Capacitor 56PF J50V 0603","mfg":"WALSIN","pn":"0603N560J500CT","qty":34908</v>
      </c>
      <c r="U110" t="s">
        <v>2503</v>
      </c>
    </row>
    <row r="111" spans="5:21" x14ac:dyDescent="0.25">
      <c r="E111" t="s">
        <v>2382</v>
      </c>
      <c r="F111" t="s">
        <v>2384</v>
      </c>
      <c r="G111" t="s">
        <v>149</v>
      </c>
      <c r="H111" t="s">
        <v>150</v>
      </c>
      <c r="I111">
        <v>33418</v>
      </c>
      <c r="K111" t="s">
        <v>2596</v>
      </c>
      <c r="L111" t="str">
        <f t="shared" si="127"/>
        <v>"id":"s93",</v>
      </c>
      <c r="M111" t="str">
        <v>"cate":"LED ",</v>
      </c>
      <c r="N111" t="str">
        <v>"des":"LED SMD RED",</v>
      </c>
      <c r="O111" t="str">
        <v>"mfg":"EVERLIGHT",</v>
      </c>
      <c r="P111" t="str">
        <v>"pn":"57-21/R7C-FR1S1B/2T",</v>
      </c>
      <c r="Q111" t="str">
        <v>"qty":34659</v>
      </c>
      <c r="S111" t="s">
        <v>2498</v>
      </c>
      <c r="T111" t="str">
        <f t="shared" si="128"/>
        <v>"id":"s93","cate":"LED ","des":"LED SMD RED","mfg":"EVERLIGHT","pn":"57-21/R7C-FR1S1B/2T","qty":34659</v>
      </c>
      <c r="U111" t="s">
        <v>2503</v>
      </c>
    </row>
    <row r="112" spans="5:21" x14ac:dyDescent="0.25">
      <c r="E112" t="s">
        <v>2382</v>
      </c>
      <c r="F112" t="s">
        <v>2384</v>
      </c>
      <c r="G112" t="s">
        <v>151</v>
      </c>
      <c r="H112" t="s">
        <v>152</v>
      </c>
      <c r="I112">
        <v>33418</v>
      </c>
      <c r="K112" t="s">
        <v>2597</v>
      </c>
      <c r="L112" t="str">
        <f t="shared" si="127"/>
        <v>"id":"s94",</v>
      </c>
      <c r="M112" t="str">
        <v>"cate":"LED ",</v>
      </c>
      <c r="N112" t="str">
        <v>"des":"LED SMD RED",</v>
      </c>
      <c r="O112" t="str">
        <v>"mfg":"KINGBRIGHT",</v>
      </c>
      <c r="P112" t="str">
        <v>"pn":"KA-4040-OS630",</v>
      </c>
      <c r="Q112" t="str">
        <v>"qty":34659</v>
      </c>
      <c r="S112" t="s">
        <v>2498</v>
      </c>
      <c r="T112" t="str">
        <f t="shared" si="128"/>
        <v>"id":"s94","cate":"LED ","des":"LED SMD RED","mfg":"KINGBRIGHT","pn":"KA-4040-OS630","qty":34659</v>
      </c>
      <c r="U112" t="s">
        <v>2503</v>
      </c>
    </row>
    <row r="113" spans="5:21" x14ac:dyDescent="0.25">
      <c r="E113" t="s">
        <v>2382</v>
      </c>
      <c r="F113" t="s">
        <v>2384</v>
      </c>
      <c r="G113" t="s">
        <v>153</v>
      </c>
      <c r="H113" t="s">
        <v>150</v>
      </c>
      <c r="I113">
        <v>33418</v>
      </c>
      <c r="K113" t="s">
        <v>2598</v>
      </c>
      <c r="L113" t="str">
        <f t="shared" si="127"/>
        <v>"id":"s95",</v>
      </c>
      <c r="M113" t="str">
        <v>"cate":"LED ",</v>
      </c>
      <c r="N113" t="str">
        <v>"des":"LED SMD RED",</v>
      </c>
      <c r="O113" t="str">
        <v>"mfg":"KINGBRIGHT",</v>
      </c>
      <c r="P113" t="str">
        <v>"pn":"KA-4040SURCKT",</v>
      </c>
      <c r="Q113" t="str">
        <v>"qty":34659</v>
      </c>
      <c r="S113" t="s">
        <v>2498</v>
      </c>
      <c r="T113" t="str">
        <f t="shared" si="128"/>
        <v>"id":"s95","cate":"LED ","des":"LED SMD RED","mfg":"KINGBRIGHT","pn":"KA-4040SURCKT","qty":34659</v>
      </c>
      <c r="U113" t="s">
        <v>2503</v>
      </c>
    </row>
    <row r="114" spans="5:21" x14ac:dyDescent="0.25">
      <c r="E114" t="s">
        <v>2194</v>
      </c>
      <c r="F114" t="s">
        <v>2210</v>
      </c>
      <c r="G114" t="s">
        <v>13</v>
      </c>
      <c r="H114" t="s">
        <v>154</v>
      </c>
      <c r="I114">
        <v>32683</v>
      </c>
      <c r="K114" t="s">
        <v>2599</v>
      </c>
      <c r="L114" t="str">
        <f t="shared" si="127"/>
        <v>"id":"s96",</v>
      </c>
      <c r="M114" t="str">
        <v>"cate":"LED ",</v>
      </c>
      <c r="N114" t="str">
        <v>"des":"LED SMD RED",</v>
      </c>
      <c r="O114" t="str">
        <v>"mfg":"OSRAM",</v>
      </c>
      <c r="P114" t="str">
        <v>"pn":"LS A676-R1S1-1",</v>
      </c>
      <c r="Q114" t="str">
        <v>"qty":34659</v>
      </c>
      <c r="S114" t="s">
        <v>2498</v>
      </c>
      <c r="T114" t="str">
        <f t="shared" si="128"/>
        <v>"id":"s96","cate":"LED ","des":"LED SMD RED","mfg":"OSRAM","pn":"LS A676-R1S1-1","qty":34659</v>
      </c>
      <c r="U114" t="s">
        <v>2503</v>
      </c>
    </row>
    <row r="115" spans="5:21" x14ac:dyDescent="0.25">
      <c r="E115" t="s">
        <v>2194</v>
      </c>
      <c r="F115" t="s">
        <v>2210</v>
      </c>
      <c r="G115" t="s">
        <v>10</v>
      </c>
      <c r="H115" t="s">
        <v>155</v>
      </c>
      <c r="I115">
        <v>32683</v>
      </c>
      <c r="K115" t="s">
        <v>2600</v>
      </c>
      <c r="L115" t="str">
        <f t="shared" si="127"/>
        <v>"id":"s97",</v>
      </c>
      <c r="M115" t="str">
        <v>"cate":"LED ",</v>
      </c>
      <c r="N115" t="str">
        <v>"des":"LED SMD RED",</v>
      </c>
      <c r="O115" t="str">
        <v>"mfg":"OSRAM",</v>
      </c>
      <c r="P115" t="str">
        <v>"pn":"LS A676-R1S1-1-0-20",</v>
      </c>
      <c r="Q115" t="str">
        <v>"qty":34659</v>
      </c>
      <c r="S115" t="s">
        <v>2498</v>
      </c>
      <c r="T115" t="str">
        <f t="shared" si="128"/>
        <v>"id":"s97","cate":"LED ","des":"LED SMD RED","mfg":"OSRAM","pn":"LS A676-R1S1-1-0-20","qty":34659</v>
      </c>
      <c r="U115" t="s">
        <v>2503</v>
      </c>
    </row>
    <row r="116" spans="5:21" x14ac:dyDescent="0.25">
      <c r="E116" t="s">
        <v>2194</v>
      </c>
      <c r="F116" t="s">
        <v>2210</v>
      </c>
      <c r="G116" t="s">
        <v>10</v>
      </c>
      <c r="H116" t="s">
        <v>156</v>
      </c>
      <c r="I116">
        <v>32683</v>
      </c>
      <c r="K116" t="s">
        <v>2601</v>
      </c>
      <c r="L116" t="str">
        <f t="shared" si="127"/>
        <v>"id":"s98",</v>
      </c>
      <c r="M116" t="str">
        <v>"cate":"LED ",</v>
      </c>
      <c r="N116" t="str">
        <v>"des":"LED SMD RED",</v>
      </c>
      <c r="O116" t="str">
        <v>"mfg":"OSRAM",</v>
      </c>
      <c r="P116" t="str">
        <v>"pn":"LS A676-R1S1-1-0-20-R33-Z",</v>
      </c>
      <c r="Q116" t="str">
        <v>"qty":34659</v>
      </c>
      <c r="S116" t="s">
        <v>2498</v>
      </c>
      <c r="T116" t="str">
        <f t="shared" si="128"/>
        <v>"id":"s98","cate":"LED ","des":"LED SMD RED","mfg":"OSRAM","pn":"LS A676-R1S1-1-0-20-R33-Z","qty":34659</v>
      </c>
      <c r="U116" t="s">
        <v>2503</v>
      </c>
    </row>
    <row r="117" spans="5:21" x14ac:dyDescent="0.25">
      <c r="E117" t="s">
        <v>2194</v>
      </c>
      <c r="F117" t="s">
        <v>2211</v>
      </c>
      <c r="G117" t="s">
        <v>13</v>
      </c>
      <c r="H117" t="s">
        <v>157</v>
      </c>
      <c r="I117">
        <v>31714</v>
      </c>
      <c r="K117" t="s">
        <v>2602</v>
      </c>
      <c r="L117" t="str">
        <f t="shared" si="127"/>
        <v>"id":"s99",</v>
      </c>
      <c r="M117" t="str">
        <v>"cate":"LED ",</v>
      </c>
      <c r="N117" t="str">
        <v>"des":"LED SMD RED",</v>
      </c>
      <c r="O117" t="str">
        <v>"mfg":"DIALIGHT",</v>
      </c>
      <c r="P117" t="str">
        <v>"pn":"597-2001-213F",</v>
      </c>
      <c r="Q117" t="str">
        <v>"qty":34659</v>
      </c>
      <c r="S117" t="s">
        <v>2498</v>
      </c>
      <c r="T117" t="str">
        <f t="shared" si="128"/>
        <v>"id":"s99","cate":"LED ","des":"LED SMD RED","mfg":"DIALIGHT","pn":"597-2001-213F","qty":34659</v>
      </c>
      <c r="U117" t="s">
        <v>2503</v>
      </c>
    </row>
    <row r="118" spans="5:21" x14ac:dyDescent="0.25">
      <c r="E118" t="s">
        <v>2194</v>
      </c>
      <c r="F118" t="s">
        <v>2211</v>
      </c>
      <c r="G118" t="s">
        <v>8</v>
      </c>
      <c r="H118" t="s">
        <v>158</v>
      </c>
      <c r="I118">
        <v>31714</v>
      </c>
      <c r="K118" t="s">
        <v>2603</v>
      </c>
      <c r="L118" t="str">
        <f t="shared" si="127"/>
        <v>"id":"s100",</v>
      </c>
      <c r="M118" t="str">
        <v>"cate":"Capacitor",</v>
      </c>
      <c r="N118" t="str">
        <v>"des":"Capacitor 15PF K16V 0603",</v>
      </c>
      <c r="O118" t="str">
        <v>"mfg":"SAMSUNG",</v>
      </c>
      <c r="P118" t="str">
        <v>"pn":"CL10C150JB8NNNC",</v>
      </c>
      <c r="Q118" t="str">
        <v>"qty":34308</v>
      </c>
      <c r="S118" t="s">
        <v>2498</v>
      </c>
      <c r="T118" t="str">
        <f t="shared" si="128"/>
        <v>"id":"s100","cate":"Capacitor","des":"Capacitor 15PF K16V 0603","mfg":"SAMSUNG","pn":"CL10C150JB8NNNC","qty":34308</v>
      </c>
      <c r="U118" t="s">
        <v>2503</v>
      </c>
    </row>
    <row r="119" spans="5:21" x14ac:dyDescent="0.25">
      <c r="E119" t="s">
        <v>2125</v>
      </c>
      <c r="F119" t="s">
        <v>159</v>
      </c>
      <c r="G119" t="s">
        <v>160</v>
      </c>
      <c r="H119" t="s">
        <v>159</v>
      </c>
      <c r="I119">
        <v>30693</v>
      </c>
      <c r="K119" t="s">
        <v>2604</v>
      </c>
      <c r="L119" t="str">
        <f t="shared" si="127"/>
        <v>"id":"s101",</v>
      </c>
      <c r="M119" t="str">
        <v>"cate":"IC",</v>
      </c>
      <c r="N119" t="str">
        <v>"des":"IC RT7736GGE",</v>
      </c>
      <c r="O119" t="str">
        <v>"mfg":"RICHTEK",</v>
      </c>
      <c r="P119" t="str">
        <v>"pn":"RT7736GGE",</v>
      </c>
      <c r="Q119" t="str">
        <v>"qty":34276</v>
      </c>
      <c r="S119" t="s">
        <v>2498</v>
      </c>
      <c r="T119" t="str">
        <f t="shared" si="128"/>
        <v>"id":"s101","cate":"IC","des":"IC RT7736GGE","mfg":"RICHTEK","pn":"RT7736GGE","qty":34276</v>
      </c>
      <c r="U119" t="s">
        <v>2503</v>
      </c>
    </row>
    <row r="120" spans="5:21" x14ac:dyDescent="0.25">
      <c r="E120" t="s">
        <v>2194</v>
      </c>
      <c r="F120" t="s">
        <v>2212</v>
      </c>
      <c r="G120" t="s">
        <v>8</v>
      </c>
      <c r="H120" t="s">
        <v>161</v>
      </c>
      <c r="I120">
        <v>30308</v>
      </c>
      <c r="K120" t="s">
        <v>2605</v>
      </c>
      <c r="L120" t="str">
        <f t="shared" si="127"/>
        <v>"id":"s102",</v>
      </c>
      <c r="M120" t="str">
        <v>"cate":"Resistor ",</v>
      </c>
      <c r="N120" t="str">
        <v>"des":"RST 3K 0,1W 5% 0603",</v>
      </c>
      <c r="O120" t="str">
        <v>"mfg":"WALSIN",</v>
      </c>
      <c r="P120" t="str">
        <v>"pn":"WR06X302JTL",</v>
      </c>
      <c r="Q120" t="str">
        <v>"qty":34154</v>
      </c>
      <c r="S120" t="s">
        <v>2498</v>
      </c>
      <c r="T120" t="str">
        <f t="shared" si="128"/>
        <v>"id":"s102","cate":"Resistor ","des":"RST 3K 0,1W 5% 0603","mfg":"WALSIN","pn":"WR06X302JTL","qty":34154</v>
      </c>
      <c r="U120" t="s">
        <v>2503</v>
      </c>
    </row>
    <row r="121" spans="5:21" x14ac:dyDescent="0.25">
      <c r="E121" t="s">
        <v>2194</v>
      </c>
      <c r="F121" t="s">
        <v>2212</v>
      </c>
      <c r="G121" t="s">
        <v>10</v>
      </c>
      <c r="H121" t="s">
        <v>162</v>
      </c>
      <c r="I121">
        <v>30308</v>
      </c>
      <c r="K121" t="s">
        <v>2606</v>
      </c>
      <c r="L121" t="str">
        <f t="shared" si="127"/>
        <v>"id":"s103",</v>
      </c>
      <c r="M121" t="str">
        <v>"cate":"Capacitor",</v>
      </c>
      <c r="N121" t="str">
        <v>"des":"Capacitor 0,1UF/25V 0805",</v>
      </c>
      <c r="O121" t="str">
        <v>"mfg":"KEMET",</v>
      </c>
      <c r="P121" t="str">
        <v>"pn":"C0805C104K3RACTU",</v>
      </c>
      <c r="Q121" t="str">
        <v>"qty":33628</v>
      </c>
      <c r="S121" t="s">
        <v>2498</v>
      </c>
      <c r="T121" t="str">
        <f t="shared" si="128"/>
        <v>"id":"s103","cate":"Capacitor","des":"Capacitor 0,1UF/25V 0805","mfg":"KEMET","pn":"C0805C104K3RACTU","qty":33628</v>
      </c>
      <c r="U121" t="s">
        <v>2503</v>
      </c>
    </row>
    <row r="122" spans="5:21" x14ac:dyDescent="0.25">
      <c r="E122" t="s">
        <v>2193</v>
      </c>
      <c r="F122" t="s">
        <v>163</v>
      </c>
      <c r="G122" t="s">
        <v>13</v>
      </c>
      <c r="H122" t="s">
        <v>164</v>
      </c>
      <c r="I122">
        <v>29486</v>
      </c>
      <c r="K122" t="s">
        <v>2607</v>
      </c>
      <c r="L122" t="str">
        <f t="shared" si="127"/>
        <v>"id":"s104",</v>
      </c>
      <c r="M122" t="str">
        <v>"cate":"Capacitor",</v>
      </c>
      <c r="N122" t="str">
        <v>"des":"Capacitor 0,1UF/25V 0805",</v>
      </c>
      <c r="O122" t="str">
        <v>"mfg":"AVX",</v>
      </c>
      <c r="P122" t="str">
        <v>"pn":"08053C104KAT2A",</v>
      </c>
      <c r="Q122" t="str">
        <v>"qty":33628</v>
      </c>
      <c r="S122" t="s">
        <v>2498</v>
      </c>
      <c r="T122" t="str">
        <f t="shared" si="128"/>
        <v>"id":"s104","cate":"Capacitor","des":"Capacitor 0,1UF/25V 0805","mfg":"AVX","pn":"08053C104KAT2A","qty":33628</v>
      </c>
      <c r="U122" t="s">
        <v>2503</v>
      </c>
    </row>
    <row r="123" spans="5:21" x14ac:dyDescent="0.25">
      <c r="E123" t="s">
        <v>2193</v>
      </c>
      <c r="F123" t="s">
        <v>163</v>
      </c>
      <c r="G123" t="s">
        <v>10</v>
      </c>
      <c r="H123" t="s">
        <v>165</v>
      </c>
      <c r="I123">
        <v>29486</v>
      </c>
      <c r="K123" t="s">
        <v>2608</v>
      </c>
      <c r="L123" t="str">
        <f t="shared" si="127"/>
        <v>"id":"s105",</v>
      </c>
      <c r="M123" t="str">
        <v>"cate":"Capacitor",</v>
      </c>
      <c r="N123" t="str">
        <v>"des":"Capacitor 0,1UF/25V 0805",</v>
      </c>
      <c r="O123" t="str">
        <v>"mfg":"WALSIN",</v>
      </c>
      <c r="P123" t="str">
        <v>"pn":"0805B104K250CT",</v>
      </c>
      <c r="Q123" t="str">
        <v>"qty":33628</v>
      </c>
      <c r="S123" t="s">
        <v>2498</v>
      </c>
      <c r="T123" t="str">
        <f t="shared" si="128"/>
        <v>"id":"s105","cate":"Capacitor","des":"Capacitor 0,1UF/25V 0805","mfg":"WALSIN","pn":"0805B104K250CT","qty":33628</v>
      </c>
      <c r="U123" t="s">
        <v>2503</v>
      </c>
    </row>
    <row r="124" spans="5:21" x14ac:dyDescent="0.25">
      <c r="E124" t="s">
        <v>2194</v>
      </c>
      <c r="F124" t="s">
        <v>2213</v>
      </c>
      <c r="G124" t="s">
        <v>13</v>
      </c>
      <c r="H124" t="s">
        <v>166</v>
      </c>
      <c r="I124">
        <v>29296</v>
      </c>
      <c r="K124" t="s">
        <v>2609</v>
      </c>
      <c r="L124" t="str">
        <f t="shared" si="127"/>
        <v>"id":"s106",</v>
      </c>
      <c r="M124" t="str">
        <v>"cate":"IC",</v>
      </c>
      <c r="N124" t="str">
        <v>"des":"ICMD OPA4277UA",</v>
      </c>
      <c r="O124" t="str">
        <v>"mfg":"TEXAS INSTRUMENTS",</v>
      </c>
      <c r="P124" t="str">
        <v>"pn":"OPA4277UA/2K5",</v>
      </c>
      <c r="Q124" t="str">
        <v>"qty":33418</v>
      </c>
      <c r="S124" t="s">
        <v>2498</v>
      </c>
      <c r="T124" t="str">
        <f t="shared" si="128"/>
        <v>"id":"s106","cate":"IC","des":"ICMD OPA4277UA","mfg":"TEXAS INSTRUMENTS","pn":"OPA4277UA/2K5","qty":33418</v>
      </c>
      <c r="U124" t="s">
        <v>2503</v>
      </c>
    </row>
    <row r="125" spans="5:21" x14ac:dyDescent="0.25">
      <c r="E125" t="s">
        <v>2194</v>
      </c>
      <c r="F125" t="s">
        <v>2213</v>
      </c>
      <c r="G125" t="s">
        <v>47</v>
      </c>
      <c r="H125" t="s">
        <v>167</v>
      </c>
      <c r="I125">
        <v>29296</v>
      </c>
      <c r="K125" t="s">
        <v>2610</v>
      </c>
      <c r="L125" t="str">
        <f t="shared" si="127"/>
        <v>"id":"s107",</v>
      </c>
      <c r="M125" t="str">
        <v>"cate":"IC",</v>
      </c>
      <c r="N125" t="str">
        <v>"des":"ICMD OPA4277UA",</v>
      </c>
      <c r="O125" t="str">
        <v>"mfg":"RENESAS",</v>
      </c>
      <c r="P125" t="str">
        <v>"pn":"ISL28417FBBZ",</v>
      </c>
      <c r="Q125" t="str">
        <v>"qty":33418</v>
      </c>
      <c r="S125" t="s">
        <v>2498</v>
      </c>
      <c r="T125" t="str">
        <f t="shared" si="128"/>
        <v>"id":"s107","cate":"IC","des":"ICMD OPA4277UA","mfg":"RENESAS","pn":"ISL28417FBBZ","qty":33418</v>
      </c>
      <c r="U125" t="s">
        <v>2503</v>
      </c>
    </row>
    <row r="126" spans="5:21" x14ac:dyDescent="0.25">
      <c r="E126" t="s">
        <v>2194</v>
      </c>
      <c r="F126" t="s">
        <v>2213</v>
      </c>
      <c r="G126" t="s">
        <v>47</v>
      </c>
      <c r="H126" t="s">
        <v>168</v>
      </c>
      <c r="I126">
        <v>29296</v>
      </c>
      <c r="K126" t="s">
        <v>2611</v>
      </c>
      <c r="L126" t="str">
        <f t="shared" si="127"/>
        <v>"id":"s108",</v>
      </c>
      <c r="M126" t="str">
        <v>"cate":"IC",</v>
      </c>
      <c r="N126" t="str">
        <v>"des":"ICMD OPA4277UA",</v>
      </c>
      <c r="O126" t="str">
        <v>"mfg":"TEXAS INSTRUMENTS (CANCEL",</v>
      </c>
      <c r="P126" t="str">
        <v>"pn":"OPA4277UA/2K5",</v>
      </c>
      <c r="Q126" t="str">
        <v>"qty":33418</v>
      </c>
      <c r="S126" t="s">
        <v>2498</v>
      </c>
      <c r="T126" t="str">
        <f t="shared" si="128"/>
        <v>"id":"s108","cate":"IC","des":"ICMD OPA4277UA","mfg":"TEXAS INSTRUMENTS (CANCEL","pn":"OPA4277UA/2K5","qty":33418</v>
      </c>
      <c r="U126" t="s">
        <v>2503</v>
      </c>
    </row>
    <row r="127" spans="5:21" x14ac:dyDescent="0.25">
      <c r="E127" t="s">
        <v>2194</v>
      </c>
      <c r="F127" t="s">
        <v>2213</v>
      </c>
      <c r="G127" t="s">
        <v>8</v>
      </c>
      <c r="H127" t="s">
        <v>169</v>
      </c>
      <c r="I127">
        <v>29296</v>
      </c>
      <c r="K127" t="s">
        <v>2612</v>
      </c>
      <c r="L127" t="str">
        <f t="shared" si="127"/>
        <v>"id":"s109",</v>
      </c>
      <c r="M127" t="str">
        <v>"cate":"Capacitor",</v>
      </c>
      <c r="N127" t="str">
        <v>"des":"Capacitor 1NF/25V 5%",</v>
      </c>
      <c r="O127" t="str">
        <v>"mfg":"YAGEO",</v>
      </c>
      <c r="P127" t="str">
        <v>"pn":"CC0805JRNPO9BN102",</v>
      </c>
      <c r="Q127" t="str">
        <v>"qty":32683</v>
      </c>
      <c r="S127" t="s">
        <v>2498</v>
      </c>
      <c r="T127" t="str">
        <f t="shared" si="128"/>
        <v>"id":"s109","cate":"Capacitor","des":"Capacitor 1NF/25V 5%","mfg":"YAGEO","pn":"CC0805JRNPO9BN102","qty":32683</v>
      </c>
      <c r="U127" t="s">
        <v>2503</v>
      </c>
    </row>
    <row r="128" spans="5:21" x14ac:dyDescent="0.25">
      <c r="E128" t="s">
        <v>2194</v>
      </c>
      <c r="F128" t="s">
        <v>2213</v>
      </c>
      <c r="G128" t="s">
        <v>10</v>
      </c>
      <c r="H128" t="s">
        <v>170</v>
      </c>
      <c r="I128">
        <v>29296</v>
      </c>
      <c r="K128" t="s">
        <v>2613</v>
      </c>
      <c r="L128" t="str">
        <f t="shared" si="127"/>
        <v>"id":"s110",</v>
      </c>
      <c r="M128" t="str">
        <v>"cate":"Capacitor",</v>
      </c>
      <c r="N128" t="str">
        <v>"des":"Capacitor 1NF/25V 5%",</v>
      </c>
      <c r="O128" t="str">
        <v>"mfg":"WALSIN",</v>
      </c>
      <c r="P128" t="str">
        <v>"pn":"0805N102K250CT",</v>
      </c>
      <c r="Q128" t="str">
        <v>"qty":32683</v>
      </c>
      <c r="S128" t="s">
        <v>2498</v>
      </c>
      <c r="T128" t="str">
        <f t="shared" si="128"/>
        <v>"id":"s110","cate":"Capacitor","des":"Capacitor 1NF/25V 5%","mfg":"WALSIN","pn":"0805N102K250CT","qty":32683</v>
      </c>
      <c r="U128" t="s">
        <v>2503</v>
      </c>
    </row>
    <row r="129" spans="5:21" x14ac:dyDescent="0.25">
      <c r="E129" t="s">
        <v>2123</v>
      </c>
      <c r="F129" t="s">
        <v>171</v>
      </c>
      <c r="G129" t="s">
        <v>130</v>
      </c>
      <c r="H129" t="s">
        <v>172</v>
      </c>
      <c r="I129">
        <v>28888</v>
      </c>
      <c r="K129" t="s">
        <v>2614</v>
      </c>
      <c r="L129" t="str">
        <f t="shared" si="127"/>
        <v>"id":"s111",</v>
      </c>
      <c r="M129" t="str">
        <v>"cate":"Capacitor",</v>
      </c>
      <c r="N129" t="str">
        <v>"des":"Capacitor 1NF/25V 5%",</v>
      </c>
      <c r="O129" t="str">
        <v>"mfg":"WALSIN",</v>
      </c>
      <c r="P129" t="str">
        <v>"pn":"0805N102K500",</v>
      </c>
      <c r="Q129" t="str">
        <v>"qty":32683</v>
      </c>
      <c r="S129" t="s">
        <v>2498</v>
      </c>
      <c r="T129" t="str">
        <f t="shared" si="128"/>
        <v>"id":"s111","cate":"Capacitor","des":"Capacitor 1NF/25V 5%","mfg":"WALSIN","pn":"0805N102K500","qty":32683</v>
      </c>
      <c r="U129" t="s">
        <v>2503</v>
      </c>
    </row>
    <row r="130" spans="5:21" x14ac:dyDescent="0.25">
      <c r="E130" t="s">
        <v>2193</v>
      </c>
      <c r="F130" t="s">
        <v>173</v>
      </c>
      <c r="G130" t="s">
        <v>10</v>
      </c>
      <c r="H130" t="s">
        <v>174</v>
      </c>
      <c r="I130">
        <v>28304</v>
      </c>
      <c r="K130" t="s">
        <v>2615</v>
      </c>
      <c r="L130" t="str">
        <f t="shared" si="127"/>
        <v>"id":"s112",</v>
      </c>
      <c r="M130" t="str">
        <v>"cate":"Capacitor",</v>
      </c>
      <c r="N130" t="str">
        <v>"des":"Capacitor 22NF/25V 5%805",</v>
      </c>
      <c r="O130" t="str">
        <v>"mfg":"YAGEO",</v>
      </c>
      <c r="P130" t="str">
        <v>"pn":"CC0805JRX7R8BB223",</v>
      </c>
      <c r="Q130" t="str">
        <v>"qty":31714</v>
      </c>
      <c r="S130" t="s">
        <v>2498</v>
      </c>
      <c r="T130" t="str">
        <f t="shared" si="128"/>
        <v>"id":"s112","cate":"Capacitor","des":"Capacitor 22NF/25V 5%805","mfg":"YAGEO","pn":"CC0805JRX7R8BB223","qty":31714</v>
      </c>
      <c r="U130" t="s">
        <v>2503</v>
      </c>
    </row>
    <row r="131" spans="5:21" x14ac:dyDescent="0.25">
      <c r="E131" t="s">
        <v>2193</v>
      </c>
      <c r="F131" t="s">
        <v>175</v>
      </c>
      <c r="G131" t="s">
        <v>176</v>
      </c>
      <c r="H131" t="s">
        <v>177</v>
      </c>
      <c r="I131">
        <v>28125</v>
      </c>
      <c r="K131" t="s">
        <v>2616</v>
      </c>
      <c r="L131" t="str">
        <f t="shared" si="127"/>
        <v>"id":"s113",</v>
      </c>
      <c r="M131" t="str">
        <v>"cate":"Capacitor",</v>
      </c>
      <c r="N131" t="str">
        <v>"des":"Capacitor 22NF/25V 5%805",</v>
      </c>
      <c r="O131" t="str">
        <v>"mfg":"SAMSUNG",</v>
      </c>
      <c r="P131" t="str">
        <v>"pn":"CL21B223KBANNNC",</v>
      </c>
      <c r="Q131" t="str">
        <v>"qty":31714</v>
      </c>
      <c r="S131" t="s">
        <v>2498</v>
      </c>
      <c r="T131" t="str">
        <f t="shared" si="128"/>
        <v>"id":"s113","cate":"Capacitor","des":"Capacitor 22NF/25V 5%805","mfg":"SAMSUNG","pn":"CL21B223KBANNNC","qty":31714</v>
      </c>
      <c r="U131" t="s">
        <v>2503</v>
      </c>
    </row>
    <row r="132" spans="5:21" x14ac:dyDescent="0.25">
      <c r="E132" t="s">
        <v>2193</v>
      </c>
      <c r="F132" t="s">
        <v>175</v>
      </c>
      <c r="G132" t="s">
        <v>10</v>
      </c>
      <c r="H132" t="s">
        <v>178</v>
      </c>
      <c r="I132">
        <v>28125</v>
      </c>
      <c r="K132" t="s">
        <v>2617</v>
      </c>
      <c r="L132" t="str">
        <f t="shared" si="127"/>
        <v>"id":"s114",</v>
      </c>
      <c r="M132" t="str">
        <v>"cate":"22-2",</v>
      </c>
      <c r="N132" t="str">
        <v>"des":"22-27-2021",</v>
      </c>
      <c r="O132" t="str">
        <v>"mfg":"MOLEX",</v>
      </c>
      <c r="P132" t="str">
        <v>"pn":"22-27-2021",</v>
      </c>
      <c r="Q132" t="str">
        <v>"qty":30693</v>
      </c>
      <c r="S132" t="s">
        <v>2498</v>
      </c>
      <c r="T132" t="str">
        <f t="shared" si="128"/>
        <v>"id":"s114","cate":"22-2","des":"22-27-2021","mfg":"MOLEX","pn":"22-27-2021","qty":30693</v>
      </c>
      <c r="U132" t="s">
        <v>2503</v>
      </c>
    </row>
    <row r="133" spans="5:21" x14ac:dyDescent="0.25">
      <c r="E133" t="s">
        <v>2193</v>
      </c>
      <c r="F133" t="s">
        <v>179</v>
      </c>
      <c r="G133" t="s">
        <v>10</v>
      </c>
      <c r="H133" t="s">
        <v>180</v>
      </c>
      <c r="I133">
        <v>28072</v>
      </c>
      <c r="K133" t="s">
        <v>2618</v>
      </c>
      <c r="L133" t="str">
        <f t="shared" si="127"/>
        <v>"id":"s115",</v>
      </c>
      <c r="M133" t="str">
        <v>"cate":"Capacitor",</v>
      </c>
      <c r="N133" t="str">
        <v>"des":"Capacitor 22PF K16V 0603",</v>
      </c>
      <c r="O133" t="str">
        <v>"mfg":"SAMSUNG",</v>
      </c>
      <c r="P133" t="str">
        <v>"pn":"CL10C220JB8NNNC",</v>
      </c>
      <c r="Q133" t="str">
        <v>"qty":30308</v>
      </c>
      <c r="S133" t="s">
        <v>2498</v>
      </c>
      <c r="T133" t="str">
        <f t="shared" si="128"/>
        <v>"id":"s115","cate":"Capacitor","des":"Capacitor 22PF K16V 0603","mfg":"SAMSUNG","pn":"CL10C220JB8NNNC","qty":30308</v>
      </c>
      <c r="U133" t="s">
        <v>2503</v>
      </c>
    </row>
    <row r="134" spans="5:21" x14ac:dyDescent="0.25">
      <c r="E134" t="s">
        <v>2126</v>
      </c>
      <c r="F134" t="s">
        <v>181</v>
      </c>
      <c r="G134" t="s">
        <v>57</v>
      </c>
      <c r="H134" t="s">
        <v>182</v>
      </c>
      <c r="I134">
        <v>25945</v>
      </c>
      <c r="K134" t="s">
        <v>2619</v>
      </c>
      <c r="L134" t="str">
        <f t="shared" si="127"/>
        <v>"id":"s116",</v>
      </c>
      <c r="M134" t="str">
        <v>"cate":"Capacitor",</v>
      </c>
      <c r="N134" t="str">
        <v>"des":"Capacitor 22PF K16V 0603",</v>
      </c>
      <c r="O134" t="str">
        <v>"mfg":"WALSIN",</v>
      </c>
      <c r="P134" t="str">
        <v>"pn":"0603N220J500CT",</v>
      </c>
      <c r="Q134" t="str">
        <v>"qty":30308</v>
      </c>
      <c r="S134" t="s">
        <v>2498</v>
      </c>
      <c r="T134" t="str">
        <f t="shared" si="128"/>
        <v>"id":"s116","cate":"Capacitor","des":"Capacitor 22PF K16V 0603","mfg":"WALSIN","pn":"0603N220J500CT","qty":30308</v>
      </c>
      <c r="U134" t="s">
        <v>2503</v>
      </c>
    </row>
    <row r="135" spans="5:21" x14ac:dyDescent="0.25">
      <c r="E135" t="s">
        <v>2127</v>
      </c>
      <c r="F135" t="s">
        <v>183</v>
      </c>
      <c r="G135" t="s">
        <v>184</v>
      </c>
      <c r="H135" t="s">
        <v>185</v>
      </c>
      <c r="I135">
        <v>24473</v>
      </c>
      <c r="K135" t="s">
        <v>2620</v>
      </c>
      <c r="L135" t="str">
        <f t="shared" si="127"/>
        <v>"id":"s117",</v>
      </c>
      <c r="M135" t="str">
        <v>"cate":"Resistor ",</v>
      </c>
      <c r="N135" t="str">
        <v>"des":"RST 1K 0,1W 5% 0603",</v>
      </c>
      <c r="O135" t="str">
        <v>"mfg":"YAGEO",</v>
      </c>
      <c r="P135" t="str">
        <v>"pn":"RC0603JR-071KL",</v>
      </c>
      <c r="Q135" t="str">
        <v>"qty":29486</v>
      </c>
      <c r="S135" t="s">
        <v>2498</v>
      </c>
      <c r="T135" t="str">
        <f t="shared" si="128"/>
        <v>"id":"s117","cate":"Resistor ","des":"RST 1K 0,1W 5% 0603","mfg":"YAGEO","pn":"RC0603JR-071KL","qty":29486</v>
      </c>
      <c r="U135" t="s">
        <v>2503</v>
      </c>
    </row>
    <row r="136" spans="5:21" x14ac:dyDescent="0.25">
      <c r="E136" t="s">
        <v>2127</v>
      </c>
      <c r="F136" t="s">
        <v>183</v>
      </c>
      <c r="G136" t="s">
        <v>186</v>
      </c>
      <c r="H136" t="s">
        <v>187</v>
      </c>
      <c r="I136">
        <v>24473</v>
      </c>
      <c r="K136" t="s">
        <v>2621</v>
      </c>
      <c r="L136" t="str">
        <f t="shared" si="127"/>
        <v>"id":"s118",</v>
      </c>
      <c r="M136" t="str">
        <v>"cate":"Resistor ",</v>
      </c>
      <c r="N136" t="str">
        <v>"des":"RST 1K 0,1W 5% 0603",</v>
      </c>
      <c r="O136" t="str">
        <v>"mfg":"WALSIN",</v>
      </c>
      <c r="P136" t="str">
        <v>"pn":"WR06X102JTL",</v>
      </c>
      <c r="Q136" t="str">
        <v>"qty":29486</v>
      </c>
      <c r="S136" t="s">
        <v>2498</v>
      </c>
      <c r="T136" t="str">
        <f t="shared" si="128"/>
        <v>"id":"s118","cate":"Resistor ","des":"RST 1K 0,1W 5% 0603","mfg":"WALSIN","pn":"WR06X102JTL","qty":29486</v>
      </c>
      <c r="U136" t="s">
        <v>2503</v>
      </c>
    </row>
    <row r="137" spans="5:21" x14ac:dyDescent="0.25">
      <c r="E137" t="s">
        <v>2194</v>
      </c>
      <c r="F137" t="s">
        <v>2214</v>
      </c>
      <c r="G137" t="s">
        <v>64</v>
      </c>
      <c r="H137" t="s">
        <v>188</v>
      </c>
      <c r="I137">
        <v>24183</v>
      </c>
      <c r="K137" t="s">
        <v>2622</v>
      </c>
      <c r="L137" t="str">
        <f t="shared" si="127"/>
        <v>"id":"s119",</v>
      </c>
      <c r="M137" t="str">
        <v>"cate":"Capacitor",</v>
      </c>
      <c r="N137" t="str">
        <v>"des":"Capacitor 1UF/50V 10%",</v>
      </c>
      <c r="O137" t="str">
        <v>"mfg":"YAGEO",</v>
      </c>
      <c r="P137" t="str">
        <v>"pn":"CC1206KKX7R9BB105",</v>
      </c>
      <c r="Q137" t="str">
        <v>"qty":29296</v>
      </c>
      <c r="S137" t="s">
        <v>2498</v>
      </c>
      <c r="T137" t="str">
        <f t="shared" si="128"/>
        <v>"id":"s119","cate":"Capacitor","des":"Capacitor 1UF/50V 10%","mfg":"YAGEO","pn":"CC1206KKX7R9BB105","qty":29296</v>
      </c>
      <c r="U137" t="s">
        <v>2503</v>
      </c>
    </row>
    <row r="138" spans="5:21" x14ac:dyDescent="0.25">
      <c r="E138" t="s">
        <v>2194</v>
      </c>
      <c r="F138" t="s">
        <v>2214</v>
      </c>
      <c r="G138" t="s">
        <v>10</v>
      </c>
      <c r="H138" t="s">
        <v>189</v>
      </c>
      <c r="I138">
        <v>24183</v>
      </c>
      <c r="K138" t="s">
        <v>2623</v>
      </c>
      <c r="L138" t="str">
        <f t="shared" si="127"/>
        <v>"id":"s120",</v>
      </c>
      <c r="M138" t="str">
        <v>"cate":"Capacitor",</v>
      </c>
      <c r="N138" t="str">
        <v>"des":"Capacitor 1UF/50V 10%",</v>
      </c>
      <c r="O138" t="str">
        <v>"mfg":"KEMET",</v>
      </c>
      <c r="P138" t="str">
        <v>"pn":"C1206C105K5RACTU",</v>
      </c>
      <c r="Q138" t="str">
        <v>"qty":29296</v>
      </c>
      <c r="S138" t="s">
        <v>2498</v>
      </c>
      <c r="T138" t="str">
        <f t="shared" si="128"/>
        <v>"id":"s120","cate":"Capacitor","des":"Capacitor 1UF/50V 10%","mfg":"KEMET","pn":"C1206C105K5RACTU","qty":29296</v>
      </c>
      <c r="U138" t="s">
        <v>2503</v>
      </c>
    </row>
    <row r="139" spans="5:21" x14ac:dyDescent="0.25">
      <c r="E139" t="s">
        <v>2193</v>
      </c>
      <c r="F139" t="s">
        <v>190</v>
      </c>
      <c r="G139" t="s">
        <v>13</v>
      </c>
      <c r="H139" t="s">
        <v>191</v>
      </c>
      <c r="I139">
        <v>23751</v>
      </c>
      <c r="K139" t="s">
        <v>2624</v>
      </c>
      <c r="L139" t="str">
        <f t="shared" si="127"/>
        <v>"id":"s121",</v>
      </c>
      <c r="M139" t="str">
        <v>"cate":"Capacitor",</v>
      </c>
      <c r="N139" t="str">
        <v>"des":"Capacitor 1UF/50V 10%",</v>
      </c>
      <c r="O139" t="str">
        <v>"mfg":"KEMET",</v>
      </c>
      <c r="P139" t="str">
        <v>"pn":"C1206C105K5RAC7800",</v>
      </c>
      <c r="Q139" t="str">
        <v>"qty":29296</v>
      </c>
      <c r="S139" t="s">
        <v>2498</v>
      </c>
      <c r="T139" t="str">
        <f t="shared" si="128"/>
        <v>"id":"s121","cate":"Capacitor","des":"Capacitor 1UF/50V 10%","mfg":"KEMET","pn":"C1206C105K5RAC7800","qty":29296</v>
      </c>
      <c r="U139" t="s">
        <v>2503</v>
      </c>
    </row>
    <row r="140" spans="5:21" x14ac:dyDescent="0.25">
      <c r="E140" t="s">
        <v>2194</v>
      </c>
      <c r="F140" t="s">
        <v>2215</v>
      </c>
      <c r="G140" t="s">
        <v>13</v>
      </c>
      <c r="H140" t="s">
        <v>192</v>
      </c>
      <c r="I140">
        <v>22990</v>
      </c>
      <c r="K140" t="s">
        <v>2625</v>
      </c>
      <c r="L140" t="str">
        <f t="shared" si="127"/>
        <v>"id":"s122",</v>
      </c>
      <c r="M140" t="str">
        <v>"cate":"Capacitor",</v>
      </c>
      <c r="N140" t="str">
        <v>"des":"Capacitor 1UF/50V 10%",</v>
      </c>
      <c r="O140" t="str">
        <v>"mfg":"SAMSUNG",</v>
      </c>
      <c r="P140" t="str">
        <v>"pn":"CL31B105KBHNNNE",</v>
      </c>
      <c r="Q140" t="str">
        <v>"qty":29296</v>
      </c>
      <c r="S140" t="s">
        <v>2498</v>
      </c>
      <c r="T140" t="str">
        <f t="shared" si="128"/>
        <v>"id":"s122","cate":"Capacitor","des":"Capacitor 1UF/50V 10%","mfg":"SAMSUNG","pn":"CL31B105KBHNNNE","qty":29296</v>
      </c>
      <c r="U140" t="s">
        <v>2503</v>
      </c>
    </row>
    <row r="141" spans="5:21" x14ac:dyDescent="0.25">
      <c r="E141" t="s">
        <v>2194</v>
      </c>
      <c r="F141" t="s">
        <v>2215</v>
      </c>
      <c r="G141" t="s">
        <v>47</v>
      </c>
      <c r="H141" t="s">
        <v>193</v>
      </c>
      <c r="I141">
        <v>22990</v>
      </c>
      <c r="K141" t="s">
        <v>2626</v>
      </c>
      <c r="L141" t="str">
        <f t="shared" si="127"/>
        <v>"id":"s123",</v>
      </c>
      <c r="M141" t="str">
        <v>"cate":"Capacitor",</v>
      </c>
      <c r="N141" t="str">
        <v>"des":"Capacitor 1UF/50V 10%",</v>
      </c>
      <c r="O141" t="str">
        <v>"mfg":"WALSIN",</v>
      </c>
      <c r="P141" t="str">
        <v>"pn":"1206B105K500LT",</v>
      </c>
      <c r="Q141" t="str">
        <v>"qty":29296</v>
      </c>
      <c r="S141" t="s">
        <v>2498</v>
      </c>
      <c r="T141" t="str">
        <f t="shared" si="128"/>
        <v>"id":"s123","cate":"Capacitor","des":"Capacitor 1UF/50V 10%","mfg":"WALSIN","pn":"1206B105K500LT","qty":29296</v>
      </c>
      <c r="U141" t="s">
        <v>2503</v>
      </c>
    </row>
    <row r="142" spans="5:21" x14ac:dyDescent="0.25">
      <c r="E142" t="s">
        <v>2194</v>
      </c>
      <c r="F142" t="s">
        <v>2216</v>
      </c>
      <c r="G142" t="s">
        <v>13</v>
      </c>
      <c r="H142" t="s">
        <v>194</v>
      </c>
      <c r="I142">
        <v>22775</v>
      </c>
      <c r="K142" t="s">
        <v>2627</v>
      </c>
      <c r="L142" t="str">
        <f t="shared" si="127"/>
        <v>"id":"s124",</v>
      </c>
      <c r="M142" t="str">
        <v>"cate":"LED ",</v>
      </c>
      <c r="N142" t="str">
        <v>"des":"LED SMD CL-RD 0603",</v>
      </c>
      <c r="O142" t="str">
        <v>"mfg":"EVERLIGHT",</v>
      </c>
      <c r="P142" t="str">
        <v>"pn":"19-217/R6C-P1Q2/3T",</v>
      </c>
      <c r="Q142" t="str">
        <v>"qty":28888</v>
      </c>
      <c r="S142" t="s">
        <v>2498</v>
      </c>
      <c r="T142" t="str">
        <f t="shared" si="128"/>
        <v>"id":"s124","cate":"LED ","des":"LED SMD CL-RD 0603","mfg":"EVERLIGHT","pn":"19-217/R6C-P1Q2/3T","qty":28888</v>
      </c>
      <c r="U142" t="s">
        <v>2503</v>
      </c>
    </row>
    <row r="143" spans="5:21" x14ac:dyDescent="0.25">
      <c r="E143" t="s">
        <v>2194</v>
      </c>
      <c r="F143" t="s">
        <v>2216</v>
      </c>
      <c r="G143" t="s">
        <v>10</v>
      </c>
      <c r="H143" t="s">
        <v>195</v>
      </c>
      <c r="I143">
        <v>22775</v>
      </c>
      <c r="K143" t="s">
        <v>2628</v>
      </c>
      <c r="L143" t="str">
        <f t="shared" si="127"/>
        <v>"id":"s125",</v>
      </c>
      <c r="M143" t="str">
        <v>"cate":"Resistor ",</v>
      </c>
      <c r="N143" t="str">
        <v>"des":"RST 22 0,1W 5% 0603",</v>
      </c>
      <c r="O143" t="str">
        <v>"mfg":"WALSIN",</v>
      </c>
      <c r="P143" t="str">
        <v>"pn":"WR06X220JTL",</v>
      </c>
      <c r="Q143" t="str">
        <v>"qty":28304</v>
      </c>
      <c r="S143" t="s">
        <v>2498</v>
      </c>
      <c r="T143" t="str">
        <f t="shared" si="128"/>
        <v>"id":"s125","cate":"Resistor ","des":"RST 22 0,1W 5% 0603","mfg":"WALSIN","pn":"WR06X220JTL","qty":28304</v>
      </c>
      <c r="U143" t="s">
        <v>2503</v>
      </c>
    </row>
    <row r="144" spans="5:21" x14ac:dyDescent="0.25">
      <c r="E144" t="s">
        <v>2194</v>
      </c>
      <c r="F144" t="s">
        <v>2216</v>
      </c>
      <c r="G144" t="s">
        <v>10</v>
      </c>
      <c r="H144" t="s">
        <v>196</v>
      </c>
      <c r="I144">
        <v>22775</v>
      </c>
      <c r="K144" t="s">
        <v>2629</v>
      </c>
      <c r="L144" t="str">
        <f t="shared" si="127"/>
        <v>"id":"s126",</v>
      </c>
      <c r="M144" t="str">
        <v>"cate":"Resistor ",</v>
      </c>
      <c r="N144" t="str">
        <v>"des":"RST 22 1/8W 5% 0805",</v>
      </c>
      <c r="O144" t="str">
        <v>"mfg":"PANASONIC",</v>
      </c>
      <c r="P144" t="str">
        <v>"pn":"ERJ-6GEYJ220V",</v>
      </c>
      <c r="Q144" t="str">
        <v>"qty":28125</v>
      </c>
      <c r="S144" t="s">
        <v>2498</v>
      </c>
      <c r="T144" t="str">
        <f t="shared" si="128"/>
        <v>"id":"s126","cate":"Resistor ","des":"RST 22 1/8W 5% 0805","mfg":"PANASONIC","pn":"ERJ-6GEYJ220V","qty":28125</v>
      </c>
      <c r="U144" t="s">
        <v>2503</v>
      </c>
    </row>
    <row r="145" spans="5:21" x14ac:dyDescent="0.25">
      <c r="E145" t="s">
        <v>2405</v>
      </c>
      <c r="F145" t="s">
        <v>2408</v>
      </c>
      <c r="G145" t="s">
        <v>2467</v>
      </c>
      <c r="H145" t="s">
        <v>197</v>
      </c>
      <c r="I145">
        <v>22083</v>
      </c>
      <c r="K145" t="s">
        <v>2630</v>
      </c>
      <c r="L145" t="str">
        <f t="shared" si="127"/>
        <v>"id":"s127",</v>
      </c>
      <c r="M145" t="str">
        <v>"cate":"Resistor ",</v>
      </c>
      <c r="N145" t="str">
        <v>"des":"RST 22 1/8W 5% 0805",</v>
      </c>
      <c r="O145" t="str">
        <v>"mfg":"WALSIN",</v>
      </c>
      <c r="P145" t="str">
        <v>"pn":"WR08X220 JTL",</v>
      </c>
      <c r="Q145" t="str">
        <v>"qty":28125</v>
      </c>
      <c r="S145" t="s">
        <v>2498</v>
      </c>
      <c r="T145" t="str">
        <f t="shared" si="128"/>
        <v>"id":"s127","cate":"Resistor ","des":"RST 22 1/8W 5% 0805","mfg":"WALSIN","pn":"WR08X220 JTL","qty":28125</v>
      </c>
      <c r="U145" t="s">
        <v>2503</v>
      </c>
    </row>
    <row r="146" spans="5:21" x14ac:dyDescent="0.25">
      <c r="E146" t="s">
        <v>2405</v>
      </c>
      <c r="F146" t="s">
        <v>2408</v>
      </c>
      <c r="G146" t="s">
        <v>2467</v>
      </c>
      <c r="H146" t="s">
        <v>198</v>
      </c>
      <c r="I146">
        <v>22083</v>
      </c>
      <c r="K146" t="s">
        <v>2631</v>
      </c>
      <c r="L146" t="str">
        <f t="shared" si="127"/>
        <v>"id":"s128",</v>
      </c>
      <c r="M146" t="str">
        <v>"cate":"Resistor ",</v>
      </c>
      <c r="N146" t="str">
        <v>"des":"RST 60,4 1/8W 1%SMD",</v>
      </c>
      <c r="O146" t="str">
        <v>"mfg":"WALSIN",</v>
      </c>
      <c r="P146" t="str">
        <v>"pn":"WR12X60R4FTL",</v>
      </c>
      <c r="Q146" t="str">
        <v>"qty":28072</v>
      </c>
      <c r="S146" t="s">
        <v>2498</v>
      </c>
      <c r="T146" t="str">
        <f t="shared" si="128"/>
        <v>"id":"s128","cate":"Resistor ","des":"RST 60,4 1/8W 1%SMD","mfg":"WALSIN","pn":"WR12X60R4FTL","qty":28072</v>
      </c>
      <c r="U146" t="s">
        <v>2503</v>
      </c>
    </row>
    <row r="147" spans="5:21" x14ac:dyDescent="0.25">
      <c r="E147" t="s">
        <v>2405</v>
      </c>
      <c r="F147" t="s">
        <v>2408</v>
      </c>
      <c r="G147" t="s">
        <v>28</v>
      </c>
      <c r="H147" t="s">
        <v>199</v>
      </c>
      <c r="I147">
        <v>22083</v>
      </c>
      <c r="K147" t="s">
        <v>2632</v>
      </c>
      <c r="L147" t="str">
        <f t="shared" si="127"/>
        <v>"id":"s129",</v>
      </c>
      <c r="M147" t="str">
        <v>"cate":"FUSE",</v>
      </c>
      <c r="N147" t="str">
        <v>"des":"FUSE 20A500V 6X32MM",</v>
      </c>
      <c r="O147" t="str">
        <v>"mfg":"LITTELFUSE",</v>
      </c>
      <c r="P147" t="str">
        <v>"pn":"0505020MXP",</v>
      </c>
      <c r="Q147" t="str">
        <v>"qty":25945</v>
      </c>
      <c r="S147" t="s">
        <v>2498</v>
      </c>
      <c r="T147" t="str">
        <f t="shared" si="128"/>
        <v>"id":"s129","cate":"FUSE","des":"FUSE 20A500V 6X32MM","mfg":"LITTELFUSE","pn":"0505020MXP","qty":25945</v>
      </c>
      <c r="U147" t="s">
        <v>2503</v>
      </c>
    </row>
    <row r="148" spans="5:21" x14ac:dyDescent="0.25">
      <c r="E148" t="s">
        <v>2405</v>
      </c>
      <c r="F148" t="s">
        <v>2408</v>
      </c>
      <c r="G148" t="s">
        <v>28</v>
      </c>
      <c r="H148" t="s">
        <v>200</v>
      </c>
      <c r="I148">
        <v>22083</v>
      </c>
      <c r="K148" t="s">
        <v>2633</v>
      </c>
      <c r="L148" t="str">
        <f t="shared" ref="L148:L211" si="129">_xlfn.CONCAT("""","id","""",":","""",K148,"""",",")</f>
        <v>"id":"s130",</v>
      </c>
      <c r="M148" t="str">
        <v>"cate":"IND ",</v>
      </c>
      <c r="N148" t="str">
        <v>"des":"IND 3,9NH 0,84A SMD",</v>
      </c>
      <c r="O148" t="str">
        <v>"mfg":"WURTH ELEKTRONIK",</v>
      </c>
      <c r="P148" t="str">
        <v>"pn":"744765039A",</v>
      </c>
      <c r="Q148" t="str">
        <v>"qty":24473</v>
      </c>
      <c r="S148" t="s">
        <v>2498</v>
      </c>
      <c r="T148" t="str">
        <f t="shared" ref="T148:T211" si="130">_xlfn.CONCAT(L148:Q148)</f>
        <v>"id":"s130","cate":"IND ","des":"IND 3,9NH 0,84A SMD","mfg":"WURTH ELEKTRONIK","pn":"744765039A","qty":24473</v>
      </c>
      <c r="U148" t="s">
        <v>2503</v>
      </c>
    </row>
    <row r="149" spans="5:21" x14ac:dyDescent="0.25">
      <c r="E149" s="6" t="s">
        <v>2494</v>
      </c>
      <c r="F149" t="s">
        <v>201</v>
      </c>
      <c r="G149" t="s">
        <v>202</v>
      </c>
      <c r="H149" s="6" t="s">
        <v>203</v>
      </c>
      <c r="I149">
        <v>21790</v>
      </c>
      <c r="K149" t="s">
        <v>2634</v>
      </c>
      <c r="L149" t="str">
        <f t="shared" si="129"/>
        <v>"id":"s131",</v>
      </c>
      <c r="M149" t="str">
        <v>"cate":"IND ",</v>
      </c>
      <c r="N149" t="str">
        <v>"des":"IND 3,9NH 0,84A SMD",</v>
      </c>
      <c r="O149" t="str">
        <v>"mfg":"PULSE",</v>
      </c>
      <c r="P149" t="str">
        <v>"pn":"BWCS001207073N9J00",</v>
      </c>
      <c r="Q149" t="str">
        <v>"qty":24473</v>
      </c>
      <c r="S149" t="s">
        <v>2498</v>
      </c>
      <c r="T149" t="str">
        <f t="shared" si="130"/>
        <v>"id":"s131","cate":"IND ","des":"IND 3,9NH 0,84A SMD","mfg":"PULSE","pn":"BWCS001207073N9J00","qty":24473</v>
      </c>
      <c r="U149" t="s">
        <v>2503</v>
      </c>
    </row>
    <row r="150" spans="5:21" x14ac:dyDescent="0.25">
      <c r="E150" t="s">
        <v>2194</v>
      </c>
      <c r="F150" t="s">
        <v>2217</v>
      </c>
      <c r="G150" t="s">
        <v>204</v>
      </c>
      <c r="H150" t="s">
        <v>205</v>
      </c>
      <c r="I150">
        <v>21459</v>
      </c>
      <c r="K150" t="s">
        <v>2635</v>
      </c>
      <c r="L150" t="str">
        <f t="shared" si="129"/>
        <v>"id":"s132",</v>
      </c>
      <c r="M150" t="str">
        <v>"cate":"Capacitor",</v>
      </c>
      <c r="N150" t="str">
        <v>"des":"Capacitor 10UF/10V 10%",</v>
      </c>
      <c r="O150" t="str">
        <v>"mfg":"MURATA MANUFACTURING",</v>
      </c>
      <c r="P150" t="str">
        <v>"pn":"GRM21BR71A106KA73L",</v>
      </c>
      <c r="Q150" t="str">
        <v>"qty":24183</v>
      </c>
      <c r="S150" t="s">
        <v>2498</v>
      </c>
      <c r="T150" t="str">
        <f t="shared" si="130"/>
        <v>"id":"s132","cate":"Capacitor","des":"Capacitor 10UF/10V 10%","mfg":"MURATA MANUFACTURING","pn":"GRM21BR71A106KA73L","qty":24183</v>
      </c>
      <c r="U150" t="s">
        <v>2503</v>
      </c>
    </row>
    <row r="151" spans="5:21" x14ac:dyDescent="0.25">
      <c r="E151" t="s">
        <v>2193</v>
      </c>
      <c r="F151" t="s">
        <v>206</v>
      </c>
      <c r="G151" t="s">
        <v>207</v>
      </c>
      <c r="H151" t="s">
        <v>208</v>
      </c>
      <c r="I151">
        <v>21103</v>
      </c>
      <c r="K151" t="s">
        <v>2636</v>
      </c>
      <c r="L151" t="str">
        <f t="shared" si="129"/>
        <v>"id":"s133",</v>
      </c>
      <c r="M151" t="str">
        <v>"cate":"Capacitor",</v>
      </c>
      <c r="N151" t="str">
        <v>"des":"Capacitor 10UF/10V 10%",</v>
      </c>
      <c r="O151" t="str">
        <v>"mfg":"WALSIN",</v>
      </c>
      <c r="P151" t="str">
        <v>"pn":"0805B106K100LT(CT)",</v>
      </c>
      <c r="Q151" t="str">
        <v>"qty":24183</v>
      </c>
      <c r="S151" t="s">
        <v>2498</v>
      </c>
      <c r="T151" t="str">
        <f t="shared" si="130"/>
        <v>"id":"s133","cate":"Capacitor","des":"Capacitor 10UF/10V 10%","mfg":"WALSIN","pn":"0805B106K100LT(CT)","qty":24183</v>
      </c>
      <c r="U151" t="s">
        <v>2503</v>
      </c>
    </row>
    <row r="152" spans="5:21" x14ac:dyDescent="0.25">
      <c r="E152" t="s">
        <v>2193</v>
      </c>
      <c r="F152" t="s">
        <v>209</v>
      </c>
      <c r="G152" t="s">
        <v>10</v>
      </c>
      <c r="H152" t="s">
        <v>210</v>
      </c>
      <c r="I152">
        <v>20892</v>
      </c>
      <c r="K152" t="s">
        <v>2637</v>
      </c>
      <c r="L152" t="str">
        <f t="shared" si="129"/>
        <v>"id":"s134",</v>
      </c>
      <c r="M152" t="str">
        <v>"cate":"Resistor ",</v>
      </c>
      <c r="N152" t="str">
        <v>"des":"RST 470K 1/8W 5%805",</v>
      </c>
      <c r="O152" t="str">
        <v>"mfg":"YAGEO",</v>
      </c>
      <c r="P152" t="str">
        <v>"pn":"RC0805FR-07470KL",</v>
      </c>
      <c r="Q152" t="str">
        <v>"qty":23751</v>
      </c>
      <c r="S152" t="s">
        <v>2498</v>
      </c>
      <c r="T152" t="str">
        <f t="shared" si="130"/>
        <v>"id":"s134","cate":"Resistor ","des":"RST 470K 1/8W 5%805","mfg":"YAGEO","pn":"RC0805FR-07470KL","qty":23751</v>
      </c>
      <c r="U152" t="s">
        <v>2503</v>
      </c>
    </row>
    <row r="153" spans="5:21" x14ac:dyDescent="0.25">
      <c r="E153" t="s">
        <v>2194</v>
      </c>
      <c r="F153" t="s">
        <v>2218</v>
      </c>
      <c r="G153" t="s">
        <v>13</v>
      </c>
      <c r="H153" t="s">
        <v>211</v>
      </c>
      <c r="I153">
        <v>20797</v>
      </c>
      <c r="K153" t="s">
        <v>2638</v>
      </c>
      <c r="L153" t="str">
        <f t="shared" si="129"/>
        <v>"id":"s135",</v>
      </c>
      <c r="M153" t="str">
        <v>"cate":"Capacitor",</v>
      </c>
      <c r="N153" t="str">
        <v>"des":"Capacitor 10NF/50V 10%-2",</v>
      </c>
      <c r="O153" t="str">
        <v>"mfg":"YAGEO",</v>
      </c>
      <c r="P153" t="str">
        <v>"pn":"CS0603KRX7R9BB103",</v>
      </c>
      <c r="Q153" t="str">
        <v>"qty":22990</v>
      </c>
      <c r="S153" t="s">
        <v>2498</v>
      </c>
      <c r="T153" t="str">
        <f t="shared" si="130"/>
        <v>"id":"s135","cate":"Capacitor","des":"Capacitor 10NF/50V 10%-2","mfg":"YAGEO","pn":"CS0603KRX7R9BB103","qty":22990</v>
      </c>
      <c r="U153" t="s">
        <v>2503</v>
      </c>
    </row>
    <row r="154" spans="5:21" x14ac:dyDescent="0.25">
      <c r="E154" t="s">
        <v>2194</v>
      </c>
      <c r="F154" t="s">
        <v>2218</v>
      </c>
      <c r="G154" t="s">
        <v>8</v>
      </c>
      <c r="H154" t="s">
        <v>212</v>
      </c>
      <c r="I154">
        <v>20797</v>
      </c>
      <c r="K154" t="s">
        <v>2639</v>
      </c>
      <c r="L154" t="str">
        <f t="shared" si="129"/>
        <v>"id":"s136",</v>
      </c>
      <c r="M154" t="str">
        <v>"cate":"Capacitor",</v>
      </c>
      <c r="N154" t="str">
        <v>"des":"Capacitor 10NF/50V 10%-2",</v>
      </c>
      <c r="O154" t="str">
        <v>"mfg":"KEMET",</v>
      </c>
      <c r="P154" t="str">
        <v>"pn":"C0603C103K5RACTU",</v>
      </c>
      <c r="Q154" t="str">
        <v>"qty":22990</v>
      </c>
      <c r="S154" t="s">
        <v>2498</v>
      </c>
      <c r="T154" t="str">
        <f t="shared" si="130"/>
        <v>"id":"s136","cate":"Capacitor","des":"Capacitor 10NF/50V 10%-2","mfg":"KEMET","pn":"C0603C103K5RACTU","qty":22990</v>
      </c>
      <c r="U154" t="s">
        <v>2503</v>
      </c>
    </row>
    <row r="155" spans="5:21" x14ac:dyDescent="0.25">
      <c r="E155" t="s">
        <v>2193</v>
      </c>
      <c r="F155" t="s">
        <v>213</v>
      </c>
      <c r="G155" t="s">
        <v>13</v>
      </c>
      <c r="H155" t="s">
        <v>214</v>
      </c>
      <c r="I155">
        <v>20778</v>
      </c>
      <c r="K155" t="s">
        <v>2640</v>
      </c>
      <c r="L155" t="str">
        <f t="shared" si="129"/>
        <v>"id":"s137",</v>
      </c>
      <c r="M155" t="str">
        <v>"cate":"Capacitor",</v>
      </c>
      <c r="N155" t="str">
        <v>"des":"Capacitor 100NF/25V 5%-2",</v>
      </c>
      <c r="O155" t="str">
        <v>"mfg":"YAGEO",</v>
      </c>
      <c r="P155" t="str">
        <v>"pn":"CC1206KRX7R9BB104",</v>
      </c>
      <c r="Q155" t="str">
        <v>"qty":22775</v>
      </c>
      <c r="S155" t="s">
        <v>2498</v>
      </c>
      <c r="T155" t="str">
        <f t="shared" si="130"/>
        <v>"id":"s137","cate":"Capacitor","des":"Capacitor 100NF/25V 5%-2","mfg":"YAGEO","pn":"CC1206KRX7R9BB104","qty":22775</v>
      </c>
      <c r="U155" t="s">
        <v>2503</v>
      </c>
    </row>
    <row r="156" spans="5:21" x14ac:dyDescent="0.25">
      <c r="E156" t="s">
        <v>2405</v>
      </c>
      <c r="F156" t="s">
        <v>2409</v>
      </c>
      <c r="G156" t="s">
        <v>26</v>
      </c>
      <c r="H156" t="s">
        <v>215</v>
      </c>
      <c r="I156">
        <v>20777</v>
      </c>
      <c r="K156" t="s">
        <v>2641</v>
      </c>
      <c r="L156" t="str">
        <f t="shared" si="129"/>
        <v>"id":"s138",</v>
      </c>
      <c r="M156" t="str">
        <v>"cate":"Capacitor",</v>
      </c>
      <c r="N156" t="str">
        <v>"des":"Capacitor 100NF/25V 5%-2",</v>
      </c>
      <c r="O156" t="str">
        <v>"mfg":"WALSIN",</v>
      </c>
      <c r="P156" t="str">
        <v>"pn":"1206B104K250CT",</v>
      </c>
      <c r="Q156" t="str">
        <v>"qty":22775</v>
      </c>
      <c r="S156" t="s">
        <v>2498</v>
      </c>
      <c r="T156" t="str">
        <f t="shared" si="130"/>
        <v>"id":"s138","cate":"Capacitor","des":"Capacitor 100NF/25V 5%-2","mfg":"WALSIN","pn":"1206B104K250CT","qty":22775</v>
      </c>
      <c r="U156" t="s">
        <v>2503</v>
      </c>
    </row>
    <row r="157" spans="5:21" x14ac:dyDescent="0.25">
      <c r="E157" t="s">
        <v>2405</v>
      </c>
      <c r="F157" t="s">
        <v>2409</v>
      </c>
      <c r="G157" t="s">
        <v>30</v>
      </c>
      <c r="H157" t="s">
        <v>215</v>
      </c>
      <c r="I157">
        <v>20777</v>
      </c>
      <c r="K157" t="s">
        <v>2642</v>
      </c>
      <c r="L157" t="str">
        <f t="shared" si="129"/>
        <v>"id":"s139",</v>
      </c>
      <c r="M157" t="str">
        <v>"cate":"Capacitor",</v>
      </c>
      <c r="N157" t="str">
        <v>"des":"Capacitor 100NF/25V 5%-2",</v>
      </c>
      <c r="O157" t="str">
        <v>"mfg":"WALSIN",</v>
      </c>
      <c r="P157" t="str">
        <v>"pn":"1206B104K500CT",</v>
      </c>
      <c r="Q157" t="str">
        <v>"qty":22775</v>
      </c>
      <c r="S157" t="s">
        <v>2498</v>
      </c>
      <c r="T157" t="str">
        <f t="shared" si="130"/>
        <v>"id":"s139","cate":"Capacitor","des":"Capacitor 100NF/25V 5%-2","mfg":"WALSIN","pn":"1206B104K500CT","qty":22775</v>
      </c>
      <c r="U157" t="s">
        <v>2503</v>
      </c>
    </row>
    <row r="158" spans="5:21" x14ac:dyDescent="0.25">
      <c r="E158" t="s">
        <v>2194</v>
      </c>
      <c r="F158" t="s">
        <v>2219</v>
      </c>
      <c r="G158" t="s">
        <v>47</v>
      </c>
      <c r="H158" t="s">
        <v>216</v>
      </c>
      <c r="I158">
        <v>20401</v>
      </c>
      <c r="K158" t="s">
        <v>2643</v>
      </c>
      <c r="L158" t="str">
        <f t="shared" si="129"/>
        <v>"id":"s140",</v>
      </c>
      <c r="M158" t="str">
        <v>"cate":"Diode",</v>
      </c>
      <c r="N158" t="str">
        <v>"des":"DiodeE 0,2A 70V SMD",</v>
      </c>
      <c r="O158" t="str">
        <v>"mfg":"DiodeES INC.",</v>
      </c>
      <c r="P158" t="str">
        <v>"pn":"BAV99-13-F",</v>
      </c>
      <c r="Q158" t="str">
        <v>"qty":22083</v>
      </c>
      <c r="S158" t="s">
        <v>2498</v>
      </c>
      <c r="T158" t="str">
        <f t="shared" si="130"/>
        <v>"id":"s140","cate":"Diode","des":"DiodeE 0,2A 70V SMD","mfg":"DiodeES INC.","pn":"BAV99-13-F","qty":22083</v>
      </c>
      <c r="U158" t="s">
        <v>2503</v>
      </c>
    </row>
    <row r="159" spans="5:21" x14ac:dyDescent="0.25">
      <c r="E159" t="s">
        <v>2194</v>
      </c>
      <c r="F159" t="s">
        <v>2219</v>
      </c>
      <c r="G159" t="s">
        <v>47</v>
      </c>
      <c r="H159" t="s">
        <v>217</v>
      </c>
      <c r="I159">
        <v>20401</v>
      </c>
      <c r="K159" t="s">
        <v>2644</v>
      </c>
      <c r="L159" t="str">
        <f t="shared" si="129"/>
        <v>"id":"s141",</v>
      </c>
      <c r="M159" t="str">
        <v>"cate":"Diode",</v>
      </c>
      <c r="N159" t="str">
        <v>"des":"DiodeE 0,2A 70V SMD",</v>
      </c>
      <c r="O159" t="str">
        <v>"mfg":"DiodeES INC.",</v>
      </c>
      <c r="P159" t="str">
        <v>"pn":"BAV99-7-F",</v>
      </c>
      <c r="Q159" t="str">
        <v>"qty":22083</v>
      </c>
      <c r="S159" t="s">
        <v>2498</v>
      </c>
      <c r="T159" t="str">
        <f t="shared" si="130"/>
        <v>"id":"s141","cate":"Diode","des":"DiodeE 0,2A 70V SMD","mfg":"DiodeES INC.","pn":"BAV99-7-F","qty":22083</v>
      </c>
      <c r="U159" t="s">
        <v>2503</v>
      </c>
    </row>
    <row r="160" spans="5:21" x14ac:dyDescent="0.25">
      <c r="E160" t="s">
        <v>2194</v>
      </c>
      <c r="F160" t="s">
        <v>2219</v>
      </c>
      <c r="G160" t="s">
        <v>64</v>
      </c>
      <c r="H160" t="s">
        <v>218</v>
      </c>
      <c r="I160">
        <v>20401</v>
      </c>
      <c r="K160" t="s">
        <v>2645</v>
      </c>
      <c r="L160" t="str">
        <f t="shared" si="129"/>
        <v>"id":"s142",</v>
      </c>
      <c r="M160" t="str">
        <v>"cate":"Diode",</v>
      </c>
      <c r="N160" t="str">
        <v>"des":"DiodeE 0,2A 70V SMD",</v>
      </c>
      <c r="O160" t="str">
        <v>"mfg":"ON SEMICONDUCTOR",</v>
      </c>
      <c r="P160" t="str">
        <v>"pn":"BAV99LT1G",</v>
      </c>
      <c r="Q160" t="str">
        <v>"qty":22083</v>
      </c>
      <c r="S160" t="s">
        <v>2498</v>
      </c>
      <c r="T160" t="str">
        <f t="shared" si="130"/>
        <v>"id":"s142","cate":"Diode","des":"DiodeE 0,2A 70V SMD","mfg":"ON SEMICONDUCTOR","pn":"BAV99LT1G","qty":22083</v>
      </c>
      <c r="U160" t="s">
        <v>2503</v>
      </c>
    </row>
    <row r="161" spans="5:21" x14ac:dyDescent="0.25">
      <c r="E161" t="s">
        <v>2405</v>
      </c>
      <c r="F161" t="s">
        <v>2410</v>
      </c>
      <c r="G161" t="s">
        <v>61</v>
      </c>
      <c r="H161" t="s">
        <v>219</v>
      </c>
      <c r="I161">
        <v>20236</v>
      </c>
      <c r="K161" t="s">
        <v>2646</v>
      </c>
      <c r="L161" t="str">
        <f t="shared" si="129"/>
        <v>"id":"s143",</v>
      </c>
      <c r="M161" t="str">
        <v>"cate":"Diode",</v>
      </c>
      <c r="N161" t="str">
        <v>"des":"DiodeE 0,2A 70V SMD",</v>
      </c>
      <c r="O161" t="str">
        <v>"mfg":"ON SEMICONDUCTOR",</v>
      </c>
      <c r="P161" t="str">
        <v>"pn":"SBAV99LT1G",</v>
      </c>
      <c r="Q161" t="str">
        <v>"qty":22083</v>
      </c>
      <c r="S161" t="s">
        <v>2498</v>
      </c>
      <c r="T161" t="str">
        <f t="shared" si="130"/>
        <v>"id":"s143","cate":"Diode","des":"DiodeE 0,2A 70V SMD","mfg":"ON SEMICONDUCTOR","pn":"SBAV99LT1G","qty":22083</v>
      </c>
      <c r="U161" t="s">
        <v>2503</v>
      </c>
    </row>
    <row r="162" spans="5:21" x14ac:dyDescent="0.25">
      <c r="E162" t="s">
        <v>2405</v>
      </c>
      <c r="F162" t="s">
        <v>2410</v>
      </c>
      <c r="G162" t="s">
        <v>220</v>
      </c>
      <c r="H162" t="s">
        <v>219</v>
      </c>
      <c r="I162">
        <v>20236</v>
      </c>
      <c r="K162" t="s">
        <v>2647</v>
      </c>
      <c r="L162" t="str">
        <f t="shared" si="129"/>
        <v>"id":"s144",</v>
      </c>
      <c r="M162" t="str">
        <v>"cate":"Connector",</v>
      </c>
      <c r="N162" t="str">
        <v>"des":"BUSBAR 1551953-1",</v>
      </c>
      <c r="O162" t="str">
        <v>"mfg":"TE CONNECTIVITY",</v>
      </c>
      <c r="P162" t="str">
        <v>"pn":"1551953-1",</v>
      </c>
      <c r="Q162" t="str">
        <v>"qty":21790</v>
      </c>
      <c r="S162" t="s">
        <v>2498</v>
      </c>
      <c r="T162" t="str">
        <f t="shared" si="130"/>
        <v>"id":"s144","cate":"Connector","des":"BUSBAR 1551953-1","mfg":"TE CONNECTIVITY","pn":"1551953-1","qty":21790</v>
      </c>
      <c r="U162" t="s">
        <v>2503</v>
      </c>
    </row>
    <row r="163" spans="5:21" x14ac:dyDescent="0.25">
      <c r="E163" t="s">
        <v>2123</v>
      </c>
      <c r="F163" t="s">
        <v>221</v>
      </c>
      <c r="G163" t="s">
        <v>130</v>
      </c>
      <c r="H163" t="s">
        <v>222</v>
      </c>
      <c r="I163">
        <v>19879</v>
      </c>
      <c r="K163" t="s">
        <v>2648</v>
      </c>
      <c r="L163" t="str">
        <f t="shared" si="129"/>
        <v>"id":"s145",</v>
      </c>
      <c r="M163" t="str">
        <v>"cate":"Capacitor",</v>
      </c>
      <c r="N163" t="str">
        <v>"des":"Capacitor 33UF/450V 20%2",</v>
      </c>
      <c r="O163" t="str">
        <v>"mfg":"SAMWHA",</v>
      </c>
      <c r="P163" t="str">
        <v>"pn":"RH2W336M12030BB",</v>
      </c>
      <c r="Q163" t="str">
        <v>"qty":21459</v>
      </c>
      <c r="S163" t="s">
        <v>2498</v>
      </c>
      <c r="T163" t="str">
        <f t="shared" si="130"/>
        <v>"id":"s145","cate":"Capacitor","des":"Capacitor 33UF/450V 20%2","mfg":"SAMWHA","pn":"RH2W336M12030BB","qty":21459</v>
      </c>
      <c r="U163" t="s">
        <v>2503</v>
      </c>
    </row>
    <row r="164" spans="5:21" x14ac:dyDescent="0.25">
      <c r="E164" t="s">
        <v>2123</v>
      </c>
      <c r="F164" t="s">
        <v>221</v>
      </c>
      <c r="G164" t="s">
        <v>130</v>
      </c>
      <c r="H164" t="s">
        <v>223</v>
      </c>
      <c r="I164">
        <v>19879</v>
      </c>
      <c r="K164" t="s">
        <v>2649</v>
      </c>
      <c r="L164" t="str">
        <f t="shared" si="129"/>
        <v>"id":"s146",</v>
      </c>
      <c r="M164" t="str">
        <v>"cate":"Resistor ",</v>
      </c>
      <c r="N164" t="str">
        <v>"des":"RST 10 1/4W 1% 1206",</v>
      </c>
      <c r="O164" t="str">
        <v>"mfg":"STACKPOLE ELECTRONICS INC",</v>
      </c>
      <c r="P164" t="str">
        <v>"pn":"RMCF1206FT10R0",</v>
      </c>
      <c r="Q164" t="str">
        <v>"qty":21103</v>
      </c>
      <c r="S164" t="s">
        <v>2498</v>
      </c>
      <c r="T164" t="str">
        <f t="shared" si="130"/>
        <v>"id":"s146","cate":"Resistor ","des":"RST 10 1/4W 1% 1206","mfg":"STACKPOLE ELECTRONICS INC","pn":"RMCF1206FT10R0","qty":21103</v>
      </c>
      <c r="U164" t="s">
        <v>2503</v>
      </c>
    </row>
    <row r="165" spans="5:21" x14ac:dyDescent="0.25">
      <c r="E165" t="s">
        <v>2123</v>
      </c>
      <c r="F165" t="s">
        <v>221</v>
      </c>
      <c r="G165" t="s">
        <v>224</v>
      </c>
      <c r="H165" t="s">
        <v>222</v>
      </c>
      <c r="I165">
        <v>19879</v>
      </c>
      <c r="K165" t="s">
        <v>2650</v>
      </c>
      <c r="L165" t="str">
        <f t="shared" si="129"/>
        <v>"id":"s147",</v>
      </c>
      <c r="M165" t="str">
        <v>"cate":"Resistor ",</v>
      </c>
      <c r="N165" t="str">
        <v>"des":"RST 15K 1/8W 5% 805",</v>
      </c>
      <c r="O165" t="str">
        <v>"mfg":"WALSIN",</v>
      </c>
      <c r="P165" t="str">
        <v>"pn":"WR08X153 JTL",</v>
      </c>
      <c r="Q165" t="str">
        <v>"qty":20892</v>
      </c>
      <c r="S165" t="s">
        <v>2498</v>
      </c>
      <c r="T165" t="str">
        <f t="shared" si="130"/>
        <v>"id":"s147","cate":"Resistor ","des":"RST 15K 1/8W 5% 805","mfg":"WALSIN","pn":"WR08X153 JTL","qty":20892</v>
      </c>
      <c r="U165" t="s">
        <v>2503</v>
      </c>
    </row>
    <row r="166" spans="5:21" x14ac:dyDescent="0.25">
      <c r="E166" s="6" t="s">
        <v>2382</v>
      </c>
      <c r="F166" t="s">
        <v>225</v>
      </c>
      <c r="G166" t="s">
        <v>226</v>
      </c>
      <c r="H166" t="s">
        <v>227</v>
      </c>
      <c r="I166">
        <v>19571</v>
      </c>
      <c r="K166" t="s">
        <v>2651</v>
      </c>
      <c r="L166" t="str">
        <f t="shared" si="129"/>
        <v>"id":"s148",</v>
      </c>
      <c r="M166" t="str">
        <v>"cate":"Capacitor",</v>
      </c>
      <c r="N166" t="str">
        <v>"des":"Capacitor 10UF/50V 1206",</v>
      </c>
      <c r="O166" t="str">
        <v>"mfg":"YAGEO",</v>
      </c>
      <c r="P166" t="str">
        <v>"pn":"CC1206KKX5R9BB106",</v>
      </c>
      <c r="Q166" t="str">
        <v>"qty":20797</v>
      </c>
      <c r="S166" t="s">
        <v>2498</v>
      </c>
      <c r="T166" t="str">
        <f t="shared" si="130"/>
        <v>"id":"s148","cate":"Capacitor","des":"Capacitor 10UF/50V 1206","mfg":"YAGEO","pn":"CC1206KKX5R9BB106","qty":20797</v>
      </c>
      <c r="U166" t="s">
        <v>2503</v>
      </c>
    </row>
    <row r="167" spans="5:21" x14ac:dyDescent="0.25">
      <c r="E167" s="6" t="s">
        <v>2382</v>
      </c>
      <c r="F167" t="s">
        <v>225</v>
      </c>
      <c r="G167" t="s">
        <v>228</v>
      </c>
      <c r="H167" t="s">
        <v>227</v>
      </c>
      <c r="I167">
        <v>19571</v>
      </c>
      <c r="K167" t="s">
        <v>2652</v>
      </c>
      <c r="L167" t="str">
        <f t="shared" si="129"/>
        <v>"id":"s149",</v>
      </c>
      <c r="M167" t="str">
        <v>"cate":"Capacitor",</v>
      </c>
      <c r="N167" t="str">
        <v>"des":"Capacitor 10UF/50V 1206",</v>
      </c>
      <c r="O167" t="str">
        <v>"mfg":"SAMSUNG",</v>
      </c>
      <c r="P167" t="str">
        <v>"pn":"CL31A106KBHNNNE",</v>
      </c>
      <c r="Q167" t="str">
        <v>"qty":20797</v>
      </c>
      <c r="S167" t="s">
        <v>2498</v>
      </c>
      <c r="T167" t="str">
        <f t="shared" si="130"/>
        <v>"id":"s149","cate":"Capacitor","des":"Capacitor 10UF/50V 1206","mfg":"SAMSUNG","pn":"CL31A106KBHNNNE","qty":20797</v>
      </c>
      <c r="U167" t="s">
        <v>2503</v>
      </c>
    </row>
    <row r="168" spans="5:21" x14ac:dyDescent="0.25">
      <c r="E168" t="s">
        <v>2193</v>
      </c>
      <c r="F168" t="s">
        <v>229</v>
      </c>
      <c r="G168" t="s">
        <v>10</v>
      </c>
      <c r="H168" t="s">
        <v>230</v>
      </c>
      <c r="I168">
        <v>19546</v>
      </c>
      <c r="K168" t="s">
        <v>2653</v>
      </c>
      <c r="L168" t="str">
        <f t="shared" si="129"/>
        <v>"id":"s150",</v>
      </c>
      <c r="M168" t="str">
        <v>"cate":"Resistor ",</v>
      </c>
      <c r="N168" t="str">
        <v>"des":"RST 274K 1/4W1%1206",</v>
      </c>
      <c r="O168" t="str">
        <v>"mfg":"YAGEO",</v>
      </c>
      <c r="P168" t="str">
        <v>"pn":"RC1206FR-07274KL",</v>
      </c>
      <c r="Q168" t="str">
        <v>"qty":20778</v>
      </c>
      <c r="S168" t="s">
        <v>2498</v>
      </c>
      <c r="T168" t="str">
        <f t="shared" si="130"/>
        <v>"id":"s150","cate":"Resistor ","des":"RST 274K 1/4W1%1206","mfg":"YAGEO","pn":"RC1206FR-07274KL","qty":20778</v>
      </c>
      <c r="U168" t="s">
        <v>2503</v>
      </c>
    </row>
    <row r="169" spans="5:21" x14ac:dyDescent="0.25">
      <c r="E169" s="6" t="s">
        <v>2382</v>
      </c>
      <c r="F169" t="s">
        <v>231</v>
      </c>
      <c r="G169" t="s">
        <v>2467</v>
      </c>
      <c r="H169" t="s">
        <v>232</v>
      </c>
      <c r="I169">
        <v>19501</v>
      </c>
      <c r="K169" t="s">
        <v>2654</v>
      </c>
      <c r="L169" t="str">
        <f t="shared" si="129"/>
        <v>"id":"s151",</v>
      </c>
      <c r="M169" t="str">
        <v>"cate":"Diode",</v>
      </c>
      <c r="N169" t="str">
        <v>"des":"DiodeE 15A 260W",</v>
      </c>
      <c r="O169" t="str">
        <v>"mfg":"NXP SEMICONDUCTORS",</v>
      </c>
      <c r="P169" t="str">
        <v>"pn":"PESD5V2S2UT,215",</v>
      </c>
      <c r="Q169" t="str">
        <v>"qty":20777</v>
      </c>
      <c r="S169" t="s">
        <v>2498</v>
      </c>
      <c r="T169" t="str">
        <f t="shared" si="130"/>
        <v>"id":"s151","cate":"Diode","des":"DiodeE 15A 260W","mfg":"NXP SEMICONDUCTORS","pn":"PESD5V2S2UT,215","qty":20777</v>
      </c>
      <c r="U169" t="s">
        <v>2503</v>
      </c>
    </row>
    <row r="170" spans="5:21" x14ac:dyDescent="0.25">
      <c r="E170" s="6" t="s">
        <v>2382</v>
      </c>
      <c r="F170" t="s">
        <v>231</v>
      </c>
      <c r="G170" t="s">
        <v>2467</v>
      </c>
      <c r="H170" t="s">
        <v>233</v>
      </c>
      <c r="I170">
        <v>19501</v>
      </c>
      <c r="K170" t="s">
        <v>2655</v>
      </c>
      <c r="L170" t="str">
        <f t="shared" si="129"/>
        <v>"id":"s152",</v>
      </c>
      <c r="M170" t="str">
        <v>"cate":"Diode",</v>
      </c>
      <c r="N170" t="str">
        <v>"des":"DiodeE 15A 260W",</v>
      </c>
      <c r="O170" t="str">
        <v>"mfg":"NEXPERIA",</v>
      </c>
      <c r="P170" t="str">
        <v>"pn":"PESD5V2S2UT,215",</v>
      </c>
      <c r="Q170" t="str">
        <v>"qty":20777</v>
      </c>
      <c r="S170" t="s">
        <v>2498</v>
      </c>
      <c r="T170" t="str">
        <f t="shared" si="130"/>
        <v>"id":"s152","cate":"Diode","des":"DiodeE 15A 260W","mfg":"NEXPERIA","pn":"PESD5V2S2UT,215","qty":20777</v>
      </c>
      <c r="U170" t="s">
        <v>2503</v>
      </c>
    </row>
    <row r="171" spans="5:21" x14ac:dyDescent="0.25">
      <c r="E171" t="s">
        <v>2130</v>
      </c>
      <c r="F171" t="s">
        <v>234</v>
      </c>
      <c r="G171" t="s">
        <v>235</v>
      </c>
      <c r="H171" t="s">
        <v>236</v>
      </c>
      <c r="I171">
        <v>19319</v>
      </c>
      <c r="K171" t="s">
        <v>2656</v>
      </c>
      <c r="L171" t="str">
        <f t="shared" si="129"/>
        <v>"id":"s153",</v>
      </c>
      <c r="M171" t="str">
        <v>"cate":"Capacitor",</v>
      </c>
      <c r="N171" t="str">
        <v>"des":"Capacitor 1UF 16V 0805",</v>
      </c>
      <c r="O171" t="str">
        <v>"mfg":"KEMET",</v>
      </c>
      <c r="P171" t="str">
        <v>"pn":"C0805C105K4RACTU",</v>
      </c>
      <c r="Q171" t="str">
        <v>"qty":20401</v>
      </c>
      <c r="S171" t="s">
        <v>2498</v>
      </c>
      <c r="T171" t="str">
        <f t="shared" si="130"/>
        <v>"id":"s153","cate":"Capacitor","des":"Capacitor 1UF 16V 0805","mfg":"KEMET","pn":"C0805C105K4RACTU","qty":20401</v>
      </c>
      <c r="U171" t="s">
        <v>2503</v>
      </c>
    </row>
    <row r="172" spans="5:21" x14ac:dyDescent="0.25">
      <c r="E172" t="s">
        <v>2130</v>
      </c>
      <c r="F172" t="s">
        <v>234</v>
      </c>
      <c r="G172" t="s">
        <v>235</v>
      </c>
      <c r="H172" t="s">
        <v>237</v>
      </c>
      <c r="I172">
        <v>19319</v>
      </c>
      <c r="K172" t="s">
        <v>2657</v>
      </c>
      <c r="L172" t="str">
        <f t="shared" si="129"/>
        <v>"id":"s154",</v>
      </c>
      <c r="M172" t="str">
        <v>"cate":"Capacitor",</v>
      </c>
      <c r="N172" t="str">
        <v>"des":"Capacitor 1UF 16V 0805",</v>
      </c>
      <c r="O172" t="str">
        <v>"mfg":"KEMET",</v>
      </c>
      <c r="P172" t="str">
        <v>"pn":"C0805C105K4RAC7800",</v>
      </c>
      <c r="Q172" t="str">
        <v>"qty":20401</v>
      </c>
      <c r="S172" t="s">
        <v>2498</v>
      </c>
      <c r="T172" t="str">
        <f t="shared" si="130"/>
        <v>"id":"s154","cate":"Capacitor","des":"Capacitor 1UF 16V 0805","mfg":"KEMET","pn":"C0805C105K4RAC7800","qty":20401</v>
      </c>
      <c r="U172" t="s">
        <v>2503</v>
      </c>
    </row>
    <row r="173" spans="5:21" x14ac:dyDescent="0.25">
      <c r="E173" t="s">
        <v>2194</v>
      </c>
      <c r="F173" t="s">
        <v>2220</v>
      </c>
      <c r="G173" t="s">
        <v>47</v>
      </c>
      <c r="H173" t="s">
        <v>238</v>
      </c>
      <c r="I173">
        <v>19090</v>
      </c>
      <c r="K173" t="s">
        <v>2658</v>
      </c>
      <c r="L173" t="str">
        <f t="shared" si="129"/>
        <v>"id":"s155",</v>
      </c>
      <c r="M173" t="str">
        <v>"cate":"Capacitor",</v>
      </c>
      <c r="N173" t="str">
        <v>"des":"Capacitor 1UF 16V 0805",</v>
      </c>
      <c r="O173" t="str">
        <v>"mfg":"MURATA MANUFACTURING",</v>
      </c>
      <c r="P173" t="str">
        <v>"pn":"GRM21BR71C105KA01",</v>
      </c>
      <c r="Q173" t="str">
        <v>"qty":20401</v>
      </c>
      <c r="S173" t="s">
        <v>2498</v>
      </c>
      <c r="T173" t="str">
        <f t="shared" si="130"/>
        <v>"id":"s155","cate":"Capacitor","des":"Capacitor 1UF 16V 0805","mfg":"MURATA MANUFACTURING","pn":"GRM21BR71C105KA01","qty":20401</v>
      </c>
      <c r="U173" t="s">
        <v>2503</v>
      </c>
    </row>
    <row r="174" spans="5:21" x14ac:dyDescent="0.25">
      <c r="E174" t="s">
        <v>2194</v>
      </c>
      <c r="F174" t="s">
        <v>2220</v>
      </c>
      <c r="G174" t="s">
        <v>8</v>
      </c>
      <c r="H174" t="s">
        <v>239</v>
      </c>
      <c r="I174">
        <v>19090</v>
      </c>
      <c r="K174" t="s">
        <v>2659</v>
      </c>
      <c r="L174" t="str">
        <f t="shared" si="129"/>
        <v>"id":"s156",</v>
      </c>
      <c r="M174" t="str">
        <v>"cate":"Diode",</v>
      </c>
      <c r="N174" t="str">
        <v>"des":"DiodeE TVS 220V 600W",</v>
      </c>
      <c r="O174" t="str">
        <v>"mfg":"STMICROELECTRONICS",</v>
      </c>
      <c r="P174" t="str">
        <v>"pn":"P6KE220CA",</v>
      </c>
      <c r="Q174" t="str">
        <v>"qty":20236</v>
      </c>
      <c r="S174" t="s">
        <v>2498</v>
      </c>
      <c r="T174" t="str">
        <f t="shared" si="130"/>
        <v>"id":"s156","cate":"Diode","des":"DiodeE TVS 220V 600W","mfg":"STMICROELECTRONICS","pn":"P6KE220CA","qty":20236</v>
      </c>
      <c r="U174" t="s">
        <v>2503</v>
      </c>
    </row>
    <row r="175" spans="5:21" x14ac:dyDescent="0.25">
      <c r="E175" t="s">
        <v>2194</v>
      </c>
      <c r="F175" t="s">
        <v>2220</v>
      </c>
      <c r="G175" t="s">
        <v>10</v>
      </c>
      <c r="H175" t="s">
        <v>240</v>
      </c>
      <c r="I175">
        <v>19090</v>
      </c>
      <c r="K175" t="s">
        <v>2660</v>
      </c>
      <c r="L175" t="str">
        <f t="shared" si="129"/>
        <v>"id":"s157",</v>
      </c>
      <c r="M175" t="str">
        <v>"cate":"Diode",</v>
      </c>
      <c r="N175" t="str">
        <v>"des":"DiodeE TVS 220V 600W",</v>
      </c>
      <c r="O175" t="str">
        <v>"mfg":"BRIGHTKING",</v>
      </c>
      <c r="P175" t="str">
        <v>"pn":"P6KE220CA",</v>
      </c>
      <c r="Q175" t="str">
        <v>"qty":20236</v>
      </c>
      <c r="S175" t="s">
        <v>2498</v>
      </c>
      <c r="T175" t="str">
        <f t="shared" si="130"/>
        <v>"id":"s157","cate":"Diode","des":"DiodeE TVS 220V 600W","mfg":"BRIGHTKING","pn":"P6KE220CA","qty":20236</v>
      </c>
      <c r="U175" t="s">
        <v>2503</v>
      </c>
    </row>
    <row r="176" spans="5:21" x14ac:dyDescent="0.25">
      <c r="E176" t="s">
        <v>2194</v>
      </c>
      <c r="F176" t="s">
        <v>2221</v>
      </c>
      <c r="G176" t="s">
        <v>8</v>
      </c>
      <c r="H176" t="s">
        <v>241</v>
      </c>
      <c r="I176">
        <v>18974</v>
      </c>
      <c r="K176" t="s">
        <v>2661</v>
      </c>
      <c r="L176" t="str">
        <f t="shared" si="129"/>
        <v>"id":"s158",</v>
      </c>
      <c r="M176" t="str">
        <v>"cate":"LED ",</v>
      </c>
      <c r="N176" t="str">
        <v>"des":"LED RED DIA 3 MM",</v>
      </c>
      <c r="O176" t="str">
        <v>"mfg":"EVERLIGHT",</v>
      </c>
      <c r="P176" t="str">
        <v>"pn":"HLMP1302",</v>
      </c>
      <c r="Q176" t="str">
        <v>"qty":19879</v>
      </c>
      <c r="S176" t="s">
        <v>2498</v>
      </c>
      <c r="T176" t="str">
        <f t="shared" si="130"/>
        <v>"id":"s158","cate":"LED ","des":"LED RED DIA 3 MM","mfg":"EVERLIGHT","pn":"HLMP1302","qty":19879</v>
      </c>
      <c r="U176" t="s">
        <v>2503</v>
      </c>
    </row>
    <row r="177" spans="5:21" x14ac:dyDescent="0.25">
      <c r="E177" t="s">
        <v>2194</v>
      </c>
      <c r="F177" t="s">
        <v>2221</v>
      </c>
      <c r="G177" t="s">
        <v>62</v>
      </c>
      <c r="H177" t="s">
        <v>242</v>
      </c>
      <c r="I177">
        <v>18974</v>
      </c>
      <c r="K177" t="s">
        <v>2662</v>
      </c>
      <c r="L177" t="str">
        <f t="shared" si="129"/>
        <v>"id":"s159",</v>
      </c>
      <c r="M177" t="str">
        <v>"cate":"LED ",</v>
      </c>
      <c r="N177" t="str">
        <v>"des":"LED RED DIA 3 MM",</v>
      </c>
      <c r="O177" t="str">
        <v>"mfg":"EVERLIGHT",</v>
      </c>
      <c r="P177" t="str">
        <v>"pn":"HLMP1302/QT264-3ID",</v>
      </c>
      <c r="Q177" t="str">
        <v>"qty":19879</v>
      </c>
      <c r="S177" t="s">
        <v>2498</v>
      </c>
      <c r="T177" t="str">
        <f t="shared" si="130"/>
        <v>"id":"s159","cate":"LED ","des":"LED RED DIA 3 MM","mfg":"EVERLIGHT","pn":"HLMP1302/QT264-3ID","qty":19879</v>
      </c>
      <c r="U177" t="s">
        <v>2503</v>
      </c>
    </row>
    <row r="178" spans="5:21" x14ac:dyDescent="0.25">
      <c r="E178" t="s">
        <v>2194</v>
      </c>
      <c r="F178" t="s">
        <v>2221</v>
      </c>
      <c r="G178" t="s">
        <v>10</v>
      </c>
      <c r="H178" t="s">
        <v>243</v>
      </c>
      <c r="I178">
        <v>18974</v>
      </c>
      <c r="K178" t="s">
        <v>2663</v>
      </c>
      <c r="L178" t="str">
        <f t="shared" si="129"/>
        <v>"id":"s160",</v>
      </c>
      <c r="M178" t="str">
        <v>"cate":"LED ",</v>
      </c>
      <c r="N178" t="str">
        <v>"des":"LED RED DIA 3 MM",</v>
      </c>
      <c r="O178" t="str">
        <v>"mfg":"SPC TECHNOLOGY",</v>
      </c>
      <c r="P178" t="str">
        <v>"pn":"HLMP1302",</v>
      </c>
      <c r="Q178" t="str">
        <v>"qty":19879</v>
      </c>
      <c r="S178" t="s">
        <v>2498</v>
      </c>
      <c r="T178" t="str">
        <f t="shared" si="130"/>
        <v>"id":"s160","cate":"LED ","des":"LED RED DIA 3 MM","mfg":"SPC TECHNOLOGY","pn":"HLMP1302","qty":19879</v>
      </c>
      <c r="U178" t="s">
        <v>2503</v>
      </c>
    </row>
    <row r="179" spans="5:21" x14ac:dyDescent="0.25">
      <c r="E179" t="s">
        <v>2193</v>
      </c>
      <c r="F179" t="s">
        <v>244</v>
      </c>
      <c r="G179" t="s">
        <v>13</v>
      </c>
      <c r="H179" t="s">
        <v>245</v>
      </c>
      <c r="I179">
        <v>18715</v>
      </c>
      <c r="K179" t="s">
        <v>2664</v>
      </c>
      <c r="L179" t="str">
        <f t="shared" si="129"/>
        <v>"id":"s161",</v>
      </c>
      <c r="M179" t="str">
        <v>"cate":"IC",</v>
      </c>
      <c r="N179" t="str">
        <v>"des":"IC RP171N331D-TR-FE",</v>
      </c>
      <c r="O179" t="str">
        <v>"mfg":"RICOH",</v>
      </c>
      <c r="P179" t="str">
        <v>"pn":"RP171N331D-TR-FE",</v>
      </c>
      <c r="Q179" t="str">
        <v>"qty":19571</v>
      </c>
      <c r="S179" t="s">
        <v>2498</v>
      </c>
      <c r="T179" t="str">
        <f t="shared" si="130"/>
        <v>"id":"s161","cate":"IC","des":"IC RP171N331D-TR-FE","mfg":"RICOH","pn":"RP171N331D-TR-FE","qty":19571</v>
      </c>
      <c r="U179" t="s">
        <v>2503</v>
      </c>
    </row>
    <row r="180" spans="5:21" x14ac:dyDescent="0.25">
      <c r="E180" t="s">
        <v>2131</v>
      </c>
      <c r="F180" t="s">
        <v>246</v>
      </c>
      <c r="G180" t="s">
        <v>160</v>
      </c>
      <c r="H180" t="s">
        <v>247</v>
      </c>
      <c r="I180">
        <v>18263</v>
      </c>
      <c r="K180" t="s">
        <v>2665</v>
      </c>
      <c r="L180" t="str">
        <f t="shared" si="129"/>
        <v>"id":"s162",</v>
      </c>
      <c r="M180" t="str">
        <v>"cate":"IC",</v>
      </c>
      <c r="N180" t="str">
        <v>"des":"IC RP171N331D-TR-FE",</v>
      </c>
      <c r="O180" t="str">
        <v>"mfg":"NISSHINBO",</v>
      </c>
      <c r="P180" t="str">
        <v>"pn":"RP171N331D-TR-FE",</v>
      </c>
      <c r="Q180" t="str">
        <v>"qty":19571</v>
      </c>
      <c r="S180" t="s">
        <v>2498</v>
      </c>
      <c r="T180" t="str">
        <f t="shared" si="130"/>
        <v>"id":"s162","cate":"IC","des":"IC RP171N331D-TR-FE","mfg":"NISSHINBO","pn":"RP171N331D-TR-FE","qty":19571</v>
      </c>
      <c r="U180" t="s">
        <v>2503</v>
      </c>
    </row>
    <row r="181" spans="5:21" x14ac:dyDescent="0.25">
      <c r="E181" t="s">
        <v>2131</v>
      </c>
      <c r="F181" t="s">
        <v>246</v>
      </c>
      <c r="G181" t="s">
        <v>160</v>
      </c>
      <c r="H181" t="s">
        <v>246</v>
      </c>
      <c r="I181">
        <v>18263</v>
      </c>
      <c r="K181" t="s">
        <v>2666</v>
      </c>
      <c r="L181" t="str">
        <f t="shared" si="129"/>
        <v>"id":"s163",</v>
      </c>
      <c r="M181" t="str">
        <v>"cate":"Resistor ",</v>
      </c>
      <c r="N181" t="str">
        <v>"des":"RST 10 0,1W 5% 0603",</v>
      </c>
      <c r="O181" t="str">
        <v>"mfg":"WALSIN",</v>
      </c>
      <c r="P181" t="str">
        <v>"pn":"WR06X100 JTL",</v>
      </c>
      <c r="Q181" t="str">
        <v>"qty":19546</v>
      </c>
      <c r="S181" t="s">
        <v>2498</v>
      </c>
      <c r="T181" t="str">
        <f t="shared" si="130"/>
        <v>"id":"s163","cate":"Resistor ","des":"RST 10 0,1W 5% 0603","mfg":"WALSIN","pn":"WR06X100 JTL","qty":19546</v>
      </c>
      <c r="U181" t="s">
        <v>2503</v>
      </c>
    </row>
    <row r="182" spans="5:21" x14ac:dyDescent="0.25">
      <c r="E182" t="s">
        <v>2131</v>
      </c>
      <c r="F182" t="s">
        <v>246</v>
      </c>
      <c r="G182" t="s">
        <v>160</v>
      </c>
      <c r="H182" t="s">
        <v>248</v>
      </c>
      <c r="I182">
        <v>18263</v>
      </c>
      <c r="K182" t="s">
        <v>2667</v>
      </c>
      <c r="L182" t="str">
        <f t="shared" si="129"/>
        <v>"id":"s164",</v>
      </c>
      <c r="M182" t="str">
        <v>"cate":"IC",</v>
      </c>
      <c r="N182" t="str">
        <v>"des":"IC AP1533SG",</v>
      </c>
      <c r="O182" t="str">
        <v>"mfg":"DiodeES INC.",</v>
      </c>
      <c r="P182" t="str">
        <v>"pn":"AP1510SG-13",</v>
      </c>
      <c r="Q182" t="str">
        <v>"qty":19501</v>
      </c>
      <c r="S182" t="s">
        <v>2498</v>
      </c>
      <c r="T182" t="str">
        <f t="shared" si="130"/>
        <v>"id":"s164","cate":"IC","des":"IC AP1533SG","mfg":"DiodeES INC.","pn":"AP1510SG-13","qty":19501</v>
      </c>
      <c r="U182" t="s">
        <v>2503</v>
      </c>
    </row>
    <row r="183" spans="5:21" x14ac:dyDescent="0.25">
      <c r="E183" t="s">
        <v>2194</v>
      </c>
      <c r="F183" t="s">
        <v>2222</v>
      </c>
      <c r="G183" t="s">
        <v>249</v>
      </c>
      <c r="H183" t="s">
        <v>250</v>
      </c>
      <c r="I183">
        <v>18030</v>
      </c>
      <c r="K183" t="s">
        <v>2668</v>
      </c>
      <c r="L183" t="str">
        <f t="shared" si="129"/>
        <v>"id":"s165",</v>
      </c>
      <c r="M183" t="str">
        <v>"cate":"IC",</v>
      </c>
      <c r="N183" t="str">
        <v>"des":"IC AP1533SG",</v>
      </c>
      <c r="O183" t="str">
        <v>"mfg":"DiodeES INC.",</v>
      </c>
      <c r="P183" t="str">
        <v>"pn":"AP1533SG-13",</v>
      </c>
      <c r="Q183" t="str">
        <v>"qty":19501</v>
      </c>
      <c r="S183" t="s">
        <v>2498</v>
      </c>
      <c r="T183" t="str">
        <f t="shared" si="130"/>
        <v>"id":"s165","cate":"IC","des":"IC AP1533SG","mfg":"DiodeES INC.","pn":"AP1533SG-13","qty":19501</v>
      </c>
      <c r="U183" t="s">
        <v>2503</v>
      </c>
    </row>
    <row r="184" spans="5:21" x14ac:dyDescent="0.25">
      <c r="E184" t="s">
        <v>2194</v>
      </c>
      <c r="F184" t="s">
        <v>2222</v>
      </c>
      <c r="G184" t="s">
        <v>204</v>
      </c>
      <c r="H184" t="s">
        <v>251</v>
      </c>
      <c r="I184">
        <v>18030</v>
      </c>
      <c r="K184" t="s">
        <v>2669</v>
      </c>
      <c r="L184" t="str">
        <f t="shared" si="129"/>
        <v>"id":"s166",</v>
      </c>
      <c r="M184" t="str">
        <v>"cate":"PIN ",</v>
      </c>
      <c r="N184" t="str">
        <v>"des":"PIN 0,7X0,7 MM",</v>
      </c>
      <c r="O184" t="str">
        <v>"mfg":"WELL FORE SPECIAL WIRE",</v>
      </c>
      <c r="P184" t="str">
        <v>"pn":"CPW 0.7X0.7MM 1/2H",</v>
      </c>
      <c r="Q184" t="str">
        <v>"qty":19319</v>
      </c>
      <c r="S184" t="s">
        <v>2498</v>
      </c>
      <c r="T184" t="str">
        <f t="shared" si="130"/>
        <v>"id":"s166","cate":"PIN ","des":"PIN 0,7X0,7 MM","mfg":"WELL FORE SPECIAL WIRE","pn":"CPW 0.7X0.7MM 1/2H","qty":19319</v>
      </c>
      <c r="U184" t="s">
        <v>2503</v>
      </c>
    </row>
    <row r="185" spans="5:21" x14ac:dyDescent="0.25">
      <c r="E185" t="s">
        <v>2193</v>
      </c>
      <c r="F185" t="s">
        <v>252</v>
      </c>
      <c r="G185" t="s">
        <v>10</v>
      </c>
      <c r="H185" t="s">
        <v>253</v>
      </c>
      <c r="I185">
        <v>17584</v>
      </c>
      <c r="K185" t="s">
        <v>2670</v>
      </c>
      <c r="L185" t="str">
        <f t="shared" si="129"/>
        <v>"id":"s167",</v>
      </c>
      <c r="M185" t="str">
        <v>"cate":"PIN ",</v>
      </c>
      <c r="N185" t="str">
        <v>"des":"PIN 0,7X0,7 MM",</v>
      </c>
      <c r="O185" t="str">
        <v>"mfg":"WELL FORE SPECIAL WIRE",</v>
      </c>
      <c r="P185" t="str">
        <v>"pn":"CPW 0.7X0.7MM3/4H",</v>
      </c>
      <c r="Q185" t="str">
        <v>"qty":19319</v>
      </c>
      <c r="S185" t="s">
        <v>2498</v>
      </c>
      <c r="T185" t="str">
        <f t="shared" si="130"/>
        <v>"id":"s167","cate":"PIN ","des":"PIN 0,7X0,7 MM","mfg":"WELL FORE SPECIAL WIRE","pn":"CPW 0.7X0.7MM3/4H","qty":19319</v>
      </c>
      <c r="U185" t="s">
        <v>2503</v>
      </c>
    </row>
    <row r="186" spans="5:21" x14ac:dyDescent="0.25">
      <c r="E186" t="s">
        <v>2193</v>
      </c>
      <c r="F186" t="s">
        <v>254</v>
      </c>
      <c r="G186" t="s">
        <v>13</v>
      </c>
      <c r="H186" t="s">
        <v>255</v>
      </c>
      <c r="I186">
        <v>17399</v>
      </c>
      <c r="K186" t="s">
        <v>2671</v>
      </c>
      <c r="L186" t="str">
        <f t="shared" si="129"/>
        <v>"id":"s168",</v>
      </c>
      <c r="M186" t="str">
        <v>"cate":"Capacitor",</v>
      </c>
      <c r="N186" t="str">
        <v>"des":"Capacitor 2,2NF K16V0603",</v>
      </c>
      <c r="O186" t="str">
        <v>"mfg":"KEMET",</v>
      </c>
      <c r="P186" t="str">
        <v>"pn":"C0603C222K5RACTU",</v>
      </c>
      <c r="Q186" t="str">
        <v>"qty":19090</v>
      </c>
      <c r="S186" t="s">
        <v>2498</v>
      </c>
      <c r="T186" t="str">
        <f t="shared" si="130"/>
        <v>"id":"s168","cate":"Capacitor","des":"Capacitor 2,2NF K16V0603","mfg":"KEMET","pn":"C0603C222K5RACTU","qty":19090</v>
      </c>
      <c r="U186" t="s">
        <v>2503</v>
      </c>
    </row>
    <row r="187" spans="5:21" x14ac:dyDescent="0.25">
      <c r="E187" s="6" t="s">
        <v>2382</v>
      </c>
      <c r="F187" t="s">
        <v>256</v>
      </c>
      <c r="G187" t="s">
        <v>257</v>
      </c>
      <c r="H187" t="s">
        <v>258</v>
      </c>
      <c r="I187">
        <v>17076</v>
      </c>
      <c r="K187" t="s">
        <v>2672</v>
      </c>
      <c r="L187" t="str">
        <f t="shared" si="129"/>
        <v>"id":"s169",</v>
      </c>
      <c r="M187" t="str">
        <v>"cate":"Capacitor",</v>
      </c>
      <c r="N187" t="str">
        <v>"des":"Capacitor 2,2NF K16V0603",</v>
      </c>
      <c r="O187" t="str">
        <v>"mfg":"SAMSUNG",</v>
      </c>
      <c r="P187" t="str">
        <v>"pn":"CL10B222KB8NNNC",</v>
      </c>
      <c r="Q187" t="str">
        <v>"qty":19090</v>
      </c>
      <c r="S187" t="s">
        <v>2498</v>
      </c>
      <c r="T187" t="str">
        <f t="shared" si="130"/>
        <v>"id":"s169","cate":"Capacitor","des":"Capacitor 2,2NF K16V0603","mfg":"SAMSUNG","pn":"CL10B222KB8NNNC","qty":19090</v>
      </c>
      <c r="U187" t="s">
        <v>2503</v>
      </c>
    </row>
    <row r="188" spans="5:21" x14ac:dyDescent="0.25">
      <c r="E188" s="6" t="s">
        <v>2382</v>
      </c>
      <c r="F188" t="s">
        <v>256</v>
      </c>
      <c r="G188" t="s">
        <v>28</v>
      </c>
      <c r="H188" t="s">
        <v>258</v>
      </c>
      <c r="I188">
        <v>17076</v>
      </c>
      <c r="K188" t="s">
        <v>2673</v>
      </c>
      <c r="L188" t="str">
        <f t="shared" si="129"/>
        <v>"id":"s170",</v>
      </c>
      <c r="M188" t="str">
        <v>"cate":"Capacitor",</v>
      </c>
      <c r="N188" t="str">
        <v>"des":"Capacitor 2,2NF K16V0603",</v>
      </c>
      <c r="O188" t="str">
        <v>"mfg":"WALSIN",</v>
      </c>
      <c r="P188" t="str">
        <v>"pn":"0603B222K500CT",</v>
      </c>
      <c r="Q188" t="str">
        <v>"qty":19090</v>
      </c>
      <c r="S188" t="s">
        <v>2498</v>
      </c>
      <c r="T188" t="str">
        <f t="shared" si="130"/>
        <v>"id":"s170","cate":"Capacitor","des":"Capacitor 2,2NF K16V0603","mfg":"WALSIN","pn":"0603B222K500CT","qty":19090</v>
      </c>
      <c r="U188" t="s">
        <v>2503</v>
      </c>
    </row>
    <row r="189" spans="5:21" x14ac:dyDescent="0.25">
      <c r="E189" t="s">
        <v>2193</v>
      </c>
      <c r="F189" t="s">
        <v>259</v>
      </c>
      <c r="G189" t="s">
        <v>13</v>
      </c>
      <c r="H189" t="s">
        <v>260</v>
      </c>
      <c r="I189">
        <v>17010</v>
      </c>
      <c r="K189" t="s">
        <v>2674</v>
      </c>
      <c r="L189" t="str">
        <f t="shared" si="129"/>
        <v>"id":"s171",</v>
      </c>
      <c r="M189" t="str">
        <v>"cate":"Capacitor",</v>
      </c>
      <c r="N189" t="str">
        <v>"des":"Capacitor 2,2UF/25V 1206",</v>
      </c>
      <c r="O189" t="str">
        <v>"mfg":"SAMSUNG",</v>
      </c>
      <c r="P189" t="str">
        <v>"pn":"CL31B225KAHNNNE",</v>
      </c>
      <c r="Q189" t="str">
        <v>"qty":18974</v>
      </c>
      <c r="S189" t="s">
        <v>2498</v>
      </c>
      <c r="T189" t="str">
        <f t="shared" si="130"/>
        <v>"id":"s171","cate":"Capacitor","des":"Capacitor 2,2UF/25V 1206","mfg":"SAMSUNG","pn":"CL31B225KAHNNNE","qty":18974</v>
      </c>
      <c r="U189" t="s">
        <v>2503</v>
      </c>
    </row>
    <row r="190" spans="5:21" x14ac:dyDescent="0.25">
      <c r="E190" t="s">
        <v>2194</v>
      </c>
      <c r="F190" t="s">
        <v>2223</v>
      </c>
      <c r="G190" t="s">
        <v>176</v>
      </c>
      <c r="H190" t="s">
        <v>261</v>
      </c>
      <c r="I190">
        <v>16992</v>
      </c>
      <c r="K190" t="s">
        <v>2675</v>
      </c>
      <c r="L190" t="str">
        <f t="shared" si="129"/>
        <v>"id":"s172",</v>
      </c>
      <c r="M190" t="str">
        <v>"cate":"Capacitor",</v>
      </c>
      <c r="N190" t="str">
        <v>"des":"Capacitor 2,2UF/25V 1206",</v>
      </c>
      <c r="O190" t="str">
        <v>"mfg":"TDK",</v>
      </c>
      <c r="P190" t="str">
        <v>"pn":"C3216X7R1E225K160AA",</v>
      </c>
      <c r="Q190" t="str">
        <v>"qty":18974</v>
      </c>
      <c r="S190" t="s">
        <v>2498</v>
      </c>
      <c r="T190" t="str">
        <f t="shared" si="130"/>
        <v>"id":"s172","cate":"Capacitor","des":"Capacitor 2,2UF/25V 1206","mfg":"TDK","pn":"C3216X7R1E225K160AA","qty":18974</v>
      </c>
      <c r="U190" t="s">
        <v>2503</v>
      </c>
    </row>
    <row r="191" spans="5:21" x14ac:dyDescent="0.25">
      <c r="E191" t="s">
        <v>2194</v>
      </c>
      <c r="F191" t="s">
        <v>2223</v>
      </c>
      <c r="G191" t="s">
        <v>37</v>
      </c>
      <c r="H191" t="s">
        <v>262</v>
      </c>
      <c r="I191">
        <v>16992</v>
      </c>
      <c r="K191" t="s">
        <v>2676</v>
      </c>
      <c r="L191" t="str">
        <f t="shared" si="129"/>
        <v>"id":"s173",</v>
      </c>
      <c r="M191" t="str">
        <v>"cate":"Capacitor",</v>
      </c>
      <c r="N191" t="str">
        <v>"des":"Capacitor 2,2UF/25V 1206",</v>
      </c>
      <c r="O191" t="str">
        <v>"mfg":"WALSIN",</v>
      </c>
      <c r="P191" t="str">
        <v>"pn":"1206B225K250CT",</v>
      </c>
      <c r="Q191" t="str">
        <v>"qty":18974</v>
      </c>
      <c r="S191" t="s">
        <v>2498</v>
      </c>
      <c r="T191" t="str">
        <f t="shared" si="130"/>
        <v>"id":"s173","cate":"Capacitor","des":"Capacitor 2,2UF/25V 1206","mfg":"WALSIN","pn":"1206B225K250CT","qty":18974</v>
      </c>
      <c r="U191" t="s">
        <v>2503</v>
      </c>
    </row>
    <row r="192" spans="5:21" x14ac:dyDescent="0.25">
      <c r="E192" t="s">
        <v>2194</v>
      </c>
      <c r="F192" t="s">
        <v>2223</v>
      </c>
      <c r="G192" t="s">
        <v>249</v>
      </c>
      <c r="H192" t="s">
        <v>263</v>
      </c>
      <c r="I192">
        <v>16992</v>
      </c>
      <c r="K192" t="s">
        <v>2677</v>
      </c>
      <c r="L192" t="str">
        <f t="shared" si="129"/>
        <v>"id":"s174",</v>
      </c>
      <c r="M192" t="str">
        <v>"cate":"Resistor ",</v>
      </c>
      <c r="N192" t="str">
        <v>"des":"RST 27M 1/8W5% 1206",</v>
      </c>
      <c r="O192" t="str">
        <v>"mfg":"YAGEO",</v>
      </c>
      <c r="P192" t="str">
        <v>"pn":"RV1206JR-0727ML",</v>
      </c>
      <c r="Q192" t="str">
        <v>"qty":18715</v>
      </c>
      <c r="S192" t="s">
        <v>2498</v>
      </c>
      <c r="T192" t="str">
        <f t="shared" si="130"/>
        <v>"id":"s174","cate":"Resistor ","des":"RST 27M 1/8W5% 1206","mfg":"YAGEO","pn":"RV1206JR-0727ML","qty":18715</v>
      </c>
      <c r="U192" t="s">
        <v>2503</v>
      </c>
    </row>
    <row r="193" spans="5:21" x14ac:dyDescent="0.25">
      <c r="E193" t="s">
        <v>2194</v>
      </c>
      <c r="F193" t="s">
        <v>2223</v>
      </c>
      <c r="G193" t="s">
        <v>204</v>
      </c>
      <c r="H193" t="s">
        <v>264</v>
      </c>
      <c r="I193">
        <v>16992</v>
      </c>
      <c r="K193" t="s">
        <v>2678</v>
      </c>
      <c r="L193" t="str">
        <f t="shared" si="129"/>
        <v>"id":"s175",</v>
      </c>
      <c r="M193" t="str">
        <v>"cate":"22-0",</v>
      </c>
      <c r="N193" t="str">
        <v>"des":"22-01-3027",</v>
      </c>
      <c r="O193" t="str">
        <v>"mfg":"MOLEX",</v>
      </c>
      <c r="P193" t="str">
        <v>"pn":"0022013027",</v>
      </c>
      <c r="Q193" t="str">
        <v>"qty":18263</v>
      </c>
      <c r="S193" t="s">
        <v>2498</v>
      </c>
      <c r="T193" t="str">
        <f t="shared" si="130"/>
        <v>"id":"s175","cate":"22-0","des":"22-01-3027","mfg":"MOLEX","pn":"0022013027","qty":18263</v>
      </c>
      <c r="U193" t="s">
        <v>2503</v>
      </c>
    </row>
    <row r="194" spans="5:21" x14ac:dyDescent="0.25">
      <c r="E194" t="s">
        <v>2133</v>
      </c>
      <c r="F194" t="s">
        <v>265</v>
      </c>
      <c r="G194" t="s">
        <v>160</v>
      </c>
      <c r="H194" t="s">
        <v>266</v>
      </c>
      <c r="I194">
        <v>16087</v>
      </c>
      <c r="K194" t="s">
        <v>2679</v>
      </c>
      <c r="L194" t="str">
        <f t="shared" si="129"/>
        <v>"id":"s176",</v>
      </c>
      <c r="M194" t="str">
        <v>"cate":"22-0",</v>
      </c>
      <c r="N194" t="str">
        <v>"des":"22-01-3027",</v>
      </c>
      <c r="O194" t="str">
        <v>"mfg":"MOLEX",</v>
      </c>
      <c r="P194" t="str">
        <v>"pn":"22-01-3027",</v>
      </c>
      <c r="Q194" t="str">
        <v>"qty":18263</v>
      </c>
      <c r="S194" t="s">
        <v>2498</v>
      </c>
      <c r="T194" t="str">
        <f t="shared" si="130"/>
        <v>"id":"s176","cate":"22-0","des":"22-01-3027","mfg":"MOLEX","pn":"22-01-3027","qty":18263</v>
      </c>
      <c r="U194" t="s">
        <v>2503</v>
      </c>
    </row>
    <row r="195" spans="5:21" x14ac:dyDescent="0.25">
      <c r="E195" t="s">
        <v>2193</v>
      </c>
      <c r="F195" t="s">
        <v>267</v>
      </c>
      <c r="G195" t="s">
        <v>13</v>
      </c>
      <c r="H195" t="s">
        <v>268</v>
      </c>
      <c r="I195">
        <v>15877</v>
      </c>
      <c r="K195" t="s">
        <v>2680</v>
      </c>
      <c r="L195" t="str">
        <f t="shared" si="129"/>
        <v>"id":"s177",</v>
      </c>
      <c r="M195" t="str">
        <v>"cate":"22-0",</v>
      </c>
      <c r="N195" t="str">
        <v>"des":"22-01-3027",</v>
      </c>
      <c r="O195" t="str">
        <v>"mfg":"MOLEX",</v>
      </c>
      <c r="P195" t="str">
        <v>"pn":"22013027",</v>
      </c>
      <c r="Q195" t="str">
        <v>"qty":18263</v>
      </c>
      <c r="S195" t="s">
        <v>2498</v>
      </c>
      <c r="T195" t="str">
        <f t="shared" si="130"/>
        <v>"id":"s177","cate":"22-0","des":"22-01-3027","mfg":"MOLEX","pn":"22013027","qty":18263</v>
      </c>
      <c r="U195" t="s">
        <v>2503</v>
      </c>
    </row>
    <row r="196" spans="5:21" x14ac:dyDescent="0.25">
      <c r="E196" t="s">
        <v>2194</v>
      </c>
      <c r="F196" t="s">
        <v>2224</v>
      </c>
      <c r="G196" t="s">
        <v>13</v>
      </c>
      <c r="H196" t="s">
        <v>269</v>
      </c>
      <c r="I196">
        <v>15572</v>
      </c>
      <c r="K196" t="s">
        <v>2681</v>
      </c>
      <c r="L196" t="str">
        <f t="shared" si="129"/>
        <v>"id":"s178",</v>
      </c>
      <c r="M196" t="str">
        <v>"cate":"Capacitor",</v>
      </c>
      <c r="N196" t="str">
        <v>"des":"Capacitor 1000UF/25V 20%",</v>
      </c>
      <c r="O196" t="str">
        <v>"mfg":"NICHICON",</v>
      </c>
      <c r="P196" t="str">
        <v>"pn":"UVZ1E102MPD1TD",</v>
      </c>
      <c r="Q196" t="str">
        <v>"qty":18030</v>
      </c>
      <c r="S196" t="s">
        <v>2498</v>
      </c>
      <c r="T196" t="str">
        <f t="shared" si="130"/>
        <v>"id":"s178","cate":"Capacitor","des":"Capacitor 1000UF/25V 20%","mfg":"NICHICON","pn":"UVZ1E102MPD1TD","qty":18030</v>
      </c>
      <c r="U196" t="s">
        <v>2503</v>
      </c>
    </row>
    <row r="197" spans="5:21" x14ac:dyDescent="0.25">
      <c r="E197" t="s">
        <v>2394</v>
      </c>
      <c r="F197" t="s">
        <v>2397</v>
      </c>
      <c r="G197" t="s">
        <v>62</v>
      </c>
      <c r="H197" t="s">
        <v>270</v>
      </c>
      <c r="I197">
        <v>15246</v>
      </c>
      <c r="K197" t="s">
        <v>2682</v>
      </c>
      <c r="L197" t="str">
        <f t="shared" si="129"/>
        <v>"id":"s179",</v>
      </c>
      <c r="M197" t="str">
        <v>"cate":"Capacitor",</v>
      </c>
      <c r="N197" t="str">
        <v>"des":"Capacitor 1000UF/25V 20%",</v>
      </c>
      <c r="O197" t="str">
        <v>"mfg":"SAMWHA",</v>
      </c>
      <c r="P197" t="str">
        <v>"pn":"RD1E108M10020PA159",</v>
      </c>
      <c r="Q197" t="str">
        <v>"qty":18030</v>
      </c>
      <c r="S197" t="s">
        <v>2498</v>
      </c>
      <c r="T197" t="str">
        <f t="shared" si="130"/>
        <v>"id":"s179","cate":"Capacitor","des":"Capacitor 1000UF/25V 20%","mfg":"SAMWHA","pn":"RD1E108M10020PA159","qty":18030</v>
      </c>
      <c r="U197" t="s">
        <v>2503</v>
      </c>
    </row>
    <row r="198" spans="5:21" x14ac:dyDescent="0.25">
      <c r="E198" t="s">
        <v>2193</v>
      </c>
      <c r="F198" t="s">
        <v>271</v>
      </c>
      <c r="G198" t="s">
        <v>176</v>
      </c>
      <c r="H198" t="s">
        <v>272</v>
      </c>
      <c r="I198">
        <v>15049</v>
      </c>
      <c r="K198" t="s">
        <v>2683</v>
      </c>
      <c r="L198" t="str">
        <f t="shared" si="129"/>
        <v>"id":"s180",</v>
      </c>
      <c r="M198" t="str">
        <v>"cate":"Resistor ",</v>
      </c>
      <c r="N198" t="str">
        <v>"des":"RST 1,5K 1/8W 5%805",</v>
      </c>
      <c r="O198" t="str">
        <v>"mfg":"WALSIN",</v>
      </c>
      <c r="P198" t="str">
        <v>"pn":"WR08X152JTL",</v>
      </c>
      <c r="Q198" t="str">
        <v>"qty":17584</v>
      </c>
      <c r="S198" t="s">
        <v>2498</v>
      </c>
      <c r="T198" t="str">
        <f t="shared" si="130"/>
        <v>"id":"s180","cate":"Resistor ","des":"RST 1,5K 1/8W 5%805","mfg":"WALSIN","pn":"WR08X152JTL","qty":17584</v>
      </c>
      <c r="U198" t="s">
        <v>2503</v>
      </c>
    </row>
    <row r="199" spans="5:21" x14ac:dyDescent="0.25">
      <c r="E199" t="s">
        <v>2193</v>
      </c>
      <c r="F199" t="s">
        <v>273</v>
      </c>
      <c r="G199" t="s">
        <v>10</v>
      </c>
      <c r="H199" t="s">
        <v>274</v>
      </c>
      <c r="I199">
        <v>14833</v>
      </c>
      <c r="K199" t="s">
        <v>2684</v>
      </c>
      <c r="L199" t="str">
        <f t="shared" si="129"/>
        <v>"id":"s181",</v>
      </c>
      <c r="M199" t="str">
        <v>"cate":"Resistor ",</v>
      </c>
      <c r="N199" t="str">
        <v>"des":"RST 10 1/8W 1% 805",</v>
      </c>
      <c r="O199" t="str">
        <v>"mfg":"YAGEO",</v>
      </c>
      <c r="P199" t="str">
        <v>"pn":"RC0805FR-0710RL",</v>
      </c>
      <c r="Q199" t="str">
        <v>"qty":17399</v>
      </c>
      <c r="S199" t="s">
        <v>2498</v>
      </c>
      <c r="T199" t="str">
        <f t="shared" si="130"/>
        <v>"id":"s181","cate":"Resistor ","des":"RST 10 1/8W 1% 805","mfg":"YAGEO","pn":"RC0805FR-0710RL","qty":17399</v>
      </c>
      <c r="U199" t="s">
        <v>2503</v>
      </c>
    </row>
    <row r="200" spans="5:21" x14ac:dyDescent="0.25">
      <c r="E200" t="s">
        <v>2194</v>
      </c>
      <c r="F200" t="s">
        <v>2225</v>
      </c>
      <c r="G200" t="s">
        <v>47</v>
      </c>
      <c r="H200" t="s">
        <v>275</v>
      </c>
      <c r="I200">
        <v>14627</v>
      </c>
      <c r="K200" t="s">
        <v>2685</v>
      </c>
      <c r="L200" t="str">
        <f t="shared" si="129"/>
        <v>"id":"s182",</v>
      </c>
      <c r="M200" t="str">
        <v>"cate":"IC",</v>
      </c>
      <c r="N200" t="str">
        <v>"des":"IC FAN3224TMPX",</v>
      </c>
      <c r="O200" t="str">
        <v>"mfg":"FAIRCHILD SEMICONDUCTOR",</v>
      </c>
      <c r="P200" t="str">
        <v>"pn":"FAN3224TMPX",</v>
      </c>
      <c r="Q200" t="str">
        <v>"qty":17076</v>
      </c>
      <c r="S200" t="s">
        <v>2498</v>
      </c>
      <c r="T200" t="str">
        <f t="shared" si="130"/>
        <v>"id":"s182","cate":"IC","des":"IC FAN3224TMPX","mfg":"FAIRCHILD SEMICONDUCTOR","pn":"FAN3224TMPX","qty":17076</v>
      </c>
      <c r="U200" t="s">
        <v>2503</v>
      </c>
    </row>
    <row r="201" spans="5:21" x14ac:dyDescent="0.25">
      <c r="E201" t="s">
        <v>2194</v>
      </c>
      <c r="F201" t="s">
        <v>2225</v>
      </c>
      <c r="G201" t="s">
        <v>37</v>
      </c>
      <c r="H201" t="s">
        <v>276</v>
      </c>
      <c r="I201">
        <v>14627</v>
      </c>
      <c r="K201" t="s">
        <v>2686</v>
      </c>
      <c r="L201" t="str">
        <f t="shared" si="129"/>
        <v>"id":"s183",</v>
      </c>
      <c r="M201" t="str">
        <v>"cate":"IC",</v>
      </c>
      <c r="N201" t="str">
        <v>"des":"IC FAN3224TMPX",</v>
      </c>
      <c r="O201" t="str">
        <v>"mfg":"ON SEMICONDUCTOR",</v>
      </c>
      <c r="P201" t="str">
        <v>"pn":"FAN3224TMPX",</v>
      </c>
      <c r="Q201" t="str">
        <v>"qty":17076</v>
      </c>
      <c r="S201" t="s">
        <v>2498</v>
      </c>
      <c r="T201" t="str">
        <f t="shared" si="130"/>
        <v>"id":"s183","cate":"IC","des":"IC FAN3224TMPX","mfg":"ON SEMICONDUCTOR","pn":"FAN3224TMPX","qty":17076</v>
      </c>
      <c r="U201" t="s">
        <v>2503</v>
      </c>
    </row>
    <row r="202" spans="5:21" x14ac:dyDescent="0.25">
      <c r="E202" t="s">
        <v>2193</v>
      </c>
      <c r="F202" t="s">
        <v>277</v>
      </c>
      <c r="G202" t="s">
        <v>13</v>
      </c>
      <c r="H202" t="s">
        <v>278</v>
      </c>
      <c r="I202">
        <v>14401</v>
      </c>
      <c r="K202" t="s">
        <v>2687</v>
      </c>
      <c r="L202" t="str">
        <f t="shared" si="129"/>
        <v>"id":"s184",</v>
      </c>
      <c r="M202" t="str">
        <v>"cate":"Resistor ",</v>
      </c>
      <c r="N202" t="str">
        <v>"des":"RST 1M 1/4W 1% 1206",</v>
      </c>
      <c r="O202" t="str">
        <v>"mfg":"YAGEO",</v>
      </c>
      <c r="P202" t="str">
        <v>"pn":"RC1206FR-071ML",</v>
      </c>
      <c r="Q202" t="str">
        <v>"qty":17010</v>
      </c>
      <c r="S202" t="s">
        <v>2498</v>
      </c>
      <c r="T202" t="str">
        <f t="shared" si="130"/>
        <v>"id":"s184","cate":"Resistor ","des":"RST 1M 1/4W 1% 1206","mfg":"YAGEO","pn":"RC1206FR-071ML","qty":17010</v>
      </c>
      <c r="U202" t="s">
        <v>2503</v>
      </c>
    </row>
    <row r="203" spans="5:21" x14ac:dyDescent="0.25">
      <c r="E203" t="s">
        <v>2193</v>
      </c>
      <c r="F203" t="s">
        <v>277</v>
      </c>
      <c r="G203" t="s">
        <v>13</v>
      </c>
      <c r="H203" t="s">
        <v>279</v>
      </c>
      <c r="I203">
        <v>14401</v>
      </c>
      <c r="K203" t="s">
        <v>2688</v>
      </c>
      <c r="L203" t="str">
        <f t="shared" si="129"/>
        <v>"id":"s185",</v>
      </c>
      <c r="M203" t="str">
        <v>"cate":"Capacitor",</v>
      </c>
      <c r="N203" t="str">
        <v>"des":"Capacitor 10UF/16V 10%-2",</v>
      </c>
      <c r="O203" t="str">
        <v>"mfg":"PANASONIC",</v>
      </c>
      <c r="P203" t="str">
        <v>"pn":"EEE-HA1V100R",</v>
      </c>
      <c r="Q203" t="str">
        <v>"qty":16992</v>
      </c>
      <c r="S203" t="s">
        <v>2498</v>
      </c>
      <c r="T203" t="str">
        <f t="shared" si="130"/>
        <v>"id":"s185","cate":"Capacitor","des":"Capacitor 10UF/16V 10%-2","mfg":"PANASONIC","pn":"EEE-HA1V100R","qty":16992</v>
      </c>
      <c r="U203" t="s">
        <v>2503</v>
      </c>
    </row>
    <row r="204" spans="5:21" x14ac:dyDescent="0.25">
      <c r="E204" t="s">
        <v>2130</v>
      </c>
      <c r="F204" t="s">
        <v>280</v>
      </c>
      <c r="G204" t="s">
        <v>235</v>
      </c>
      <c r="H204" t="s">
        <v>281</v>
      </c>
      <c r="I204">
        <v>14265</v>
      </c>
      <c r="K204" t="s">
        <v>2689</v>
      </c>
      <c r="L204" t="str">
        <f t="shared" si="129"/>
        <v>"id":"s186",</v>
      </c>
      <c r="M204" t="str">
        <v>"cate":"Capacitor",</v>
      </c>
      <c r="N204" t="str">
        <v>"des":"Capacitor 10UF/16V 10%-2",</v>
      </c>
      <c r="O204" t="str">
        <v>"mfg":"VISHAY",</v>
      </c>
      <c r="P204" t="str">
        <v>"pn":"MAL215370109E3",</v>
      </c>
      <c r="Q204" t="str">
        <v>"qty":16992</v>
      </c>
      <c r="S204" t="s">
        <v>2498</v>
      </c>
      <c r="T204" t="str">
        <f t="shared" si="130"/>
        <v>"id":"s186","cate":"Capacitor","des":"Capacitor 10UF/16V 10%-2","mfg":"VISHAY","pn":"MAL215370109E3","qty":16992</v>
      </c>
      <c r="U204" t="s">
        <v>2503</v>
      </c>
    </row>
    <row r="205" spans="5:21" x14ac:dyDescent="0.25">
      <c r="E205" t="s">
        <v>2193</v>
      </c>
      <c r="F205" t="s">
        <v>282</v>
      </c>
      <c r="G205" t="s">
        <v>13</v>
      </c>
      <c r="H205" t="s">
        <v>283</v>
      </c>
      <c r="I205">
        <v>14156</v>
      </c>
      <c r="K205" t="s">
        <v>2690</v>
      </c>
      <c r="L205" t="str">
        <f t="shared" si="129"/>
        <v>"id":"s187",</v>
      </c>
      <c r="M205" t="str">
        <v>"cate":"Capacitor",</v>
      </c>
      <c r="N205" t="str">
        <v>"des":"Capacitor 10UF/16V 10%-2",</v>
      </c>
      <c r="O205" t="str">
        <v>"mfg":"NICHICON",</v>
      </c>
      <c r="P205" t="str">
        <v>"pn":"UWT1V100MCL1GB",</v>
      </c>
      <c r="Q205" t="str">
        <v>"qty":16992</v>
      </c>
      <c r="S205" t="s">
        <v>2498</v>
      </c>
      <c r="T205" t="str">
        <f t="shared" si="130"/>
        <v>"id":"s187","cate":"Capacitor","des":"Capacitor 10UF/16V 10%-2","mfg":"NICHICON","pn":"UWT1V100MCL1GB","qty":16992</v>
      </c>
      <c r="U205" t="s">
        <v>2503</v>
      </c>
    </row>
    <row r="206" spans="5:21" x14ac:dyDescent="0.25">
      <c r="E206" t="s">
        <v>2193</v>
      </c>
      <c r="F206" t="s">
        <v>282</v>
      </c>
      <c r="G206" t="s">
        <v>13</v>
      </c>
      <c r="H206" t="s">
        <v>284</v>
      </c>
      <c r="I206">
        <v>14156</v>
      </c>
      <c r="K206" t="s">
        <v>2691</v>
      </c>
      <c r="L206" t="str">
        <f t="shared" si="129"/>
        <v>"id":"s188",</v>
      </c>
      <c r="M206" t="str">
        <v>"cate":"Capacitor",</v>
      </c>
      <c r="N206" t="str">
        <v>"des":"Capacitor 10UF/16V 10%-2",</v>
      </c>
      <c r="O206" t="str">
        <v>"mfg":"SAMWHA",</v>
      </c>
      <c r="P206" t="str">
        <v>"pn":"RC1V106M05005VR",</v>
      </c>
      <c r="Q206" t="str">
        <v>"qty":16992</v>
      </c>
      <c r="S206" t="s">
        <v>2498</v>
      </c>
      <c r="T206" t="str">
        <f t="shared" si="130"/>
        <v>"id":"s188","cate":"Capacitor","des":"Capacitor 10UF/16V 10%-2","mfg":"SAMWHA","pn":"RC1V106M05005VR","qty":16992</v>
      </c>
      <c r="U206" t="s">
        <v>2503</v>
      </c>
    </row>
    <row r="207" spans="5:21" x14ac:dyDescent="0.25">
      <c r="E207" t="s">
        <v>2193</v>
      </c>
      <c r="F207" t="s">
        <v>282</v>
      </c>
      <c r="G207" t="s">
        <v>10</v>
      </c>
      <c r="H207" t="s">
        <v>285</v>
      </c>
      <c r="I207">
        <v>14156</v>
      </c>
      <c r="K207" t="s">
        <v>2692</v>
      </c>
      <c r="L207" t="str">
        <f t="shared" si="129"/>
        <v>"id":"s189",</v>
      </c>
      <c r="M207" t="str">
        <v>"cate":"CTM ",</v>
      </c>
      <c r="N207" t="str">
        <v>"des":"CTM 42815-0012",</v>
      </c>
      <c r="O207" t="str">
        <v>"mfg":"MOLEX",</v>
      </c>
      <c r="P207" t="str">
        <v>"pn":"42815-0012",</v>
      </c>
      <c r="Q207" t="str">
        <v>"qty":16087</v>
      </c>
      <c r="S207" t="s">
        <v>2498</v>
      </c>
      <c r="T207" t="str">
        <f t="shared" si="130"/>
        <v>"id":"s189","cate":"CTM ","des":"CTM 42815-0012","mfg":"MOLEX","pn":"42815-0012","qty":16087</v>
      </c>
      <c r="U207" t="s">
        <v>2503</v>
      </c>
    </row>
    <row r="208" spans="5:21" x14ac:dyDescent="0.25">
      <c r="E208" t="s">
        <v>2193</v>
      </c>
      <c r="F208" t="s">
        <v>282</v>
      </c>
      <c r="G208" t="s">
        <v>202</v>
      </c>
      <c r="H208" t="s">
        <v>286</v>
      </c>
      <c r="I208">
        <v>14156</v>
      </c>
      <c r="K208" t="s">
        <v>2693</v>
      </c>
      <c r="L208" t="str">
        <f t="shared" si="129"/>
        <v>"id":"s190",</v>
      </c>
      <c r="M208" t="str">
        <v>"cate":"Resistor ",</v>
      </c>
      <c r="N208" t="str">
        <v>"des":"RST 680 1/8W 5% 805",</v>
      </c>
      <c r="O208" t="str">
        <v>"mfg":"YAGEO",</v>
      </c>
      <c r="P208" t="str">
        <v>"pn":"RC0805FR-07680RL",</v>
      </c>
      <c r="Q208" t="str">
        <v>"qty":15877</v>
      </c>
      <c r="S208" t="s">
        <v>2498</v>
      </c>
      <c r="T208" t="str">
        <f t="shared" si="130"/>
        <v>"id":"s190","cate":"Resistor ","des":"RST 680 1/8W 5% 805","mfg":"YAGEO","pn":"RC0805FR-07680RL","qty":15877</v>
      </c>
      <c r="U208" t="s">
        <v>2503</v>
      </c>
    </row>
    <row r="209" spans="5:21" x14ac:dyDescent="0.25">
      <c r="E209" s="6" t="s">
        <v>2489</v>
      </c>
      <c r="F209" t="s">
        <v>287</v>
      </c>
      <c r="G209" t="s">
        <v>57</v>
      </c>
      <c r="H209" t="s">
        <v>288</v>
      </c>
      <c r="I209">
        <v>14131</v>
      </c>
      <c r="K209" t="s">
        <v>2694</v>
      </c>
      <c r="L209" t="str">
        <f t="shared" si="129"/>
        <v>"id":"s191",</v>
      </c>
      <c r="M209" t="str">
        <v>"cate":"Capacitor",</v>
      </c>
      <c r="N209" t="str">
        <v>"des":"Capacitor 100NF 16V 0603",</v>
      </c>
      <c r="O209" t="str">
        <v>"mfg":"YAGEO",</v>
      </c>
      <c r="P209" t="str">
        <v>"pn":"CC0603KRX7R7BB104",</v>
      </c>
      <c r="Q209" t="str">
        <v>"qty":15572</v>
      </c>
      <c r="S209" t="s">
        <v>2498</v>
      </c>
      <c r="T209" t="str">
        <f t="shared" si="130"/>
        <v>"id":"s191","cate":"Capacitor","des":"Capacitor 100NF 16V 0603","mfg":"YAGEO","pn":"CC0603KRX7R7BB104","qty":15572</v>
      </c>
      <c r="U209" t="s">
        <v>2503</v>
      </c>
    </row>
    <row r="210" spans="5:21" x14ac:dyDescent="0.25">
      <c r="E210" s="6" t="s">
        <v>2489</v>
      </c>
      <c r="F210" t="s">
        <v>287</v>
      </c>
      <c r="G210" t="s">
        <v>57</v>
      </c>
      <c r="H210" t="s">
        <v>289</v>
      </c>
      <c r="I210">
        <v>14131</v>
      </c>
      <c r="K210" t="s">
        <v>2695</v>
      </c>
      <c r="L210" t="str">
        <f t="shared" si="129"/>
        <v>"id":"s192",</v>
      </c>
      <c r="M210" t="str">
        <v>"cate":"Choke Coil",</v>
      </c>
      <c r="N210" t="str">
        <v>"des":"Choke CoilE SMD 2,2U 2,8A",</v>
      </c>
      <c r="O210" t="str">
        <v>"mfg":"TDK",</v>
      </c>
      <c r="P210" t="str">
        <v>"pn":"LTF5022T-2R2N2R8-D",</v>
      </c>
      <c r="Q210" t="str">
        <v>"qty":15246</v>
      </c>
      <c r="S210" t="s">
        <v>2498</v>
      </c>
      <c r="T210" t="str">
        <f t="shared" si="130"/>
        <v>"id":"s192","cate":"Choke Coil","des":"Choke CoilE SMD 2,2U 2,8A","mfg":"TDK","pn":"LTF5022T-2R2N2R8-D","qty":15246</v>
      </c>
      <c r="U210" t="s">
        <v>2503</v>
      </c>
    </row>
    <row r="211" spans="5:21" x14ac:dyDescent="0.25">
      <c r="E211" t="s">
        <v>2194</v>
      </c>
      <c r="F211" t="s">
        <v>2226</v>
      </c>
      <c r="G211" t="s">
        <v>290</v>
      </c>
      <c r="H211" t="s">
        <v>291</v>
      </c>
      <c r="I211">
        <v>14015</v>
      </c>
      <c r="K211" t="s">
        <v>2696</v>
      </c>
      <c r="L211" t="str">
        <f t="shared" si="129"/>
        <v>"id":"s193",</v>
      </c>
      <c r="M211" t="str">
        <v>"cate":"Resistor ",</v>
      </c>
      <c r="N211" t="str">
        <v>"des":"RST 118K ,1W ,1%603",</v>
      </c>
      <c r="O211" t="str">
        <v>"mfg":"PANASONIC",</v>
      </c>
      <c r="P211" t="str">
        <v>"pn":"ERA-3AEB1183V",</v>
      </c>
      <c r="Q211" t="str">
        <v>"qty":15049</v>
      </c>
      <c r="S211" t="s">
        <v>2498</v>
      </c>
      <c r="T211" t="str">
        <f t="shared" si="130"/>
        <v>"id":"s193","cate":"Resistor ","des":"RST 118K ,1W ,1%603","mfg":"PANASONIC","pn":"ERA-3AEB1183V","qty":15049</v>
      </c>
      <c r="U211" t="s">
        <v>2503</v>
      </c>
    </row>
    <row r="212" spans="5:21" x14ac:dyDescent="0.25">
      <c r="E212" t="s">
        <v>2193</v>
      </c>
      <c r="F212" t="s">
        <v>292</v>
      </c>
      <c r="G212" t="s">
        <v>13</v>
      </c>
      <c r="H212" t="s">
        <v>293</v>
      </c>
      <c r="I212">
        <v>13724</v>
      </c>
      <c r="K212" t="s">
        <v>2697</v>
      </c>
      <c r="L212" t="str">
        <f t="shared" ref="L212:L275" si="131">_xlfn.CONCAT("""","id","""",":","""",K212,"""",",")</f>
        <v>"id":"s194",</v>
      </c>
      <c r="M212" t="str">
        <v>"cate":"Resistor ",</v>
      </c>
      <c r="N212" t="str">
        <v>"des":"RST 60,4 1/8W 1%805",</v>
      </c>
      <c r="O212" t="str">
        <v>"mfg":"WALSIN",</v>
      </c>
      <c r="P212" t="str">
        <v>"pn":"WR08X60R4FTL",</v>
      </c>
      <c r="Q212" t="str">
        <v>"qty":14833</v>
      </c>
      <c r="S212" t="s">
        <v>2498</v>
      </c>
      <c r="T212" t="str">
        <f t="shared" ref="T212:T275" si="132">_xlfn.CONCAT(L212:Q212)</f>
        <v>"id":"s194","cate":"Resistor ","des":"RST 60,4 1/8W 1%805","mfg":"WALSIN","pn":"WR08X60R4FTL","qty":14833</v>
      </c>
      <c r="U212" t="s">
        <v>2503</v>
      </c>
    </row>
    <row r="213" spans="5:21" x14ac:dyDescent="0.25">
      <c r="E213" t="s">
        <v>2405</v>
      </c>
      <c r="F213" t="s">
        <v>2411</v>
      </c>
      <c r="G213" t="s">
        <v>26</v>
      </c>
      <c r="H213" t="s">
        <v>294</v>
      </c>
      <c r="I213">
        <v>13180</v>
      </c>
      <c r="K213" t="s">
        <v>2698</v>
      </c>
      <c r="L213" t="str">
        <f t="shared" si="131"/>
        <v>"id":"s195",</v>
      </c>
      <c r="M213" t="str">
        <v>"cate":"Capacitor",</v>
      </c>
      <c r="N213" t="str">
        <v>"des":"Capacitor 22PF/50V 10%",</v>
      </c>
      <c r="O213" t="str">
        <v>"mfg":"KEMET",</v>
      </c>
      <c r="P213" t="str">
        <v>"pn":"C0603C220J5GACTU",</v>
      </c>
      <c r="Q213" t="str">
        <v>"qty":14627</v>
      </c>
      <c r="S213" t="s">
        <v>2498</v>
      </c>
      <c r="T213" t="str">
        <f t="shared" si="132"/>
        <v>"id":"s195","cate":"Capacitor","des":"Capacitor 22PF/50V 10%","mfg":"KEMET","pn":"C0603C220J5GACTU","qty":14627</v>
      </c>
      <c r="U213" t="s">
        <v>2503</v>
      </c>
    </row>
    <row r="214" spans="5:21" x14ac:dyDescent="0.25">
      <c r="E214" t="s">
        <v>2405</v>
      </c>
      <c r="F214" t="s">
        <v>2411</v>
      </c>
      <c r="G214" t="s">
        <v>28</v>
      </c>
      <c r="H214" t="s">
        <v>295</v>
      </c>
      <c r="I214">
        <v>13180</v>
      </c>
      <c r="K214" t="s">
        <v>2699</v>
      </c>
      <c r="L214" t="str">
        <f t="shared" si="131"/>
        <v>"id":"s196",</v>
      </c>
      <c r="M214" t="str">
        <v>"cate":"Capacitor",</v>
      </c>
      <c r="N214" t="str">
        <v>"des":"Capacitor 22PF/50V 10%",</v>
      </c>
      <c r="O214" t="str">
        <v>"mfg":"VISHAY",</v>
      </c>
      <c r="P214" t="str">
        <v>"pn":"VJ0603A220JXACW1BC",</v>
      </c>
      <c r="Q214" t="str">
        <v>"qty":14627</v>
      </c>
      <c r="S214" t="s">
        <v>2498</v>
      </c>
      <c r="T214" t="str">
        <f t="shared" si="132"/>
        <v>"id":"s196","cate":"Capacitor","des":"Capacitor 22PF/50V 10%","mfg":"VISHAY","pn":"VJ0603A220JXACW1BC","qty":14627</v>
      </c>
      <c r="U214" t="s">
        <v>2503</v>
      </c>
    </row>
    <row r="215" spans="5:21" x14ac:dyDescent="0.25">
      <c r="E215" t="s">
        <v>2405</v>
      </c>
      <c r="F215" t="s">
        <v>2411</v>
      </c>
      <c r="G215" t="s">
        <v>61</v>
      </c>
      <c r="H215" t="s">
        <v>296</v>
      </c>
      <c r="I215">
        <v>13180</v>
      </c>
      <c r="K215" t="s">
        <v>2700</v>
      </c>
      <c r="L215" t="str">
        <f t="shared" si="131"/>
        <v>"id":"s197",</v>
      </c>
      <c r="M215" t="str">
        <v>"cate":"Resistor ",</v>
      </c>
      <c r="N215" t="str">
        <v>"des":"RST 33K 1/8W 5% 805",</v>
      </c>
      <c r="O215" t="str">
        <v>"mfg":"YAGEO",</v>
      </c>
      <c r="P215" t="str">
        <v>"pn":"RC0805FR-07 33K",</v>
      </c>
      <c r="Q215" t="str">
        <v>"qty":14401</v>
      </c>
      <c r="S215" t="s">
        <v>2498</v>
      </c>
      <c r="T215" t="str">
        <f t="shared" si="132"/>
        <v>"id":"s197","cate":"Resistor ","des":"RST 33K 1/8W 5% 805","mfg":"YAGEO","pn":"RC0805FR-07 33K","qty":14401</v>
      </c>
      <c r="U215" t="s">
        <v>2503</v>
      </c>
    </row>
    <row r="216" spans="5:21" x14ac:dyDescent="0.25">
      <c r="E216" t="s">
        <v>2405</v>
      </c>
      <c r="F216" t="s">
        <v>2411</v>
      </c>
      <c r="G216" t="s">
        <v>297</v>
      </c>
      <c r="H216" t="s">
        <v>295</v>
      </c>
      <c r="I216">
        <v>13180</v>
      </c>
      <c r="K216" t="s">
        <v>2701</v>
      </c>
      <c r="L216" t="str">
        <f t="shared" si="131"/>
        <v>"id":"s198",</v>
      </c>
      <c r="M216" t="str">
        <v>"cate":"Resistor ",</v>
      </c>
      <c r="N216" t="str">
        <v>"des":"RST 33K 1/8W 5% 805",</v>
      </c>
      <c r="O216" t="str">
        <v>"mfg":"YAGEO",</v>
      </c>
      <c r="P216" t="str">
        <v>"pn":"RC0805FR-0733KL",</v>
      </c>
      <c r="Q216" t="str">
        <v>"qty":14401</v>
      </c>
      <c r="S216" t="s">
        <v>2498</v>
      </c>
      <c r="T216" t="str">
        <f t="shared" si="132"/>
        <v>"id":"s198","cate":"Resistor ","des":"RST 33K 1/8W 5% 805","mfg":"YAGEO","pn":"RC0805FR-0733KL","qty":14401</v>
      </c>
      <c r="U216" t="s">
        <v>2503</v>
      </c>
    </row>
    <row r="217" spans="5:21" x14ac:dyDescent="0.25">
      <c r="E217" t="s">
        <v>2405</v>
      </c>
      <c r="F217" t="s">
        <v>2411</v>
      </c>
      <c r="G217" t="s">
        <v>297</v>
      </c>
      <c r="H217" t="s">
        <v>298</v>
      </c>
      <c r="I217">
        <v>13180</v>
      </c>
      <c r="K217" t="s">
        <v>2702</v>
      </c>
      <c r="L217" t="str">
        <f t="shared" si="131"/>
        <v>"id":"s199",</v>
      </c>
      <c r="M217" t="str">
        <v>"cate":"PIN ",</v>
      </c>
      <c r="N217" t="str">
        <v>"des":"PIN 0,6X0,6 MM",</v>
      </c>
      <c r="O217" t="str">
        <v>"mfg":"WELL FORE SPECIAL WIRE",</v>
      </c>
      <c r="P217" t="str">
        <v>"pn":"CPW 0,6X0,6 MM 1/2H",</v>
      </c>
      <c r="Q217" t="str">
        <v>"qty":14265</v>
      </c>
      <c r="S217" t="s">
        <v>2498</v>
      </c>
      <c r="T217" t="str">
        <f t="shared" si="132"/>
        <v>"id":"s199","cate":"PIN ","des":"PIN 0,6X0,6 MM","mfg":"WELL FORE SPECIAL WIRE","pn":"CPW 0,6X0,6 MM 1/2H","qty":14265</v>
      </c>
      <c r="U217" t="s">
        <v>2503</v>
      </c>
    </row>
    <row r="218" spans="5:21" x14ac:dyDescent="0.25">
      <c r="E218" t="s">
        <v>2193</v>
      </c>
      <c r="F218" t="s">
        <v>299</v>
      </c>
      <c r="G218" t="s">
        <v>13</v>
      </c>
      <c r="H218" t="s">
        <v>300</v>
      </c>
      <c r="I218">
        <v>12575</v>
      </c>
      <c r="K218" t="s">
        <v>2703</v>
      </c>
      <c r="L218" t="str">
        <f t="shared" si="131"/>
        <v>"id":"s200",</v>
      </c>
      <c r="M218" t="str">
        <v>"cate":"Resistor ",</v>
      </c>
      <c r="N218" t="str">
        <v>"des":"RST 3,9 2W 5% 2512",</v>
      </c>
      <c r="O218" t="str">
        <v>"mfg":"YAGEO",</v>
      </c>
      <c r="P218" t="str">
        <v>"pn":"RC2512FK-073R9L",</v>
      </c>
      <c r="Q218" t="str">
        <v>"qty":14156</v>
      </c>
      <c r="S218" t="s">
        <v>2498</v>
      </c>
      <c r="T218" t="str">
        <f t="shared" si="132"/>
        <v>"id":"s200","cate":"Resistor ","des":"RST 3,9 2W 5% 2512","mfg":"YAGEO","pn":"RC2512FK-073R9L","qty":14156</v>
      </c>
      <c r="U218" t="s">
        <v>2503</v>
      </c>
    </row>
    <row r="219" spans="5:21" x14ac:dyDescent="0.25">
      <c r="E219" t="s">
        <v>2193</v>
      </c>
      <c r="F219" t="s">
        <v>299</v>
      </c>
      <c r="G219" t="s">
        <v>10</v>
      </c>
      <c r="H219" t="s">
        <v>301</v>
      </c>
      <c r="I219">
        <v>12575</v>
      </c>
      <c r="K219" t="s">
        <v>2704</v>
      </c>
      <c r="L219" t="str">
        <f t="shared" si="131"/>
        <v>"id":"s201",</v>
      </c>
      <c r="M219" t="str">
        <v>"cate":"Resistor ",</v>
      </c>
      <c r="N219" t="str">
        <v>"des":"RST 3,9 2W 5% 2512",</v>
      </c>
      <c r="O219" t="str">
        <v>"mfg":"YAGEO",</v>
      </c>
      <c r="P219" t="str">
        <v>"pn":"RC2512JK-7W3R9L",</v>
      </c>
      <c r="Q219" t="str">
        <v>"qty":14156</v>
      </c>
      <c r="S219" t="s">
        <v>2498</v>
      </c>
      <c r="T219" t="str">
        <f t="shared" si="132"/>
        <v>"id":"s201","cate":"Resistor ","des":"RST 3,9 2W 5% 2512","mfg":"YAGEO","pn":"RC2512JK-7W3R9L","qty":14156</v>
      </c>
      <c r="U219" t="s">
        <v>2503</v>
      </c>
    </row>
    <row r="220" spans="5:21" x14ac:dyDescent="0.25">
      <c r="E220" t="s">
        <v>2193</v>
      </c>
      <c r="F220" t="s">
        <v>302</v>
      </c>
      <c r="G220" t="s">
        <v>5</v>
      </c>
      <c r="H220" t="s">
        <v>303</v>
      </c>
      <c r="I220">
        <v>12539</v>
      </c>
      <c r="K220" t="s">
        <v>2705</v>
      </c>
      <c r="L220" t="str">
        <f t="shared" si="131"/>
        <v>"id":"s202",</v>
      </c>
      <c r="M220" t="str">
        <v>"cate":"Resistor ",</v>
      </c>
      <c r="N220" t="str">
        <v>"des":"RST 3,9 2W 5% 2512",</v>
      </c>
      <c r="O220" t="str">
        <v>"mfg":"WALSIN",</v>
      </c>
      <c r="P220" t="str">
        <v>"pn":"WF25P3R9JTL",</v>
      </c>
      <c r="Q220" t="str">
        <v>"qty":14156</v>
      </c>
      <c r="S220" t="s">
        <v>2498</v>
      </c>
      <c r="T220" t="str">
        <f t="shared" si="132"/>
        <v>"id":"s202","cate":"Resistor ","des":"RST 3,9 2W 5% 2512","mfg":"WALSIN","pn":"WF25P3R9JTL","qty":14156</v>
      </c>
      <c r="U220" t="s">
        <v>2503</v>
      </c>
    </row>
    <row r="221" spans="5:21" x14ac:dyDescent="0.25">
      <c r="E221" t="s">
        <v>2193</v>
      </c>
      <c r="F221" t="s">
        <v>302</v>
      </c>
      <c r="G221" t="s">
        <v>5</v>
      </c>
      <c r="H221" t="s">
        <v>304</v>
      </c>
      <c r="I221">
        <v>12539</v>
      </c>
      <c r="K221" t="s">
        <v>2706</v>
      </c>
      <c r="L221" t="str">
        <f t="shared" si="131"/>
        <v>"id":"s203",</v>
      </c>
      <c r="M221" t="str">
        <v>"cate":"Resistor ",</v>
      </c>
      <c r="N221" t="str">
        <v>"des":"RST 3,9 2W 5% 2512",</v>
      </c>
      <c r="O221" t="str">
        <v>"mfg":"TE CONNECTIVITY",</v>
      </c>
      <c r="P221" t="str">
        <v>"pn":"CRGH2512J3R9",</v>
      </c>
      <c r="Q221" t="str">
        <v>"qty":14156</v>
      </c>
      <c r="S221" t="s">
        <v>2498</v>
      </c>
      <c r="T221" t="str">
        <f t="shared" si="132"/>
        <v>"id":"s203","cate":"Resistor ","des":"RST 3,9 2W 5% 2512","mfg":"TE CONNECTIVITY","pn":"CRGH2512J3R9","qty":14156</v>
      </c>
      <c r="U221" t="s">
        <v>2503</v>
      </c>
    </row>
    <row r="222" spans="5:21" x14ac:dyDescent="0.25">
      <c r="E222" t="s">
        <v>2193</v>
      </c>
      <c r="F222" t="s">
        <v>305</v>
      </c>
      <c r="G222" t="s">
        <v>13</v>
      </c>
      <c r="H222" t="s">
        <v>306</v>
      </c>
      <c r="I222">
        <v>12284</v>
      </c>
      <c r="K222" t="s">
        <v>2707</v>
      </c>
      <c r="L222" t="str">
        <f t="shared" si="131"/>
        <v>"id":"s204",</v>
      </c>
      <c r="M222" t="str">
        <v>"cate":"Var Resistor",</v>
      </c>
      <c r="N222" t="str">
        <v>"des":"VAR 320V LA20-02",</v>
      </c>
      <c r="O222" t="str">
        <v>"mfg":"LITTELFUSE",</v>
      </c>
      <c r="P222" t="str">
        <v>"pn":"V320LA20AP",</v>
      </c>
      <c r="Q222" t="str">
        <v>"qty":14131</v>
      </c>
      <c r="S222" t="s">
        <v>2498</v>
      </c>
      <c r="T222" t="str">
        <f t="shared" si="132"/>
        <v>"id":"s204","cate":"Var Resistor","des":"VAR 320V LA20-02","mfg":"LITTELFUSE","pn":"V320LA20AP","qty":14131</v>
      </c>
      <c r="U222" t="s">
        <v>2503</v>
      </c>
    </row>
    <row r="223" spans="5:21" x14ac:dyDescent="0.25">
      <c r="E223" t="s">
        <v>2394</v>
      </c>
      <c r="F223" t="s">
        <v>2398</v>
      </c>
      <c r="G223" t="s">
        <v>184</v>
      </c>
      <c r="H223" t="s">
        <v>307</v>
      </c>
      <c r="I223">
        <v>12079</v>
      </c>
      <c r="K223" t="s">
        <v>2708</v>
      </c>
      <c r="L223" t="str">
        <f t="shared" si="131"/>
        <v>"id":"s205",</v>
      </c>
      <c r="M223" t="str">
        <v>"cate":"Var Resistor",</v>
      </c>
      <c r="N223" t="str">
        <v>"des":"VAR 320V LA20-02",</v>
      </c>
      <c r="O223" t="str">
        <v>"mfg":"LITTELFUSE",</v>
      </c>
      <c r="P223" t="str">
        <v>"pn":"V320LA20APW",</v>
      </c>
      <c r="Q223" t="str">
        <v>"qty":14131</v>
      </c>
      <c r="S223" t="s">
        <v>2498</v>
      </c>
      <c r="T223" t="str">
        <f t="shared" si="132"/>
        <v>"id":"s205","cate":"Var Resistor","des":"VAR 320V LA20-02","mfg":"LITTELFUSE","pn":"V320LA20APW","qty":14131</v>
      </c>
      <c r="U223" t="s">
        <v>2503</v>
      </c>
    </row>
    <row r="224" spans="5:21" x14ac:dyDescent="0.25">
      <c r="E224" t="s">
        <v>2193</v>
      </c>
      <c r="F224" t="s">
        <v>308</v>
      </c>
      <c r="G224" t="s">
        <v>13</v>
      </c>
      <c r="H224" t="s">
        <v>309</v>
      </c>
      <c r="I224">
        <v>11833</v>
      </c>
      <c r="K224" t="s">
        <v>2709</v>
      </c>
      <c r="L224" t="str">
        <f t="shared" si="131"/>
        <v>"id":"s206",</v>
      </c>
      <c r="M224" t="str">
        <v>"cate":"Capacitor",</v>
      </c>
      <c r="N224" t="str">
        <v>"des":"Capacitor 60NF/700V-02",</v>
      </c>
      <c r="O224" t="str">
        <v>"mfg":"FARATRONIC",</v>
      </c>
      <c r="P224" t="str">
        <v>"pn":"C823D603KB2B550",</v>
      </c>
      <c r="Q224" t="str">
        <v>"qty":14015</v>
      </c>
      <c r="S224" t="s">
        <v>2498</v>
      </c>
      <c r="T224" t="str">
        <f t="shared" si="132"/>
        <v>"id":"s206","cate":"Capacitor","des":"Capacitor 60NF/700V-02","mfg":"FARATRONIC","pn":"C823D603KB2B550","qty":14015</v>
      </c>
      <c r="U224" t="s">
        <v>2503</v>
      </c>
    </row>
    <row r="225" spans="5:21" x14ac:dyDescent="0.25">
      <c r="E225" t="s">
        <v>2193</v>
      </c>
      <c r="F225" t="s">
        <v>308</v>
      </c>
      <c r="G225" t="s">
        <v>13</v>
      </c>
      <c r="H225" t="s">
        <v>310</v>
      </c>
      <c r="I225">
        <v>11833</v>
      </c>
      <c r="K225" t="s">
        <v>2710</v>
      </c>
      <c r="L225" t="str">
        <f t="shared" si="131"/>
        <v>"id":"s207",</v>
      </c>
      <c r="M225" t="str">
        <v>"cate":"Resistor ",</v>
      </c>
      <c r="N225" t="str">
        <v>"des":"RST 332 1/4W 1%1206",</v>
      </c>
      <c r="O225" t="str">
        <v>"mfg":"YAGEO",</v>
      </c>
      <c r="P225" t="str">
        <v>"pn":"RC1206FR-07332RL",</v>
      </c>
      <c r="Q225" t="str">
        <v>"qty":13724</v>
      </c>
      <c r="S225" t="s">
        <v>2498</v>
      </c>
      <c r="T225" t="str">
        <f t="shared" si="132"/>
        <v>"id":"s207","cate":"Resistor ","des":"RST 332 1/4W 1%1206","mfg":"YAGEO","pn":"RC1206FR-07332RL","qty":13724</v>
      </c>
      <c r="U225" t="s">
        <v>2503</v>
      </c>
    </row>
    <row r="226" spans="5:21" x14ac:dyDescent="0.25">
      <c r="E226" t="s">
        <v>2193</v>
      </c>
      <c r="F226" t="s">
        <v>308</v>
      </c>
      <c r="G226" t="s">
        <v>10</v>
      </c>
      <c r="H226" t="s">
        <v>311</v>
      </c>
      <c r="I226">
        <v>11833</v>
      </c>
      <c r="K226" t="s">
        <v>2711</v>
      </c>
      <c r="L226" t="str">
        <f t="shared" si="131"/>
        <v>"id":"s208",</v>
      </c>
      <c r="M226" t="str">
        <v>"cate":"Diode",</v>
      </c>
      <c r="N226" t="str">
        <v>"des":"DiodeE 1A 200V SMA",</v>
      </c>
      <c r="O226" t="str">
        <v>"mfg":"NXP SEMICONDUCTORS",</v>
      </c>
      <c r="P226" t="str">
        <v>"pn":"BYG80D",</v>
      </c>
      <c r="Q226" t="str">
        <v>"qty":13180</v>
      </c>
      <c r="S226" t="s">
        <v>2498</v>
      </c>
      <c r="T226" t="str">
        <f t="shared" si="132"/>
        <v>"id":"s208","cate":"Diode","des":"DiodeE 1A 200V SMA","mfg":"NXP SEMICONDUCTORS","pn":"BYG80D","qty":13180</v>
      </c>
      <c r="U226" t="s">
        <v>2503</v>
      </c>
    </row>
    <row r="227" spans="5:21" x14ac:dyDescent="0.25">
      <c r="E227" t="s">
        <v>2193</v>
      </c>
      <c r="F227" t="s">
        <v>312</v>
      </c>
      <c r="G227" t="s">
        <v>10</v>
      </c>
      <c r="H227" t="s">
        <v>313</v>
      </c>
      <c r="I227">
        <v>11789</v>
      </c>
      <c r="K227" t="s">
        <v>2712</v>
      </c>
      <c r="L227" t="str">
        <f t="shared" si="131"/>
        <v>"id":"s209",</v>
      </c>
      <c r="M227" t="str">
        <v>"cate":"Diode",</v>
      </c>
      <c r="N227" t="str">
        <v>"des":"DiodeE 1A 200V SMA",</v>
      </c>
      <c r="O227" t="str">
        <v>"mfg":"ON SEMICONDUCTOR",</v>
      </c>
      <c r="P227" t="str">
        <v>"pn":"ES1D",</v>
      </c>
      <c r="Q227" t="str">
        <v>"qty":13180</v>
      </c>
      <c r="S227" t="s">
        <v>2498</v>
      </c>
      <c r="T227" t="str">
        <f t="shared" si="132"/>
        <v>"id":"s209","cate":"Diode","des":"DiodeE 1A 200V SMA","mfg":"ON SEMICONDUCTOR","pn":"ES1D","qty":13180</v>
      </c>
      <c r="U227" t="s">
        <v>2503</v>
      </c>
    </row>
    <row r="228" spans="5:21" x14ac:dyDescent="0.25">
      <c r="E228" t="s">
        <v>2194</v>
      </c>
      <c r="F228" t="s">
        <v>2227</v>
      </c>
      <c r="G228" t="s">
        <v>45</v>
      </c>
      <c r="H228" t="s">
        <v>314</v>
      </c>
      <c r="I228">
        <v>11696</v>
      </c>
      <c r="K228" t="s">
        <v>2713</v>
      </c>
      <c r="L228" t="str">
        <f t="shared" si="131"/>
        <v>"id":"s210",</v>
      </c>
      <c r="M228" t="str">
        <v>"cate":"Diode",</v>
      </c>
      <c r="N228" t="str">
        <v>"des":"DiodeE 1A 200V SMA",</v>
      </c>
      <c r="O228" t="str">
        <v>"mfg":"STMICROELECTRONICS",</v>
      </c>
      <c r="P228" t="str">
        <v>"pn":"STPR120A",</v>
      </c>
      <c r="Q228" t="str">
        <v>"qty":13180</v>
      </c>
      <c r="S228" t="s">
        <v>2498</v>
      </c>
      <c r="T228" t="str">
        <f t="shared" si="132"/>
        <v>"id":"s210","cate":"Diode","des":"DiodeE 1A 200V SMA","mfg":"STMICROELECTRONICS","pn":"STPR120A","qty":13180</v>
      </c>
      <c r="U228" t="s">
        <v>2503</v>
      </c>
    </row>
    <row r="229" spans="5:21" x14ac:dyDescent="0.25">
      <c r="E229" t="s">
        <v>2194</v>
      </c>
      <c r="F229" t="s">
        <v>2227</v>
      </c>
      <c r="G229" t="s">
        <v>47</v>
      </c>
      <c r="H229" t="s">
        <v>315</v>
      </c>
      <c r="I229">
        <v>11696</v>
      </c>
      <c r="K229" t="s">
        <v>2714</v>
      </c>
      <c r="L229" t="str">
        <f t="shared" si="131"/>
        <v>"id":"s211",</v>
      </c>
      <c r="M229" t="str">
        <v>"cate":"Diode",</v>
      </c>
      <c r="N229" t="str">
        <v>"des":"DiodeE 1A 200V SMA",</v>
      </c>
      <c r="O229" t="str">
        <v>"mfg":"TAIWAN SEMICONDUCTOR",</v>
      </c>
      <c r="P229" t="str">
        <v>"pn":"ES1D",</v>
      </c>
      <c r="Q229" t="str">
        <v>"qty":13180</v>
      </c>
      <c r="S229" t="s">
        <v>2498</v>
      </c>
      <c r="T229" t="str">
        <f t="shared" si="132"/>
        <v>"id":"s211","cate":"Diode","des":"DiodeE 1A 200V SMA","mfg":"TAIWAN SEMICONDUCTOR","pn":"ES1D","qty":13180</v>
      </c>
      <c r="U229" t="s">
        <v>2503</v>
      </c>
    </row>
    <row r="230" spans="5:21" x14ac:dyDescent="0.25">
      <c r="E230" t="s">
        <v>2194</v>
      </c>
      <c r="F230" t="s">
        <v>2227</v>
      </c>
      <c r="G230" t="s">
        <v>37</v>
      </c>
      <c r="H230" t="s">
        <v>316</v>
      </c>
      <c r="I230">
        <v>11696</v>
      </c>
      <c r="K230" t="s">
        <v>2715</v>
      </c>
      <c r="L230" t="str">
        <f t="shared" si="131"/>
        <v>"id":"s212",</v>
      </c>
      <c r="M230" t="str">
        <v>"cate":"Diode",</v>
      </c>
      <c r="N230" t="str">
        <v>"des":"DiodeE 1A 200V SMA",</v>
      </c>
      <c r="O230" t="str">
        <v>"mfg":"TAIWAN SEMICONDUCTOR",</v>
      </c>
      <c r="P230" t="str">
        <v>"pn":"ES1D R3G",</v>
      </c>
      <c r="Q230" t="str">
        <v>"qty":13180</v>
      </c>
      <c r="S230" t="s">
        <v>2498</v>
      </c>
      <c r="T230" t="str">
        <f t="shared" si="132"/>
        <v>"id":"s212","cate":"Diode","des":"DiodeE 1A 200V SMA","mfg":"TAIWAN SEMICONDUCTOR","pn":"ES1D R3G","qty":13180</v>
      </c>
      <c r="U230" t="s">
        <v>2503</v>
      </c>
    </row>
    <row r="231" spans="5:21" x14ac:dyDescent="0.25">
      <c r="E231" t="s">
        <v>2193</v>
      </c>
      <c r="F231" t="s">
        <v>317</v>
      </c>
      <c r="G231" t="s">
        <v>13</v>
      </c>
      <c r="H231" t="s">
        <v>318</v>
      </c>
      <c r="I231">
        <v>11664</v>
      </c>
      <c r="K231" t="s">
        <v>2716</v>
      </c>
      <c r="L231" t="str">
        <f t="shared" si="131"/>
        <v>"id":"s213",</v>
      </c>
      <c r="M231" t="str">
        <v>"cate":"Resistor ",</v>
      </c>
      <c r="N231" t="str">
        <v>"des":"RST 100 1/8W 5% 805",</v>
      </c>
      <c r="O231" t="str">
        <v>"mfg":"YAGEO",</v>
      </c>
      <c r="P231" t="str">
        <v>"pn":"RC0805JR-07100RL",</v>
      </c>
      <c r="Q231" t="str">
        <v>"qty":12575</v>
      </c>
      <c r="S231" t="s">
        <v>2498</v>
      </c>
      <c r="T231" t="str">
        <f t="shared" si="132"/>
        <v>"id":"s213","cate":"Resistor ","des":"RST 100 1/8W 5% 805","mfg":"YAGEO","pn":"RC0805JR-07100RL","qty":12575</v>
      </c>
      <c r="U231" t="s">
        <v>2503</v>
      </c>
    </row>
    <row r="232" spans="5:21" x14ac:dyDescent="0.25">
      <c r="E232" t="s">
        <v>2193</v>
      </c>
      <c r="F232" t="s">
        <v>317</v>
      </c>
      <c r="G232" t="s">
        <v>5</v>
      </c>
      <c r="H232" t="s">
        <v>319</v>
      </c>
      <c r="I232">
        <v>11664</v>
      </c>
      <c r="K232" t="s">
        <v>2717</v>
      </c>
      <c r="L232" t="str">
        <f t="shared" si="131"/>
        <v>"id":"s214",</v>
      </c>
      <c r="M232" t="str">
        <v>"cate":"Resistor ",</v>
      </c>
      <c r="N232" t="str">
        <v>"des":"RST 100 1/8W 5% 805",</v>
      </c>
      <c r="O232" t="str">
        <v>"mfg":"WALSIN",</v>
      </c>
      <c r="P232" t="str">
        <v>"pn":"WR08X101JTL",</v>
      </c>
      <c r="Q232" t="str">
        <v>"qty":12575</v>
      </c>
      <c r="S232" t="s">
        <v>2498</v>
      </c>
      <c r="T232" t="str">
        <f t="shared" si="132"/>
        <v>"id":"s214","cate":"Resistor ","des":"RST 100 1/8W 5% 805","mfg":"WALSIN","pn":"WR08X101JTL","qty":12575</v>
      </c>
      <c r="U232" t="s">
        <v>2503</v>
      </c>
    </row>
    <row r="233" spans="5:21" x14ac:dyDescent="0.25">
      <c r="E233" t="s">
        <v>2193</v>
      </c>
      <c r="F233" t="s">
        <v>317</v>
      </c>
      <c r="G233" t="s">
        <v>320</v>
      </c>
      <c r="H233" t="s">
        <v>321</v>
      </c>
      <c r="I233">
        <v>11664</v>
      </c>
      <c r="K233" t="s">
        <v>2718</v>
      </c>
      <c r="L233" t="str">
        <f t="shared" si="131"/>
        <v>"id":"s215",</v>
      </c>
      <c r="M233" t="str">
        <v>"cate":"Resistor ",</v>
      </c>
      <c r="N233" t="str">
        <v>"des":"RST 10K 1/8W 0,1%S",</v>
      </c>
      <c r="O233" t="str">
        <v>"mfg":"KOA",</v>
      </c>
      <c r="P233" t="str">
        <v>"pn":"RN73R2ATTD1002B25",</v>
      </c>
      <c r="Q233" t="str">
        <v>"qty":12539</v>
      </c>
      <c r="S233" t="s">
        <v>2498</v>
      </c>
      <c r="T233" t="str">
        <f t="shared" si="132"/>
        <v>"id":"s215","cate":"Resistor ","des":"RST 10K 1/8W 0,1%S","mfg":"KOA","pn":"RN73R2ATTD1002B25","qty":12539</v>
      </c>
      <c r="U233" t="s">
        <v>2503</v>
      </c>
    </row>
    <row r="234" spans="5:21" x14ac:dyDescent="0.25">
      <c r="E234" t="s">
        <v>2193</v>
      </c>
      <c r="F234" t="s">
        <v>317</v>
      </c>
      <c r="G234" t="s">
        <v>207</v>
      </c>
      <c r="H234" t="s">
        <v>322</v>
      </c>
      <c r="I234">
        <v>11664</v>
      </c>
      <c r="K234" t="s">
        <v>2719</v>
      </c>
      <c r="L234" t="str">
        <f t="shared" si="131"/>
        <v>"id":"s216",</v>
      </c>
      <c r="M234" t="str">
        <v>"cate":"Resistor ",</v>
      </c>
      <c r="N234" t="str">
        <v>"des":"RST 10K 1/8W 0,1%S",</v>
      </c>
      <c r="O234" t="str">
        <v>"mfg":"KOA",</v>
      </c>
      <c r="P234" t="str">
        <v>"pn":"RN732ATTD1002B25",</v>
      </c>
      <c r="Q234" t="str">
        <v>"qty":12539</v>
      </c>
      <c r="S234" t="s">
        <v>2498</v>
      </c>
      <c r="T234" t="str">
        <f t="shared" si="132"/>
        <v>"id":"s216","cate":"Resistor ","des":"RST 10K 1/8W 0,1%S","mfg":"KOA","pn":"RN732ATTD1002B25","qty":12539</v>
      </c>
      <c r="U234" t="s">
        <v>2503</v>
      </c>
    </row>
    <row r="235" spans="5:21" x14ac:dyDescent="0.25">
      <c r="E235" t="s">
        <v>2193</v>
      </c>
      <c r="F235" t="s">
        <v>323</v>
      </c>
      <c r="G235" t="s">
        <v>13</v>
      </c>
      <c r="H235" t="s">
        <v>324</v>
      </c>
      <c r="I235">
        <v>11648</v>
      </c>
      <c r="K235" t="s">
        <v>2720</v>
      </c>
      <c r="L235" t="str">
        <f t="shared" si="131"/>
        <v>"id":"s217",</v>
      </c>
      <c r="M235" t="str">
        <v>"cate":"Resistor ",</v>
      </c>
      <c r="N235" t="str">
        <v>"des":"RST 27K4 1/4W1%1206",</v>
      </c>
      <c r="O235" t="str">
        <v>"mfg":"YAGEO",</v>
      </c>
      <c r="P235" t="str">
        <v>"pn":"RC1206FR-0727K4L",</v>
      </c>
      <c r="Q235" t="str">
        <v>"qty":12284</v>
      </c>
      <c r="S235" t="s">
        <v>2498</v>
      </c>
      <c r="T235" t="str">
        <f t="shared" si="132"/>
        <v>"id":"s217","cate":"Resistor ","des":"RST 27K4 1/4W1%1206","mfg":"YAGEO","pn":"RC1206FR-0727K4L","qty":12284</v>
      </c>
      <c r="U235" t="s">
        <v>2503</v>
      </c>
    </row>
    <row r="236" spans="5:21" x14ac:dyDescent="0.25">
      <c r="E236" t="s">
        <v>2193</v>
      </c>
      <c r="F236" t="s">
        <v>325</v>
      </c>
      <c r="G236" t="s">
        <v>13</v>
      </c>
      <c r="H236" t="s">
        <v>326</v>
      </c>
      <c r="I236">
        <v>11594</v>
      </c>
      <c r="K236" t="s">
        <v>2721</v>
      </c>
      <c r="L236" t="str">
        <f t="shared" si="131"/>
        <v>"id":"s218",</v>
      </c>
      <c r="M236" t="str">
        <v>"cate":"Choke Coil",</v>
      </c>
      <c r="N236" t="str">
        <v>"des":"Choke CoilE SMD 470UH 20%",</v>
      </c>
      <c r="O236" t="str">
        <v>"mfg":"WURTH ELEKTRONIK",</v>
      </c>
      <c r="P236" t="str">
        <v>"pn":"74477824",</v>
      </c>
      <c r="Q236" t="str">
        <v>"qty":12079</v>
      </c>
      <c r="S236" t="s">
        <v>2498</v>
      </c>
      <c r="T236" t="str">
        <f t="shared" si="132"/>
        <v>"id":"s218","cate":"Choke Coil","des":"Choke CoilE SMD 470UH 20%","mfg":"WURTH ELEKTRONIK","pn":"74477824","qty":12079</v>
      </c>
      <c r="U236" t="s">
        <v>2503</v>
      </c>
    </row>
    <row r="237" spans="5:21" x14ac:dyDescent="0.25">
      <c r="E237" t="s">
        <v>2405</v>
      </c>
      <c r="F237" t="s">
        <v>2412</v>
      </c>
      <c r="G237" t="s">
        <v>37</v>
      </c>
      <c r="H237" t="s">
        <v>327</v>
      </c>
      <c r="I237">
        <v>11560</v>
      </c>
      <c r="K237" t="s">
        <v>2722</v>
      </c>
      <c r="L237" t="str">
        <f t="shared" si="131"/>
        <v>"id":"s219",</v>
      </c>
      <c r="M237" t="str">
        <v>"cate":"Resistor ",</v>
      </c>
      <c r="N237" t="str">
        <v>"des":"RST 120 1/8W 5% 805",</v>
      </c>
      <c r="O237" t="str">
        <v>"mfg":"YAGEO",</v>
      </c>
      <c r="P237" t="str">
        <v>"pn":"RC0805FR-07 120R",</v>
      </c>
      <c r="Q237" t="str">
        <v>"qty":11833</v>
      </c>
      <c r="S237" t="s">
        <v>2498</v>
      </c>
      <c r="T237" t="str">
        <f t="shared" si="132"/>
        <v>"id":"s219","cate":"Resistor ","des":"RST 120 1/8W 5% 805","mfg":"YAGEO","pn":"RC0805FR-07 120R","qty":11833</v>
      </c>
      <c r="U237" t="s">
        <v>2503</v>
      </c>
    </row>
    <row r="238" spans="5:21" x14ac:dyDescent="0.25">
      <c r="E238" t="s">
        <v>2405</v>
      </c>
      <c r="F238" t="s">
        <v>2412</v>
      </c>
      <c r="G238" t="s">
        <v>328</v>
      </c>
      <c r="H238" t="s">
        <v>329</v>
      </c>
      <c r="I238">
        <v>11560</v>
      </c>
      <c r="K238" t="s">
        <v>2723</v>
      </c>
      <c r="L238" t="str">
        <f t="shared" si="131"/>
        <v>"id":"s220",</v>
      </c>
      <c r="M238" t="str">
        <v>"cate":"Resistor ",</v>
      </c>
      <c r="N238" t="str">
        <v>"des":"RST 120 1/8W 5% 805",</v>
      </c>
      <c r="O238" t="str">
        <v>"mfg":"YAGEO",</v>
      </c>
      <c r="P238" t="str">
        <v>"pn":"RC0805FR-07120RL",</v>
      </c>
      <c r="Q238" t="str">
        <v>"qty":11833</v>
      </c>
      <c r="S238" t="s">
        <v>2498</v>
      </c>
      <c r="T238" t="str">
        <f t="shared" si="132"/>
        <v>"id":"s220","cate":"Resistor ","des":"RST 120 1/8W 5% 805","mfg":"YAGEO","pn":"RC0805FR-07120RL","qty":11833</v>
      </c>
      <c r="U238" t="s">
        <v>2503</v>
      </c>
    </row>
    <row r="239" spans="5:21" x14ac:dyDescent="0.25">
      <c r="E239" t="s">
        <v>2194</v>
      </c>
      <c r="F239" t="s">
        <v>2228</v>
      </c>
      <c r="G239" t="s">
        <v>13</v>
      </c>
      <c r="H239" t="s">
        <v>330</v>
      </c>
      <c r="I239">
        <v>11532</v>
      </c>
      <c r="K239" t="s">
        <v>2724</v>
      </c>
      <c r="L239" t="str">
        <f t="shared" si="131"/>
        <v>"id":"s221",</v>
      </c>
      <c r="M239" t="str">
        <v>"cate":"Resistor ",</v>
      </c>
      <c r="N239" t="str">
        <v>"des":"RST 120 1/8W 5% 805",</v>
      </c>
      <c r="O239" t="str">
        <v>"mfg":"WALSIN",</v>
      </c>
      <c r="P239" t="str">
        <v>"pn":"WR08X1200FTL",</v>
      </c>
      <c r="Q239" t="str">
        <v>"qty":11833</v>
      </c>
      <c r="S239" t="s">
        <v>2498</v>
      </c>
      <c r="T239" t="str">
        <f t="shared" si="132"/>
        <v>"id":"s221","cate":"Resistor ","des":"RST 120 1/8W 5% 805","mfg":"WALSIN","pn":"WR08X1200FTL","qty":11833</v>
      </c>
      <c r="U239" t="s">
        <v>2503</v>
      </c>
    </row>
    <row r="240" spans="5:21" x14ac:dyDescent="0.25">
      <c r="E240" t="s">
        <v>2194</v>
      </c>
      <c r="F240" t="s">
        <v>2228</v>
      </c>
      <c r="G240" t="s">
        <v>47</v>
      </c>
      <c r="H240" t="s">
        <v>331</v>
      </c>
      <c r="I240">
        <v>11532</v>
      </c>
      <c r="K240" t="s">
        <v>2725</v>
      </c>
      <c r="L240" t="str">
        <f t="shared" si="131"/>
        <v>"id":"s222",</v>
      </c>
      <c r="M240" t="str">
        <v>"cate":"Resistor ",</v>
      </c>
      <c r="N240" t="str">
        <v>"des":"RST 330 0,1W 5% 603",</v>
      </c>
      <c r="O240" t="str">
        <v>"mfg":"WALSIN",</v>
      </c>
      <c r="P240" t="str">
        <v>"pn":"WR06X331 JTL",</v>
      </c>
      <c r="Q240" t="str">
        <v>"qty":11789</v>
      </c>
      <c r="S240" t="s">
        <v>2498</v>
      </c>
      <c r="T240" t="str">
        <f t="shared" si="132"/>
        <v>"id":"s222","cate":"Resistor ","des":"RST 330 0,1W 5% 603","mfg":"WALSIN","pn":"WR06X331 JTL","qty":11789</v>
      </c>
      <c r="U240" t="s">
        <v>2503</v>
      </c>
    </row>
    <row r="241" spans="5:21" x14ac:dyDescent="0.25">
      <c r="E241" t="s">
        <v>2194</v>
      </c>
      <c r="F241" t="s">
        <v>2228</v>
      </c>
      <c r="G241" t="s">
        <v>49</v>
      </c>
      <c r="H241" t="s">
        <v>332</v>
      </c>
      <c r="I241">
        <v>11532</v>
      </c>
      <c r="K241" t="s">
        <v>2726</v>
      </c>
      <c r="L241" t="str">
        <f t="shared" si="131"/>
        <v>"id":"s223",</v>
      </c>
      <c r="M241" t="str">
        <v>"cate":"Capacitor",</v>
      </c>
      <c r="N241" t="str">
        <v>"des":"Capacitor 100NF/63V 10%",</v>
      </c>
      <c r="O241" t="str">
        <v>"mfg":"EPCOS/TDK",</v>
      </c>
      <c r="P241" t="str">
        <v>"pn":"B32529C0104K289",</v>
      </c>
      <c r="Q241" t="str">
        <v>"qty":11696</v>
      </c>
      <c r="S241" t="s">
        <v>2498</v>
      </c>
      <c r="T241" t="str">
        <f t="shared" si="132"/>
        <v>"id":"s223","cate":"Capacitor","des":"Capacitor 100NF/63V 10%","mfg":"EPCOS/TDK","pn":"B32529C0104K289","qty":11696</v>
      </c>
      <c r="U241" t="s">
        <v>2503</v>
      </c>
    </row>
    <row r="242" spans="5:21" x14ac:dyDescent="0.25">
      <c r="E242" t="s">
        <v>2194</v>
      </c>
      <c r="F242" t="s">
        <v>2229</v>
      </c>
      <c r="G242" t="s">
        <v>249</v>
      </c>
      <c r="H242" t="s">
        <v>333</v>
      </c>
      <c r="I242">
        <v>11178</v>
      </c>
      <c r="K242" t="s">
        <v>2727</v>
      </c>
      <c r="L242" t="str">
        <f t="shared" si="131"/>
        <v>"id":"s224",</v>
      </c>
      <c r="M242" t="str">
        <v>"cate":"Capacitor",</v>
      </c>
      <c r="N242" t="str">
        <v>"des":"Capacitor 100NF/63V 10%",</v>
      </c>
      <c r="O242" t="str">
        <v>"mfg":"KEMET",</v>
      </c>
      <c r="P242" t="str">
        <v>"pn":"R82DC3100DQ50K",</v>
      </c>
      <c r="Q242" t="str">
        <v>"qty":11696</v>
      </c>
      <c r="S242" t="s">
        <v>2498</v>
      </c>
      <c r="T242" t="str">
        <f t="shared" si="132"/>
        <v>"id":"s224","cate":"Capacitor","des":"Capacitor 100NF/63V 10%","mfg":"KEMET","pn":"R82DC3100DQ50K","qty":11696</v>
      </c>
      <c r="U242" t="s">
        <v>2503</v>
      </c>
    </row>
    <row r="243" spans="5:21" x14ac:dyDescent="0.25">
      <c r="E243" t="s">
        <v>2193</v>
      </c>
      <c r="F243" t="s">
        <v>334</v>
      </c>
      <c r="G243" t="s">
        <v>320</v>
      </c>
      <c r="H243" t="s">
        <v>335</v>
      </c>
      <c r="I243">
        <v>11052</v>
      </c>
      <c r="K243" t="s">
        <v>2728</v>
      </c>
      <c r="L243" t="str">
        <f t="shared" si="131"/>
        <v>"id":"s225",</v>
      </c>
      <c r="M243" t="str">
        <v>"cate":"Capacitor",</v>
      </c>
      <c r="N243" t="str">
        <v>"des":"Capacitor 100NF/63V 10%",</v>
      </c>
      <c r="O243" t="str">
        <v>"mfg":"VISHAY",</v>
      </c>
      <c r="P243" t="str">
        <v>"pn":"BFC247075104",</v>
      </c>
      <c r="Q243" t="str">
        <v>"qty":11696</v>
      </c>
      <c r="S243" t="s">
        <v>2498</v>
      </c>
      <c r="T243" t="str">
        <f t="shared" si="132"/>
        <v>"id":"s225","cate":"Capacitor","des":"Capacitor 100NF/63V 10%","mfg":"VISHAY","pn":"BFC247075104","qty":11696</v>
      </c>
      <c r="U243" t="s">
        <v>2503</v>
      </c>
    </row>
    <row r="244" spans="5:21" x14ac:dyDescent="0.25">
      <c r="E244" t="s">
        <v>2193</v>
      </c>
      <c r="F244" t="s">
        <v>334</v>
      </c>
      <c r="G244" t="s">
        <v>320</v>
      </c>
      <c r="H244" t="s">
        <v>336</v>
      </c>
      <c r="I244">
        <v>11052</v>
      </c>
      <c r="K244" t="s">
        <v>2729</v>
      </c>
      <c r="L244" t="str">
        <f t="shared" si="131"/>
        <v>"id":"s226",</v>
      </c>
      <c r="M244" t="str">
        <v>"cate":"Resistor ",</v>
      </c>
      <c r="N244" t="str">
        <v>"des":"RST 10K 0,1W 1% 603",</v>
      </c>
      <c r="O244" t="str">
        <v>"mfg":"YAGEO",</v>
      </c>
      <c r="P244" t="str">
        <v>"pn":"RC0603FR-0710KL",</v>
      </c>
      <c r="Q244" t="str">
        <v>"qty":11664</v>
      </c>
      <c r="S244" t="s">
        <v>2498</v>
      </c>
      <c r="T244" t="str">
        <f t="shared" si="132"/>
        <v>"id":"s226","cate":"Resistor ","des":"RST 10K 0,1W 1% 603","mfg":"YAGEO","pn":"RC0603FR-0710KL","qty":11664</v>
      </c>
      <c r="U244" t="s">
        <v>2503</v>
      </c>
    </row>
    <row r="245" spans="5:21" x14ac:dyDescent="0.25">
      <c r="E245" t="s">
        <v>2193</v>
      </c>
      <c r="F245" t="s">
        <v>334</v>
      </c>
      <c r="G245" t="s">
        <v>10</v>
      </c>
      <c r="H245" t="s">
        <v>337</v>
      </c>
      <c r="I245">
        <v>11052</v>
      </c>
      <c r="K245" t="s">
        <v>2730</v>
      </c>
      <c r="L245" t="str">
        <f t="shared" si="131"/>
        <v>"id":"s227",</v>
      </c>
      <c r="M245" t="str">
        <v>"cate":"Resistor ",</v>
      </c>
      <c r="N245" t="str">
        <v>"des":"RST 10K 0,1W 1% 603",</v>
      </c>
      <c r="O245" t="str">
        <v>"mfg":"KOA",</v>
      </c>
      <c r="P245" t="str">
        <v>"pn":"RK73H1JTTD1002F",</v>
      </c>
      <c r="Q245" t="str">
        <v>"qty":11664</v>
      </c>
      <c r="S245" t="s">
        <v>2498</v>
      </c>
      <c r="T245" t="str">
        <f t="shared" si="132"/>
        <v>"id":"s227","cate":"Resistor ","des":"RST 10K 0,1W 1% 603","mfg":"KOA","pn":"RK73H1JTTD1002F","qty":11664</v>
      </c>
      <c r="U245" t="s">
        <v>2503</v>
      </c>
    </row>
    <row r="246" spans="5:21" x14ac:dyDescent="0.25">
      <c r="E246" t="s">
        <v>2194</v>
      </c>
      <c r="F246" t="s">
        <v>2230</v>
      </c>
      <c r="G246" t="s">
        <v>37</v>
      </c>
      <c r="H246" t="s">
        <v>338</v>
      </c>
      <c r="I246">
        <v>11046</v>
      </c>
      <c r="K246" t="s">
        <v>2731</v>
      </c>
      <c r="L246" t="str">
        <f t="shared" si="131"/>
        <v>"id":"s228",</v>
      </c>
      <c r="M246" t="str">
        <v>"cate":"Resistor ",</v>
      </c>
      <c r="N246" t="str">
        <v>"des":"RST 10K 0,1W 1% 603",</v>
      </c>
      <c r="O246" t="str">
        <v>"mfg":"ROYAL OHM",</v>
      </c>
      <c r="P246" t="str">
        <v>"pn":"0603WAF1002T5E",</v>
      </c>
      <c r="Q246" t="str">
        <v>"qty":11664</v>
      </c>
      <c r="S246" t="s">
        <v>2498</v>
      </c>
      <c r="T246" t="str">
        <f t="shared" si="132"/>
        <v>"id":"s228","cate":"Resistor ","des":"RST 10K 0,1W 1% 603","mfg":"ROYAL OHM","pn":"0603WAF1002T5E","qty":11664</v>
      </c>
      <c r="U246" t="s">
        <v>2503</v>
      </c>
    </row>
    <row r="247" spans="5:21" x14ac:dyDescent="0.25">
      <c r="E247" t="s">
        <v>2194</v>
      </c>
      <c r="F247" t="s">
        <v>2230</v>
      </c>
      <c r="G247" t="s">
        <v>64</v>
      </c>
      <c r="H247" t="s">
        <v>339</v>
      </c>
      <c r="I247">
        <v>11046</v>
      </c>
      <c r="K247" t="s">
        <v>2732</v>
      </c>
      <c r="L247" t="str">
        <f t="shared" si="131"/>
        <v>"id":"s229",</v>
      </c>
      <c r="M247" t="str">
        <v>"cate":"Resistor ",</v>
      </c>
      <c r="N247" t="str">
        <v>"des":"RST 10K 0,1W 1% 603",</v>
      </c>
      <c r="O247" t="str">
        <v>"mfg":"STACKPOLE ELECTRONICS INC",</v>
      </c>
      <c r="P247" t="str">
        <v>"pn":"RMCF0603FT10K0",</v>
      </c>
      <c r="Q247" t="str">
        <v>"qty":11664</v>
      </c>
      <c r="S247" t="s">
        <v>2498</v>
      </c>
      <c r="T247" t="str">
        <f t="shared" si="132"/>
        <v>"id":"s229","cate":"Resistor ","des":"RST 10K 0,1W 1% 603","mfg":"STACKPOLE ELECTRONICS INC","pn":"RMCF0603FT10K0","qty":11664</v>
      </c>
      <c r="U247" t="s">
        <v>2503</v>
      </c>
    </row>
    <row r="248" spans="5:21" x14ac:dyDescent="0.25">
      <c r="E248" t="s">
        <v>2194</v>
      </c>
      <c r="F248" t="s">
        <v>2230</v>
      </c>
      <c r="G248" t="s">
        <v>340</v>
      </c>
      <c r="H248" t="s">
        <v>341</v>
      </c>
      <c r="I248">
        <v>11046</v>
      </c>
      <c r="K248" t="s">
        <v>2733</v>
      </c>
      <c r="L248" t="str">
        <f t="shared" si="131"/>
        <v>"id":"s230",</v>
      </c>
      <c r="M248" t="str">
        <v>"cate":"Resistor ",</v>
      </c>
      <c r="N248" t="str">
        <v>"des":"RST 2K43 1/4W1%1206",</v>
      </c>
      <c r="O248" t="str">
        <v>"mfg":"YAGEO",</v>
      </c>
      <c r="P248" t="str">
        <v>"pn":"RC1206FR-072K43L",</v>
      </c>
      <c r="Q248" t="str">
        <v>"qty":11648</v>
      </c>
      <c r="S248" t="s">
        <v>2498</v>
      </c>
      <c r="T248" t="str">
        <f t="shared" si="132"/>
        <v>"id":"s230","cate":"Resistor ","des":"RST 2K43 1/4W1%1206","mfg":"YAGEO","pn":"RC1206FR-072K43L","qty":11648</v>
      </c>
      <c r="U248" t="s">
        <v>2503</v>
      </c>
    </row>
    <row r="249" spans="5:21" x14ac:dyDescent="0.25">
      <c r="E249" s="6" t="s">
        <v>2491</v>
      </c>
      <c r="F249" t="s">
        <v>342</v>
      </c>
      <c r="G249" t="s">
        <v>343</v>
      </c>
      <c r="H249" s="6" t="s">
        <v>344</v>
      </c>
      <c r="I249">
        <v>11028</v>
      </c>
      <c r="K249" t="s">
        <v>2734</v>
      </c>
      <c r="L249" t="str">
        <f t="shared" si="131"/>
        <v>"id":"s231",</v>
      </c>
      <c r="M249" t="str">
        <v>"cate":"Resistor ",</v>
      </c>
      <c r="N249" t="str">
        <v>"des":"RST 2K21 1/4W1%1206",</v>
      </c>
      <c r="O249" t="str">
        <v>"mfg":"YAGEO",</v>
      </c>
      <c r="P249" t="str">
        <v>"pn":"RC1206FR-072K21L",</v>
      </c>
      <c r="Q249" t="str">
        <v>"qty":11594</v>
      </c>
      <c r="S249" t="s">
        <v>2498</v>
      </c>
      <c r="T249" t="str">
        <f t="shared" si="132"/>
        <v>"id":"s231","cate":"Resistor ","des":"RST 2K21 1/4W1%1206","mfg":"YAGEO","pn":"RC1206FR-072K21L","qty":11594</v>
      </c>
      <c r="U249" t="s">
        <v>2503</v>
      </c>
    </row>
    <row r="250" spans="5:21" x14ac:dyDescent="0.25">
      <c r="E250" t="s">
        <v>2126</v>
      </c>
      <c r="F250" t="s">
        <v>345</v>
      </c>
      <c r="G250" t="s">
        <v>57</v>
      </c>
      <c r="H250" t="s">
        <v>346</v>
      </c>
      <c r="I250">
        <v>10916</v>
      </c>
      <c r="K250" t="s">
        <v>2735</v>
      </c>
      <c r="L250" t="str">
        <f t="shared" si="131"/>
        <v>"id":"s232",</v>
      </c>
      <c r="M250" t="str">
        <v>"cate":"Diode",</v>
      </c>
      <c r="N250" t="str">
        <v>"des":"DiodeE 5A 100V SMA",</v>
      </c>
      <c r="O250" t="str">
        <v>"mfg":"VISHAY",</v>
      </c>
      <c r="P250" t="str">
        <v>"pn":"VSSAF5M10-M3/H",</v>
      </c>
      <c r="Q250" t="str">
        <v>"qty":11560</v>
      </c>
      <c r="S250" t="s">
        <v>2498</v>
      </c>
      <c r="T250" t="str">
        <f t="shared" si="132"/>
        <v>"id":"s232","cate":"Diode","des":"DiodeE 5A 100V SMA","mfg":"VISHAY","pn":"VSSAF5M10-M3/H","qty":11560</v>
      </c>
      <c r="U250" t="s">
        <v>2503</v>
      </c>
    </row>
    <row r="251" spans="5:21" x14ac:dyDescent="0.25">
      <c r="E251" t="s">
        <v>2194</v>
      </c>
      <c r="F251" t="s">
        <v>2231</v>
      </c>
      <c r="G251" t="s">
        <v>8</v>
      </c>
      <c r="H251" t="s">
        <v>347</v>
      </c>
      <c r="I251">
        <v>10735</v>
      </c>
      <c r="K251" t="s">
        <v>2736</v>
      </c>
      <c r="L251" t="str">
        <f t="shared" si="131"/>
        <v>"id":"s233",</v>
      </c>
      <c r="M251" t="str">
        <v>"cate":"Diode",</v>
      </c>
      <c r="N251" t="str">
        <v>"des":"DiodeE 5A 100V SMA",</v>
      </c>
      <c r="O251" t="str">
        <v>"mfg":"MCC",</v>
      </c>
      <c r="P251" t="str">
        <v>"pn":"SK510AFL-TP",</v>
      </c>
      <c r="Q251" t="str">
        <v>"qty":11560</v>
      </c>
      <c r="S251" t="s">
        <v>2498</v>
      </c>
      <c r="T251" t="str">
        <f t="shared" si="132"/>
        <v>"id":"s233","cate":"Diode","des":"DiodeE 5A 100V SMA","mfg":"MCC","pn":"SK510AFL-TP","qty":11560</v>
      </c>
      <c r="U251" t="s">
        <v>2503</v>
      </c>
    </row>
    <row r="252" spans="5:21" x14ac:dyDescent="0.25">
      <c r="E252" t="s">
        <v>2194</v>
      </c>
      <c r="F252" t="s">
        <v>2232</v>
      </c>
      <c r="G252" t="s">
        <v>8</v>
      </c>
      <c r="H252" t="s">
        <v>348</v>
      </c>
      <c r="I252">
        <v>10720</v>
      </c>
      <c r="K252" t="s">
        <v>2737</v>
      </c>
      <c r="L252" t="str">
        <f t="shared" si="131"/>
        <v>"id":"s234",</v>
      </c>
      <c r="M252" t="str">
        <v>"cate":"Capacitor",</v>
      </c>
      <c r="N252" t="str">
        <v>"des":"Capacitor 10NF/16V 10%",</v>
      </c>
      <c r="O252" t="str">
        <v>"mfg":"YAGEO",</v>
      </c>
      <c r="P252" t="str">
        <v>"pn":"CC0805KRX7R9BB103",</v>
      </c>
      <c r="Q252" t="str">
        <v>"qty":11532</v>
      </c>
      <c r="S252" t="s">
        <v>2498</v>
      </c>
      <c r="T252" t="str">
        <f t="shared" si="132"/>
        <v>"id":"s234","cate":"Capacitor","des":"Capacitor 10NF/16V 10%","mfg":"YAGEO","pn":"CC0805KRX7R9BB103","qty":11532</v>
      </c>
      <c r="U252" t="s">
        <v>2503</v>
      </c>
    </row>
    <row r="253" spans="5:21" x14ac:dyDescent="0.25">
      <c r="E253" t="s">
        <v>2193</v>
      </c>
      <c r="F253" t="s">
        <v>349</v>
      </c>
      <c r="G253" t="s">
        <v>320</v>
      </c>
      <c r="H253" t="s">
        <v>350</v>
      </c>
      <c r="I253">
        <v>10682</v>
      </c>
      <c r="K253" t="s">
        <v>2738</v>
      </c>
      <c r="L253" t="str">
        <f t="shared" si="131"/>
        <v>"id":"s235",</v>
      </c>
      <c r="M253" t="str">
        <v>"cate":"Capacitor",</v>
      </c>
      <c r="N253" t="str">
        <v>"des":"Capacitor 10NF/16V 10%",</v>
      </c>
      <c r="O253" t="str">
        <v>"mfg":"KEMET",</v>
      </c>
      <c r="P253" t="str">
        <v>"pn":"C0805C103K4RACTU",</v>
      </c>
      <c r="Q253" t="str">
        <v>"qty":11532</v>
      </c>
      <c r="S253" t="s">
        <v>2498</v>
      </c>
      <c r="T253" t="str">
        <f t="shared" si="132"/>
        <v>"id":"s235","cate":"Capacitor","des":"Capacitor 10NF/16V 10%","mfg":"KEMET","pn":"C0805C103K4RACTU","qty":11532</v>
      </c>
      <c r="U253" t="s">
        <v>2503</v>
      </c>
    </row>
    <row r="254" spans="5:21" x14ac:dyDescent="0.25">
      <c r="E254" t="s">
        <v>2193</v>
      </c>
      <c r="F254" t="s">
        <v>349</v>
      </c>
      <c r="G254" t="s">
        <v>320</v>
      </c>
      <c r="H254" t="s">
        <v>351</v>
      </c>
      <c r="I254">
        <v>10682</v>
      </c>
      <c r="K254" t="s">
        <v>2739</v>
      </c>
      <c r="L254" t="str">
        <f t="shared" si="131"/>
        <v>"id":"s236",</v>
      </c>
      <c r="M254" t="str">
        <v>"cate":"Capacitor",</v>
      </c>
      <c r="N254" t="str">
        <v>"des":"Capacitor 10NF/16V 10%",</v>
      </c>
      <c r="O254" t="str">
        <v>"mfg":"AVX",</v>
      </c>
      <c r="P254" t="str">
        <v>"pn":"08055C103KAT2A",</v>
      </c>
      <c r="Q254" t="str">
        <v>"qty":11532</v>
      </c>
      <c r="S254" t="s">
        <v>2498</v>
      </c>
      <c r="T254" t="str">
        <f t="shared" si="132"/>
        <v>"id":"s236","cate":"Capacitor","des":"Capacitor 10NF/16V 10%","mfg":"AVX","pn":"08055C103KAT2A","qty":11532</v>
      </c>
      <c r="U254" t="s">
        <v>2503</v>
      </c>
    </row>
    <row r="255" spans="5:21" x14ac:dyDescent="0.25">
      <c r="E255" t="s">
        <v>2123</v>
      </c>
      <c r="F255" t="s">
        <v>352</v>
      </c>
      <c r="G255" t="s">
        <v>130</v>
      </c>
      <c r="H255" t="s">
        <v>353</v>
      </c>
      <c r="I255">
        <v>10461</v>
      </c>
      <c r="K255" t="s">
        <v>2740</v>
      </c>
      <c r="L255" t="str">
        <f t="shared" si="131"/>
        <v>"id":"s237",</v>
      </c>
      <c r="M255" t="str">
        <v>"cate":"Capacitor",</v>
      </c>
      <c r="N255" t="str">
        <v>"des":"Capacitor 10UF/50V 20%",</v>
      </c>
      <c r="O255" t="str">
        <v>"mfg":"NICHICON",</v>
      </c>
      <c r="P255" t="str">
        <v>"pn":"UUD1H100MCL1GS",</v>
      </c>
      <c r="Q255" t="str">
        <v>"qty":11178</v>
      </c>
      <c r="S255" t="s">
        <v>2498</v>
      </c>
      <c r="T255" t="str">
        <f t="shared" si="132"/>
        <v>"id":"s237","cate":"Capacitor","des":"Capacitor 10UF/50V 20%","mfg":"NICHICON","pn":"UUD1H100MCL1GS","qty":11178</v>
      </c>
      <c r="U255" t="s">
        <v>2503</v>
      </c>
    </row>
    <row r="256" spans="5:21" x14ac:dyDescent="0.25">
      <c r="E256" t="s">
        <v>2193</v>
      </c>
      <c r="F256" t="s">
        <v>354</v>
      </c>
      <c r="G256" t="s">
        <v>89</v>
      </c>
      <c r="H256" t="s">
        <v>355</v>
      </c>
      <c r="I256">
        <v>10445</v>
      </c>
      <c r="K256" t="s">
        <v>2741</v>
      </c>
      <c r="L256" t="str">
        <f t="shared" si="131"/>
        <v>"id":"s238",</v>
      </c>
      <c r="M256" t="str">
        <v>"cate":"Resistor ",</v>
      </c>
      <c r="N256" t="str">
        <v>"des":"RST 330 1/4W 5%1206",</v>
      </c>
      <c r="O256" t="str">
        <v>"mfg":"ROYAL OHM",</v>
      </c>
      <c r="P256" t="str">
        <v>"pn":"1206S4J0331T5E",</v>
      </c>
      <c r="Q256" t="str">
        <v>"qty":11052</v>
      </c>
      <c r="S256" t="s">
        <v>2498</v>
      </c>
      <c r="T256" t="str">
        <f t="shared" si="132"/>
        <v>"id":"s238","cate":"Resistor ","des":"RST 330 1/4W 5%1206","mfg":"ROYAL OHM","pn":"1206S4J0331T5E","qty":11052</v>
      </c>
      <c r="U256" t="s">
        <v>2503</v>
      </c>
    </row>
    <row r="257" spans="5:21" x14ac:dyDescent="0.25">
      <c r="E257" t="s">
        <v>2394</v>
      </c>
      <c r="F257" t="s">
        <v>2399</v>
      </c>
      <c r="G257" t="s">
        <v>356</v>
      </c>
      <c r="H257" t="s">
        <v>357</v>
      </c>
      <c r="I257">
        <v>10396</v>
      </c>
      <c r="K257" t="s">
        <v>2742</v>
      </c>
      <c r="L257" t="str">
        <f t="shared" si="131"/>
        <v>"id":"s239",</v>
      </c>
      <c r="M257" t="str">
        <v>"cate":"Resistor ",</v>
      </c>
      <c r="N257" t="str">
        <v>"des":"RST 330 1/4W 5%1206",</v>
      </c>
      <c r="O257" t="str">
        <v>"mfg":"ROYAL OHM",</v>
      </c>
      <c r="P257" t="str">
        <v>"pn":"1206W4J0331T5E",</v>
      </c>
      <c r="Q257" t="str">
        <v>"qty":11052</v>
      </c>
      <c r="S257" t="s">
        <v>2498</v>
      </c>
      <c r="T257" t="str">
        <f t="shared" si="132"/>
        <v>"id":"s239","cate":"Resistor ","des":"RST 330 1/4W 5%1206","mfg":"ROYAL OHM","pn":"1206W4J0331T5E","qty":11052</v>
      </c>
      <c r="U257" t="s">
        <v>2503</v>
      </c>
    </row>
    <row r="258" spans="5:21" x14ac:dyDescent="0.25">
      <c r="E258" t="s">
        <v>2193</v>
      </c>
      <c r="F258" t="s">
        <v>358</v>
      </c>
      <c r="G258" t="s">
        <v>176</v>
      </c>
      <c r="H258" t="s">
        <v>359</v>
      </c>
      <c r="I258">
        <v>10387</v>
      </c>
      <c r="K258" t="s">
        <v>2743</v>
      </c>
      <c r="L258" t="str">
        <f t="shared" si="131"/>
        <v>"id":"s240",</v>
      </c>
      <c r="M258" t="str">
        <v>"cate":"Resistor ",</v>
      </c>
      <c r="N258" t="str">
        <v>"des":"RST 330 1/4W 5%1206",</v>
      </c>
      <c r="O258" t="str">
        <v>"mfg":"WALSIN",</v>
      </c>
      <c r="P258" t="str">
        <v>"pn":"WR12X331JTL",</v>
      </c>
      <c r="Q258" t="str">
        <v>"qty":11052</v>
      </c>
      <c r="S258" t="s">
        <v>2498</v>
      </c>
      <c r="T258" t="str">
        <f t="shared" si="132"/>
        <v>"id":"s240","cate":"Resistor ","des":"RST 330 1/4W 5%1206","mfg":"WALSIN","pn":"WR12X331JTL","qty":11052</v>
      </c>
      <c r="U258" t="s">
        <v>2503</v>
      </c>
    </row>
    <row r="259" spans="5:21" x14ac:dyDescent="0.25">
      <c r="E259" t="s">
        <v>2193</v>
      </c>
      <c r="F259" t="s">
        <v>358</v>
      </c>
      <c r="G259" t="s">
        <v>10</v>
      </c>
      <c r="H259" t="s">
        <v>360</v>
      </c>
      <c r="I259">
        <v>10387</v>
      </c>
      <c r="K259" t="s">
        <v>2744</v>
      </c>
      <c r="L259" t="str">
        <f t="shared" si="131"/>
        <v>"id":"s241",</v>
      </c>
      <c r="M259" t="str">
        <v>"cate":"Capacitor",</v>
      </c>
      <c r="N259" t="str">
        <v>"des":"Capacitor 4,7NF 250V2220",</v>
      </c>
      <c r="O259" t="str">
        <v>"mfg":"VISHAY",</v>
      </c>
      <c r="P259" t="str">
        <v>"pn":"VJ2220Y472KXUSTX1",</v>
      </c>
      <c r="Q259" t="str">
        <v>"qty":11046</v>
      </c>
      <c r="S259" t="s">
        <v>2498</v>
      </c>
      <c r="T259" t="str">
        <f t="shared" si="132"/>
        <v>"id":"s241","cate":"Capacitor","des":"Capacitor 4,7NF 250V2220","mfg":"VISHAY","pn":"VJ2220Y472KXUSTX1","qty":11046</v>
      </c>
      <c r="U259" t="s">
        <v>2503</v>
      </c>
    </row>
    <row r="260" spans="5:21" x14ac:dyDescent="0.25">
      <c r="E260" t="s">
        <v>2193</v>
      </c>
      <c r="F260" t="s">
        <v>361</v>
      </c>
      <c r="G260" t="s">
        <v>13</v>
      </c>
      <c r="H260" t="s">
        <v>362</v>
      </c>
      <c r="I260">
        <v>10385</v>
      </c>
      <c r="K260" t="s">
        <v>2745</v>
      </c>
      <c r="L260" t="str">
        <f t="shared" si="131"/>
        <v>"id":"s242",</v>
      </c>
      <c r="M260" t="str">
        <v>"cate":"Capacitor",</v>
      </c>
      <c r="N260" t="str">
        <v>"des":"Capacitor 4,7NF 250V2220",</v>
      </c>
      <c r="O260" t="str">
        <v>"mfg":"MURATA MANUFACTURING",</v>
      </c>
      <c r="P260" t="str">
        <v>"pn":"GA355DR7GF472KW01L",</v>
      </c>
      <c r="Q260" t="str">
        <v>"qty":11046</v>
      </c>
      <c r="S260" t="s">
        <v>2498</v>
      </c>
      <c r="T260" t="str">
        <f t="shared" si="132"/>
        <v>"id":"s242","cate":"Capacitor","des":"Capacitor 4,7NF 250V2220","mfg":"MURATA MANUFACTURING","pn":"GA355DR7GF472KW01L","qty":11046</v>
      </c>
      <c r="U260" t="s">
        <v>2503</v>
      </c>
    </row>
    <row r="261" spans="5:21" x14ac:dyDescent="0.25">
      <c r="E261" t="s">
        <v>2123</v>
      </c>
      <c r="F261" t="s">
        <v>363</v>
      </c>
      <c r="G261" t="s">
        <v>37</v>
      </c>
      <c r="H261" t="s">
        <v>364</v>
      </c>
      <c r="I261">
        <v>10384</v>
      </c>
      <c r="K261" t="s">
        <v>2746</v>
      </c>
      <c r="L261" t="str">
        <f t="shared" si="131"/>
        <v>"id":"s243",</v>
      </c>
      <c r="M261" t="str">
        <v>"cate":"Capacitor",</v>
      </c>
      <c r="N261" t="str">
        <v>"des":"Capacitor 4,7NF 250V2220",</v>
      </c>
      <c r="O261" t="str">
        <v>"mfg":"Syfer",</v>
      </c>
      <c r="P261" t="str">
        <v>"pn":"2220YA250472KXTB16",</v>
      </c>
      <c r="Q261" t="str">
        <v>"qty":11046</v>
      </c>
      <c r="S261" t="s">
        <v>2498</v>
      </c>
      <c r="T261" t="str">
        <f t="shared" si="132"/>
        <v>"id":"s243","cate":"Capacitor","des":"Capacitor 4,7NF 250V2220","mfg":"Syfer","pn":"2220YA250472KXTB16","qty":11046</v>
      </c>
      <c r="U261" t="s">
        <v>2503</v>
      </c>
    </row>
    <row r="262" spans="5:21" x14ac:dyDescent="0.25">
      <c r="E262" t="s">
        <v>2123</v>
      </c>
      <c r="F262" t="s">
        <v>363</v>
      </c>
      <c r="G262" t="s">
        <v>110</v>
      </c>
      <c r="H262" t="s">
        <v>365</v>
      </c>
      <c r="I262">
        <v>10384</v>
      </c>
      <c r="K262" t="s">
        <v>2747</v>
      </c>
      <c r="L262" t="str">
        <f t="shared" si="131"/>
        <v>"id":"s244",</v>
      </c>
      <c r="M262" t="str">
        <v>"cate":"ANTENNA",</v>
      </c>
      <c r="N262" t="str">
        <v>"des":"ANTENNA 2.4G 4PINS",</v>
      </c>
      <c r="O262" t="str">
        <v>"mfg":"JOHANSON",</v>
      </c>
      <c r="P262" t="str">
        <v>"pn":"2450AT43B100E",</v>
      </c>
      <c r="Q262" t="str">
        <v>"qty":11028</v>
      </c>
      <c r="S262" t="s">
        <v>2498</v>
      </c>
      <c r="T262" t="str">
        <f t="shared" si="132"/>
        <v>"id":"s244","cate":"ANTENNA","des":"ANTENNA 2.4G 4PINS","mfg":"JOHANSON","pn":"2450AT43B100E","qty":11028</v>
      </c>
      <c r="U262" t="s">
        <v>2503</v>
      </c>
    </row>
    <row r="263" spans="5:21" x14ac:dyDescent="0.25">
      <c r="E263" t="s">
        <v>2193</v>
      </c>
      <c r="F263" t="s">
        <v>366</v>
      </c>
      <c r="G263" t="s">
        <v>176</v>
      </c>
      <c r="H263" t="s">
        <v>367</v>
      </c>
      <c r="I263">
        <v>10292</v>
      </c>
      <c r="K263" t="s">
        <v>2748</v>
      </c>
      <c r="L263" t="str">
        <f t="shared" si="131"/>
        <v>"id":"s245",</v>
      </c>
      <c r="M263" t="str">
        <v>"cate":"FUSE",</v>
      </c>
      <c r="N263" t="str">
        <v>"des":"FUSE 0,375A 125V-02",</v>
      </c>
      <c r="O263" t="str">
        <v>"mfg":"LITTELFUSE",</v>
      </c>
      <c r="P263" t="str">
        <v>"pn":"0449.375MR",</v>
      </c>
      <c r="Q263" t="str">
        <v>"qty":10916</v>
      </c>
      <c r="S263" t="s">
        <v>2498</v>
      </c>
      <c r="T263" t="str">
        <f t="shared" si="132"/>
        <v>"id":"s245","cate":"FUSE","des":"FUSE 0,375A 125V-02","mfg":"LITTELFUSE","pn":"0449.375MR","qty":10916</v>
      </c>
      <c r="U263" t="s">
        <v>2503</v>
      </c>
    </row>
    <row r="264" spans="5:21" x14ac:dyDescent="0.25">
      <c r="E264" t="s">
        <v>2193</v>
      </c>
      <c r="F264" t="s">
        <v>366</v>
      </c>
      <c r="G264" t="s">
        <v>13</v>
      </c>
      <c r="H264" t="s">
        <v>368</v>
      </c>
      <c r="I264">
        <v>10292</v>
      </c>
      <c r="K264" t="s">
        <v>2749</v>
      </c>
      <c r="L264" t="str">
        <f t="shared" si="131"/>
        <v>"id":"s246",</v>
      </c>
      <c r="M264" t="str">
        <v>"cate":"Capacitor",</v>
      </c>
      <c r="N264" t="str">
        <v>"des":"Capacitor 15PF/16V 10%",</v>
      </c>
      <c r="O264" t="str">
        <v>"mfg":"SAMSUNG",</v>
      </c>
      <c r="P264" t="str">
        <v>"pn":"CL21C150JBANNNC",</v>
      </c>
      <c r="Q264" t="str">
        <v>"qty":10735</v>
      </c>
      <c r="S264" t="s">
        <v>2498</v>
      </c>
      <c r="T264" t="str">
        <f t="shared" si="132"/>
        <v>"id":"s246","cate":"Capacitor","des":"Capacitor 15PF/16V 10%","mfg":"SAMSUNG","pn":"CL21C150JBANNNC","qty":10735</v>
      </c>
      <c r="U264" t="s">
        <v>2503</v>
      </c>
    </row>
    <row r="265" spans="5:21" x14ac:dyDescent="0.25">
      <c r="E265" t="s">
        <v>2193</v>
      </c>
      <c r="F265" t="s">
        <v>366</v>
      </c>
      <c r="G265" t="s">
        <v>5</v>
      </c>
      <c r="H265" t="s">
        <v>369</v>
      </c>
      <c r="I265">
        <v>10292</v>
      </c>
      <c r="K265" t="s">
        <v>2750</v>
      </c>
      <c r="L265" t="str">
        <f t="shared" si="131"/>
        <v>"id":"s247",</v>
      </c>
      <c r="M265" t="str">
        <v>"cate":"Capacitor",</v>
      </c>
      <c r="N265" t="str">
        <v>"des":"Capacitor 47NF K25V 805",</v>
      </c>
      <c r="O265" t="str">
        <v>"mfg":"SAMSUNG",</v>
      </c>
      <c r="P265" t="str">
        <v>"pn":"CL21B473KBCNNNC",</v>
      </c>
      <c r="Q265" t="str">
        <v>"qty":10720</v>
      </c>
      <c r="S265" t="s">
        <v>2498</v>
      </c>
      <c r="T265" t="str">
        <f t="shared" si="132"/>
        <v>"id":"s247","cate":"Capacitor","des":"Capacitor 47NF K25V 805","mfg":"SAMSUNG","pn":"CL21B473KBCNNNC","qty":10720</v>
      </c>
      <c r="U265" t="s">
        <v>2503</v>
      </c>
    </row>
    <row r="266" spans="5:21" x14ac:dyDescent="0.25">
      <c r="E266" t="s">
        <v>2193</v>
      </c>
      <c r="F266" t="s">
        <v>366</v>
      </c>
      <c r="G266" t="s">
        <v>320</v>
      </c>
      <c r="H266" t="s">
        <v>370</v>
      </c>
      <c r="I266">
        <v>10292</v>
      </c>
      <c r="K266" t="s">
        <v>2751</v>
      </c>
      <c r="L266" t="str">
        <f t="shared" si="131"/>
        <v>"id":"s248",</v>
      </c>
      <c r="M266" t="str">
        <v>"cate":"Resistor ",</v>
      </c>
      <c r="N266" t="str">
        <v>"des":"RST 3,9K 1/8W 5%805",</v>
      </c>
      <c r="O266" t="str">
        <v>"mfg":"ROYAL OHM",</v>
      </c>
      <c r="P266" t="str">
        <v>"pn":"0805S8J0392T5E",</v>
      </c>
      <c r="Q266" t="str">
        <v>"qty":10682</v>
      </c>
      <c r="S266" t="s">
        <v>2498</v>
      </c>
      <c r="T266" t="str">
        <f t="shared" si="132"/>
        <v>"id":"s248","cate":"Resistor ","des":"RST 3,9K 1/8W 5%805","mfg":"ROYAL OHM","pn":"0805S8J0392T5E","qty":10682</v>
      </c>
      <c r="U266" t="s">
        <v>2503</v>
      </c>
    </row>
    <row r="267" spans="5:21" x14ac:dyDescent="0.25">
      <c r="E267" t="s">
        <v>2193</v>
      </c>
      <c r="F267" t="s">
        <v>371</v>
      </c>
      <c r="G267" t="s">
        <v>37</v>
      </c>
      <c r="H267" t="s">
        <v>372</v>
      </c>
      <c r="I267">
        <v>10187</v>
      </c>
      <c r="K267" t="s">
        <v>2752</v>
      </c>
      <c r="L267" t="str">
        <f t="shared" si="131"/>
        <v>"id":"s249",</v>
      </c>
      <c r="M267" t="str">
        <v>"cate":"Resistor ",</v>
      </c>
      <c r="N267" t="str">
        <v>"des":"RST 3,9K 1/8W 5%805",</v>
      </c>
      <c r="O267" t="str">
        <v>"mfg":"ROYAL OHM",</v>
      </c>
      <c r="P267" t="str">
        <v>"pn":"0805W8J0392T5E",</v>
      </c>
      <c r="Q267" t="str">
        <v>"qty":10682</v>
      </c>
      <c r="S267" t="s">
        <v>2498</v>
      </c>
      <c r="T267" t="str">
        <f t="shared" si="132"/>
        <v>"id":"s249","cate":"Resistor ","des":"RST 3,9K 1/8W 5%805","mfg":"ROYAL OHM","pn":"0805W8J0392T5E","qty":10682</v>
      </c>
      <c r="U267" t="s">
        <v>2503</v>
      </c>
    </row>
    <row r="268" spans="5:21" x14ac:dyDescent="0.25">
      <c r="E268" t="s">
        <v>2193</v>
      </c>
      <c r="F268" t="s">
        <v>371</v>
      </c>
      <c r="G268" t="s">
        <v>5</v>
      </c>
      <c r="H268" t="s">
        <v>373</v>
      </c>
      <c r="I268">
        <v>10187</v>
      </c>
      <c r="K268" t="s">
        <v>2753</v>
      </c>
      <c r="L268" t="str">
        <f t="shared" si="131"/>
        <v>"id":"s250",</v>
      </c>
      <c r="M268" t="str">
        <v>"cate":"LED ",</v>
      </c>
      <c r="N268" t="str">
        <v>"des":"LED YELLOW DIA 3 MM",</v>
      </c>
      <c r="O268" t="str">
        <v>"mfg":"EVERLIGHT",</v>
      </c>
      <c r="P268" t="str">
        <v>"pn":"MV53642",</v>
      </c>
      <c r="Q268" t="str">
        <v>"qty":10461</v>
      </c>
      <c r="S268" t="s">
        <v>2498</v>
      </c>
      <c r="T268" t="str">
        <f t="shared" si="132"/>
        <v>"id":"s250","cate":"LED ","des":"LED YELLOW DIA 3 MM","mfg":"EVERLIGHT","pn":"MV53642","qty":10461</v>
      </c>
      <c r="U268" t="s">
        <v>2503</v>
      </c>
    </row>
    <row r="269" spans="5:21" x14ac:dyDescent="0.25">
      <c r="E269" t="s">
        <v>2193</v>
      </c>
      <c r="F269" t="s">
        <v>371</v>
      </c>
      <c r="G269" t="s">
        <v>5</v>
      </c>
      <c r="H269" t="s">
        <v>374</v>
      </c>
      <c r="I269">
        <v>10187</v>
      </c>
      <c r="K269" t="s">
        <v>2754</v>
      </c>
      <c r="L269" t="str">
        <f t="shared" si="131"/>
        <v>"id":"s251",</v>
      </c>
      <c r="M269" t="str">
        <v>"cate":"Resistor ",</v>
      </c>
      <c r="N269" t="str">
        <v>"des":"RST 820 1/8W 5% 805",</v>
      </c>
      <c r="O269" t="str">
        <v>"mfg":"BOURNS",</v>
      </c>
      <c r="P269" t="str">
        <v>"pn":"CR0805-JW-821ELF",</v>
      </c>
      <c r="Q269" t="str">
        <v>"qty":10445</v>
      </c>
      <c r="S269" t="s">
        <v>2498</v>
      </c>
      <c r="T269" t="str">
        <f t="shared" si="132"/>
        <v>"id":"s251","cate":"Resistor ","des":"RST 820 1/8W 5% 805","mfg":"BOURNS","pn":"CR0805-JW-821ELF","qty":10445</v>
      </c>
      <c r="U269" t="s">
        <v>2503</v>
      </c>
    </row>
    <row r="270" spans="5:21" x14ac:dyDescent="0.25">
      <c r="E270" t="s">
        <v>2193</v>
      </c>
      <c r="F270" t="s">
        <v>371</v>
      </c>
      <c r="G270" t="s">
        <v>320</v>
      </c>
      <c r="H270" t="s">
        <v>375</v>
      </c>
      <c r="I270">
        <v>10187</v>
      </c>
      <c r="K270" t="s">
        <v>2755</v>
      </c>
      <c r="L270" t="str">
        <f t="shared" si="131"/>
        <v>"id":"s252",</v>
      </c>
      <c r="M270" t="str">
        <v>"cate":"Choke Coil",</v>
      </c>
      <c r="N270" t="str">
        <v>"des":"Choke CoilE SMD 100UH1,5A",</v>
      </c>
      <c r="O270" t="str">
        <v>"mfg":"BI TECHNOLOGIES",</v>
      </c>
      <c r="P270" t="str">
        <v>"pn":"HM76-30101JLFTR13",</v>
      </c>
      <c r="Q270" t="str">
        <v>"qty":10396</v>
      </c>
      <c r="S270" t="s">
        <v>2498</v>
      </c>
      <c r="T270" t="str">
        <f t="shared" si="132"/>
        <v>"id":"s252","cate":"Choke Coil","des":"Choke CoilE SMD 100UH1,5A","mfg":"BI TECHNOLOGIES","pn":"HM76-30101JLFTR13","qty":10396</v>
      </c>
      <c r="U270" t="s">
        <v>2503</v>
      </c>
    </row>
    <row r="271" spans="5:21" x14ac:dyDescent="0.25">
      <c r="E271" t="s">
        <v>2193</v>
      </c>
      <c r="F271" t="s">
        <v>371</v>
      </c>
      <c r="G271" t="s">
        <v>89</v>
      </c>
      <c r="H271" t="s">
        <v>376</v>
      </c>
      <c r="I271">
        <v>10187</v>
      </c>
      <c r="K271" t="s">
        <v>2756</v>
      </c>
      <c r="L271" t="str">
        <f t="shared" si="131"/>
        <v>"id":"s253",</v>
      </c>
      <c r="M271" t="str">
        <v>"cate":"Resistor ",</v>
      </c>
      <c r="N271" t="str">
        <v>"des":"RST 1K 1/4W 5%SMD",</v>
      </c>
      <c r="O271" t="str">
        <v>"mfg":"PANASONIC",</v>
      </c>
      <c r="P271" t="str">
        <v>"pn":"ERJ-8GEYJ102V",</v>
      </c>
      <c r="Q271" t="str">
        <v>"qty":10387</v>
      </c>
      <c r="S271" t="s">
        <v>2498</v>
      </c>
      <c r="T271" t="str">
        <f t="shared" si="132"/>
        <v>"id":"s253","cate":"Resistor ","des":"RST 1K 1/4W 5%SMD","mfg":"PANASONIC","pn":"ERJ-8GEYJ102V","qty":10387</v>
      </c>
      <c r="U271" t="s">
        <v>2503</v>
      </c>
    </row>
    <row r="272" spans="5:21" x14ac:dyDescent="0.25">
      <c r="E272" t="s">
        <v>2193</v>
      </c>
      <c r="F272" t="s">
        <v>371</v>
      </c>
      <c r="G272" t="s">
        <v>89</v>
      </c>
      <c r="H272" t="s">
        <v>377</v>
      </c>
      <c r="I272">
        <v>10187</v>
      </c>
      <c r="K272" t="s">
        <v>2757</v>
      </c>
      <c r="L272" t="str">
        <f t="shared" si="131"/>
        <v>"id":"s254",</v>
      </c>
      <c r="M272" t="str">
        <v>"cate":"Resistor ",</v>
      </c>
      <c r="N272" t="str">
        <v>"des":"RST 1K 1/4W 5%SMD",</v>
      </c>
      <c r="O272" t="str">
        <v>"mfg":"WALSIN",</v>
      </c>
      <c r="P272" t="str">
        <v>"pn":"WR12X102 JTL",</v>
      </c>
      <c r="Q272" t="str">
        <v>"qty":10387</v>
      </c>
      <c r="S272" t="s">
        <v>2498</v>
      </c>
      <c r="T272" t="str">
        <f t="shared" si="132"/>
        <v>"id":"s254","cate":"Resistor ","des":"RST 1K 1/4W 5%SMD","mfg":"WALSIN","pn":"WR12X102 JTL","qty":10387</v>
      </c>
      <c r="U272" t="s">
        <v>2503</v>
      </c>
    </row>
    <row r="273" spans="5:21" x14ac:dyDescent="0.25">
      <c r="E273" s="6" t="s">
        <v>2496</v>
      </c>
      <c r="F273" s="6" t="s">
        <v>378</v>
      </c>
      <c r="G273" t="s">
        <v>379</v>
      </c>
      <c r="H273" t="s">
        <v>380</v>
      </c>
      <c r="I273">
        <v>10102</v>
      </c>
      <c r="K273" t="s">
        <v>2758</v>
      </c>
      <c r="L273" t="str">
        <f t="shared" si="131"/>
        <v>"id":"s255",</v>
      </c>
      <c r="M273" t="str">
        <v>"cate":"Resistor ",</v>
      </c>
      <c r="N273" t="str">
        <v>"des":"RST 1K21 0,1W1%0603",</v>
      </c>
      <c r="O273" t="str">
        <v>"mfg":"YAGEO",</v>
      </c>
      <c r="P273" t="str">
        <v>"pn":"RC0603FR-071K21L",</v>
      </c>
      <c r="Q273" t="str">
        <v>"qty":10385</v>
      </c>
      <c r="S273" t="s">
        <v>2498</v>
      </c>
      <c r="T273" t="str">
        <f t="shared" si="132"/>
        <v>"id":"s255","cate":"Resistor ","des":"RST 1K21 0,1W1%0603","mfg":"YAGEO","pn":"RC0603FR-071K21L","qty":10385</v>
      </c>
      <c r="U273" t="s">
        <v>2503</v>
      </c>
    </row>
    <row r="274" spans="5:21" x14ac:dyDescent="0.25">
      <c r="E274" t="s">
        <v>2193</v>
      </c>
      <c r="F274" t="s">
        <v>381</v>
      </c>
      <c r="G274" t="s">
        <v>13</v>
      </c>
      <c r="H274" t="s">
        <v>382</v>
      </c>
      <c r="I274">
        <v>9982</v>
      </c>
      <c r="K274" t="s">
        <v>2759</v>
      </c>
      <c r="L274" t="str">
        <f t="shared" si="131"/>
        <v>"id":"s256",</v>
      </c>
      <c r="M274" t="str">
        <v>"cate":"LED ",</v>
      </c>
      <c r="N274" t="str">
        <v>"des":"LED SMD CMS RED",</v>
      </c>
      <c r="O274" t="str">
        <v>"mfg":"VISHAY",</v>
      </c>
      <c r="P274" t="str">
        <v>"pn":"VLRK31Q1R2-GS08",</v>
      </c>
      <c r="Q274" t="str">
        <v>"qty":10384</v>
      </c>
      <c r="S274" t="s">
        <v>2498</v>
      </c>
      <c r="T274" t="str">
        <f t="shared" si="132"/>
        <v>"id":"s256","cate":"LED ","des":"LED SMD CMS RED","mfg":"VISHAY","pn":"VLRK31Q1R2-GS08","qty":10384</v>
      </c>
      <c r="U274" t="s">
        <v>2503</v>
      </c>
    </row>
    <row r="275" spans="5:21" x14ac:dyDescent="0.25">
      <c r="E275" t="s">
        <v>2137</v>
      </c>
      <c r="F275" t="s">
        <v>383</v>
      </c>
      <c r="G275" t="s">
        <v>384</v>
      </c>
      <c r="H275" t="s">
        <v>385</v>
      </c>
      <c r="I275">
        <v>9942</v>
      </c>
      <c r="K275" t="s">
        <v>2760</v>
      </c>
      <c r="L275" t="str">
        <f t="shared" si="131"/>
        <v>"id":"s257",</v>
      </c>
      <c r="M275" t="str">
        <v>"cate":"LED ",</v>
      </c>
      <c r="N275" t="str">
        <v>"des":"LED SMD CMS RED",</v>
      </c>
      <c r="O275" t="str">
        <v>"mfg":"OSRAM",</v>
      </c>
      <c r="P275" t="str">
        <v>"pn":"LS T776-P2S1-1-0-20-R18-Z",</v>
      </c>
      <c r="Q275" t="str">
        <v>"qty":10384</v>
      </c>
      <c r="S275" t="s">
        <v>2498</v>
      </c>
      <c r="T275" t="str">
        <f t="shared" si="132"/>
        <v>"id":"s257","cate":"LED ","des":"LED SMD CMS RED","mfg":"OSRAM","pn":"LS T776-P2S1-1-0-20-R18-Z","qty":10384</v>
      </c>
      <c r="U275" t="s">
        <v>2503</v>
      </c>
    </row>
    <row r="276" spans="5:21" x14ac:dyDescent="0.25">
      <c r="E276" t="s">
        <v>2137</v>
      </c>
      <c r="F276" t="s">
        <v>383</v>
      </c>
      <c r="G276" t="s">
        <v>384</v>
      </c>
      <c r="H276" t="s">
        <v>386</v>
      </c>
      <c r="I276">
        <v>9942</v>
      </c>
      <c r="K276" t="s">
        <v>2761</v>
      </c>
      <c r="L276" t="str">
        <f t="shared" ref="L276:L339" si="133">_xlfn.CONCAT("""","id","""",":","""",K276,"""",",")</f>
        <v>"id":"s258",</v>
      </c>
      <c r="M276" t="str">
        <v>"cate":"Resistor ",</v>
      </c>
      <c r="N276" t="str">
        <v>"des":"RST 100 1/8W 1% 603",</v>
      </c>
      <c r="O276" t="str">
        <v>"mfg":"PANASONIC",</v>
      </c>
      <c r="P276" t="str">
        <v>"pn":"ERJ-3EKF1000V",</v>
      </c>
      <c r="Q276" t="str">
        <v>"qty":10292</v>
      </c>
      <c r="S276" t="s">
        <v>2498</v>
      </c>
      <c r="T276" t="str">
        <f t="shared" ref="T276:T339" si="134">_xlfn.CONCAT(L276:Q276)</f>
        <v>"id":"s258","cate":"Resistor ","des":"RST 100 1/8W 1% 603","mfg":"PANASONIC","pn":"ERJ-3EKF1000V","qty":10292</v>
      </c>
      <c r="U276" t="s">
        <v>2503</v>
      </c>
    </row>
    <row r="277" spans="5:21" x14ac:dyDescent="0.25">
      <c r="E277" t="s">
        <v>2194</v>
      </c>
      <c r="F277" t="s">
        <v>2233</v>
      </c>
      <c r="G277" t="s">
        <v>13</v>
      </c>
      <c r="H277" t="s">
        <v>387</v>
      </c>
      <c r="I277">
        <v>9936</v>
      </c>
      <c r="K277" t="s">
        <v>2762</v>
      </c>
      <c r="L277" t="str">
        <f t="shared" si="133"/>
        <v>"id":"s259",</v>
      </c>
      <c r="M277" t="str">
        <v>"cate":"Resistor ",</v>
      </c>
      <c r="N277" t="str">
        <v>"des":"RST 100 1/8W 1% 603",</v>
      </c>
      <c r="O277" t="str">
        <v>"mfg":"YAGEO",</v>
      </c>
      <c r="P277" t="str">
        <v>"pn":"RC0603FR-07100RL",</v>
      </c>
      <c r="Q277" t="str">
        <v>"qty":10292</v>
      </c>
      <c r="S277" t="s">
        <v>2498</v>
      </c>
      <c r="T277" t="str">
        <f t="shared" si="134"/>
        <v>"id":"s259","cate":"Resistor ","des":"RST 100 1/8W 1% 603","mfg":"YAGEO","pn":"RC0603FR-07100RL","qty":10292</v>
      </c>
      <c r="U277" t="s">
        <v>2503</v>
      </c>
    </row>
    <row r="278" spans="5:21" x14ac:dyDescent="0.25">
      <c r="E278" t="s">
        <v>2405</v>
      </c>
      <c r="F278" t="s">
        <v>2413</v>
      </c>
      <c r="G278" t="s">
        <v>61</v>
      </c>
      <c r="H278" t="s">
        <v>388</v>
      </c>
      <c r="I278">
        <v>9899</v>
      </c>
      <c r="K278" t="s">
        <v>2763</v>
      </c>
      <c r="L278" t="str">
        <f t="shared" si="133"/>
        <v>"id":"s260",</v>
      </c>
      <c r="M278" t="str">
        <v>"cate":"Resistor ",</v>
      </c>
      <c r="N278" t="str">
        <v>"des":"RST 100 1/8W 1% 603",</v>
      </c>
      <c r="O278" t="str">
        <v>"mfg":"KOA",</v>
      </c>
      <c r="P278" t="str">
        <v>"pn":"RK73H1JTTD1000F",</v>
      </c>
      <c r="Q278" t="str">
        <v>"qty":10292</v>
      </c>
      <c r="S278" t="s">
        <v>2498</v>
      </c>
      <c r="T278" t="str">
        <f t="shared" si="134"/>
        <v>"id":"s260","cate":"Resistor ","des":"RST 100 1/8W 1% 603","mfg":"KOA","pn":"RK73H1JTTD1000F","qty":10292</v>
      </c>
      <c r="U278" t="s">
        <v>2503</v>
      </c>
    </row>
    <row r="279" spans="5:21" x14ac:dyDescent="0.25">
      <c r="E279" t="s">
        <v>2194</v>
      </c>
      <c r="F279" t="s">
        <v>2234</v>
      </c>
      <c r="G279" t="s">
        <v>49</v>
      </c>
      <c r="H279" t="s">
        <v>389</v>
      </c>
      <c r="I279">
        <v>9872</v>
      </c>
      <c r="K279" t="s">
        <v>2764</v>
      </c>
      <c r="L279" t="str">
        <f t="shared" si="133"/>
        <v>"id":"s261",</v>
      </c>
      <c r="M279" t="str">
        <v>"cate":"Resistor ",</v>
      </c>
      <c r="N279" t="str">
        <v>"des":"RST 100 1/8W 1% 603",</v>
      </c>
      <c r="O279" t="str">
        <v>"mfg":"ROYAL OHM",</v>
      </c>
      <c r="P279" t="str">
        <v>"pn":"0603WAF1000T5E",</v>
      </c>
      <c r="Q279" t="str">
        <v>"qty":10292</v>
      </c>
      <c r="S279" t="s">
        <v>2498</v>
      </c>
      <c r="T279" t="str">
        <f t="shared" si="134"/>
        <v>"id":"s261","cate":"Resistor ","des":"RST 100 1/8W 1% 603","mfg":"ROYAL OHM","pn":"0603WAF1000T5E","qty":10292</v>
      </c>
      <c r="U279" t="s">
        <v>2503</v>
      </c>
    </row>
    <row r="280" spans="5:21" x14ac:dyDescent="0.25">
      <c r="E280" t="s">
        <v>2382</v>
      </c>
      <c r="F280" t="s">
        <v>2385</v>
      </c>
      <c r="G280" t="s">
        <v>149</v>
      </c>
      <c r="H280" t="s">
        <v>390</v>
      </c>
      <c r="I280">
        <v>9848</v>
      </c>
      <c r="K280" t="s">
        <v>2765</v>
      </c>
      <c r="L280" t="str">
        <f t="shared" si="133"/>
        <v>"id":"s262",</v>
      </c>
      <c r="M280" t="str">
        <v>"cate":"Resistor ",</v>
      </c>
      <c r="N280" t="str">
        <v>"des":"RST 1K 1/8W 1% 0805",</v>
      </c>
      <c r="O280" t="str">
        <v>"mfg":"VISHAY",</v>
      </c>
      <c r="P280" t="str">
        <v>"pn":"CRCW08051K00FKEAC",</v>
      </c>
      <c r="Q280" t="str">
        <v>"qty":10187</v>
      </c>
      <c r="S280" t="s">
        <v>2498</v>
      </c>
      <c r="T280" t="str">
        <f t="shared" si="134"/>
        <v>"id":"s262","cate":"Resistor ","des":"RST 1K 1/8W 1% 0805","mfg":"VISHAY","pn":"CRCW08051K00FKEAC","qty":10187</v>
      </c>
      <c r="U280" t="s">
        <v>2503</v>
      </c>
    </row>
    <row r="281" spans="5:21" x14ac:dyDescent="0.25">
      <c r="E281" t="s">
        <v>2382</v>
      </c>
      <c r="F281" t="s">
        <v>2385</v>
      </c>
      <c r="G281" t="s">
        <v>149</v>
      </c>
      <c r="H281" t="s">
        <v>391</v>
      </c>
      <c r="I281">
        <v>9848</v>
      </c>
      <c r="K281" t="s">
        <v>2766</v>
      </c>
      <c r="L281" t="str">
        <f t="shared" si="133"/>
        <v>"id":"s263",</v>
      </c>
      <c r="M281" t="str">
        <v>"cate":"Resistor ",</v>
      </c>
      <c r="N281" t="str">
        <v>"des":"RST 1K 1/8W 1% 0805",</v>
      </c>
      <c r="O281" t="str">
        <v>"mfg":"KOA",</v>
      </c>
      <c r="P281" t="str">
        <v>"pn":"RK73H2ATTD1001F",</v>
      </c>
      <c r="Q281" t="str">
        <v>"qty":10187</v>
      </c>
      <c r="S281" t="s">
        <v>2498</v>
      </c>
      <c r="T281" t="str">
        <f t="shared" si="134"/>
        <v>"id":"s263","cate":"Resistor ","des":"RST 1K 1/8W 1% 0805","mfg":"KOA","pn":"RK73H2ATTD1001F","qty":10187</v>
      </c>
      <c r="U281" t="s">
        <v>2503</v>
      </c>
    </row>
    <row r="282" spans="5:21" x14ac:dyDescent="0.25">
      <c r="E282" t="s">
        <v>2382</v>
      </c>
      <c r="F282" t="s">
        <v>2385</v>
      </c>
      <c r="G282" t="s">
        <v>28</v>
      </c>
      <c r="H282" t="s">
        <v>392</v>
      </c>
      <c r="I282">
        <v>9848</v>
      </c>
      <c r="K282" t="s">
        <v>2767</v>
      </c>
      <c r="L282" t="str">
        <f t="shared" si="133"/>
        <v>"id":"s264",</v>
      </c>
      <c r="M282" t="str">
        <v>"cate":"Resistor ",</v>
      </c>
      <c r="N282" t="str">
        <v>"des":"RST 1K 1/8W 1% 0805",</v>
      </c>
      <c r="O282" t="str">
        <v>"mfg":"KOA",</v>
      </c>
      <c r="P282" t="str">
        <v>"pn":"RK73H2ATTE1001F",</v>
      </c>
      <c r="Q282" t="str">
        <v>"qty":10187</v>
      </c>
      <c r="S282" t="s">
        <v>2498</v>
      </c>
      <c r="T282" t="str">
        <f t="shared" si="134"/>
        <v>"id":"s264","cate":"Resistor ","des":"RST 1K 1/8W 1% 0805","mfg":"KOA","pn":"RK73H2ATTE1001F","qty":10187</v>
      </c>
      <c r="U282" t="s">
        <v>2503</v>
      </c>
    </row>
    <row r="283" spans="5:21" x14ac:dyDescent="0.25">
      <c r="E283" s="6" t="s">
        <v>2489</v>
      </c>
      <c r="F283" t="s">
        <v>393</v>
      </c>
      <c r="G283" t="s">
        <v>45</v>
      </c>
      <c r="H283" t="s">
        <v>394</v>
      </c>
      <c r="I283">
        <v>9775</v>
      </c>
      <c r="K283" t="s">
        <v>2768</v>
      </c>
      <c r="L283" t="str">
        <f t="shared" si="133"/>
        <v>"id":"s265",</v>
      </c>
      <c r="M283" t="str">
        <v>"cate":"Resistor ",</v>
      </c>
      <c r="N283" t="str">
        <v>"des":"RST 1K 1/8W 1% 0805",</v>
      </c>
      <c r="O283" t="str">
        <v>"mfg":"ROYAL OHM",</v>
      </c>
      <c r="P283" t="str">
        <v>"pn":"0805W8F1001T5E",</v>
      </c>
      <c r="Q283" t="str">
        <v>"qty":10187</v>
      </c>
      <c r="S283" t="s">
        <v>2498</v>
      </c>
      <c r="T283" t="str">
        <f t="shared" si="134"/>
        <v>"id":"s265","cate":"Resistor ","des":"RST 1K 1/8W 1% 0805","mfg":"ROYAL OHM","pn":"0805W8F1001T5E","qty":10187</v>
      </c>
      <c r="U283" t="s">
        <v>2503</v>
      </c>
    </row>
    <row r="284" spans="5:21" x14ac:dyDescent="0.25">
      <c r="E284" s="6" t="s">
        <v>2489</v>
      </c>
      <c r="F284" t="s">
        <v>393</v>
      </c>
      <c r="G284" t="s">
        <v>45</v>
      </c>
      <c r="H284" t="s">
        <v>395</v>
      </c>
      <c r="I284">
        <v>9775</v>
      </c>
      <c r="K284" t="s">
        <v>2769</v>
      </c>
      <c r="L284" t="str">
        <f t="shared" si="133"/>
        <v>"id":"s266",</v>
      </c>
      <c r="M284" t="str">
        <v>"cate":"Resistor ",</v>
      </c>
      <c r="N284" t="str">
        <v>"des":"RST 1K 1/8W 1% 0805",</v>
      </c>
      <c r="O284" t="str">
        <v>"mfg":"BOURNS",</v>
      </c>
      <c r="P284" t="str">
        <v>"pn":"CR0805-FX-1001ELF",</v>
      </c>
      <c r="Q284" t="str">
        <v>"qty":10187</v>
      </c>
      <c r="S284" t="s">
        <v>2498</v>
      </c>
      <c r="T284" t="str">
        <f t="shared" si="134"/>
        <v>"id":"s266","cate":"Resistor ","des":"RST 1K 1/8W 1% 0805","mfg":"BOURNS","pn":"CR0805-FX-1001ELF","qty":10187</v>
      </c>
      <c r="U284" t="s">
        <v>2503</v>
      </c>
    </row>
    <row r="285" spans="5:21" x14ac:dyDescent="0.25">
      <c r="E285" s="6" t="s">
        <v>2489</v>
      </c>
      <c r="F285" t="s">
        <v>393</v>
      </c>
      <c r="G285" t="s">
        <v>45</v>
      </c>
      <c r="H285" t="s">
        <v>396</v>
      </c>
      <c r="I285">
        <v>9775</v>
      </c>
      <c r="K285" t="s">
        <v>2770</v>
      </c>
      <c r="L285" t="str">
        <f t="shared" si="133"/>
        <v>"id":"s267",</v>
      </c>
      <c r="M285" t="str">
        <v>"cate":"Resistor ",</v>
      </c>
      <c r="N285" t="str">
        <v>"des":"RST 1K 1/8W 1% 0805",</v>
      </c>
      <c r="O285" t="str">
        <v>"mfg":"BOURNS",</v>
      </c>
      <c r="P285" t="str">
        <v>"pn":"CR0805FX-1001ELF",</v>
      </c>
      <c r="Q285" t="str">
        <v>"qty":10187</v>
      </c>
      <c r="S285" t="s">
        <v>2498</v>
      </c>
      <c r="T285" t="str">
        <f t="shared" si="134"/>
        <v>"id":"s267","cate":"Resistor ","des":"RST 1K 1/8W 1% 0805","mfg":"BOURNS","pn":"CR0805FX-1001ELF","qty":10187</v>
      </c>
      <c r="U285" t="s">
        <v>2503</v>
      </c>
    </row>
    <row r="286" spans="5:21" x14ac:dyDescent="0.25">
      <c r="E286" t="s">
        <v>2194</v>
      </c>
      <c r="F286" t="s">
        <v>2235</v>
      </c>
      <c r="G286" t="s">
        <v>47</v>
      </c>
      <c r="H286" t="s">
        <v>397</v>
      </c>
      <c r="I286">
        <v>9765</v>
      </c>
      <c r="K286" t="s">
        <v>2771</v>
      </c>
      <c r="L286" t="str">
        <f t="shared" si="133"/>
        <v>"id":"s268",</v>
      </c>
      <c r="M286" t="str">
        <v>"cate":"BATTERY",</v>
      </c>
      <c r="N286" t="str">
        <v>"des":"BAT HOLDER CR2032-2",</v>
      </c>
      <c r="O286" t="str">
        <v>"mfg":"KEYSTONE ELECTRONICS",</v>
      </c>
      <c r="P286" t="str">
        <v>"pn":"3003",</v>
      </c>
      <c r="Q286" t="str">
        <v>"qty":10102</v>
      </c>
      <c r="S286" t="s">
        <v>2498</v>
      </c>
      <c r="T286" t="str">
        <f t="shared" si="134"/>
        <v>"id":"s268","cate":"BATTERY","des":"BAT HOLDER CR2032-2","mfg":"KEYSTONE ELECTRONICS","pn":"3003","qty":10102</v>
      </c>
      <c r="U286" t="s">
        <v>2503</v>
      </c>
    </row>
    <row r="287" spans="5:21" x14ac:dyDescent="0.25">
      <c r="E287" t="s">
        <v>2194</v>
      </c>
      <c r="F287" t="s">
        <v>2235</v>
      </c>
      <c r="G287" t="s">
        <v>47</v>
      </c>
      <c r="H287" t="s">
        <v>398</v>
      </c>
      <c r="I287">
        <v>9765</v>
      </c>
      <c r="K287" t="s">
        <v>2772</v>
      </c>
      <c r="L287" t="str">
        <f t="shared" si="133"/>
        <v>"id":"s269",</v>
      </c>
      <c r="M287" t="str">
        <v>"cate":"Resistor ",</v>
      </c>
      <c r="N287" t="str">
        <v>"des":"RST 75K 1/16W 1%402",</v>
      </c>
      <c r="O287" t="str">
        <v>"mfg":"YAGEO",</v>
      </c>
      <c r="P287" t="str">
        <v>"pn":"RC0402FR-0775KL",</v>
      </c>
      <c r="Q287" t="str">
        <v>"qty":9982</v>
      </c>
      <c r="S287" t="s">
        <v>2498</v>
      </c>
      <c r="T287" t="str">
        <f t="shared" si="134"/>
        <v>"id":"s269","cate":"Resistor ","des":"RST 75K 1/16W 1%402","mfg":"YAGEO","pn":"RC0402FR-0775KL","qty":9982</v>
      </c>
      <c r="U287" t="s">
        <v>2503</v>
      </c>
    </row>
    <row r="288" spans="5:21" x14ac:dyDescent="0.25">
      <c r="E288" t="s">
        <v>2193</v>
      </c>
      <c r="F288" t="s">
        <v>399</v>
      </c>
      <c r="G288" t="s">
        <v>13</v>
      </c>
      <c r="H288" t="s">
        <v>400</v>
      </c>
      <c r="I288">
        <v>9718</v>
      </c>
      <c r="K288" t="s">
        <v>2773</v>
      </c>
      <c r="L288" t="str">
        <f t="shared" si="133"/>
        <v>"id":"s270",</v>
      </c>
      <c r="M288" t="str">
        <v>"cate":"SCR ",</v>
      </c>
      <c r="N288" t="str">
        <v>"des":"SCR 1200V 79A TO247",</v>
      </c>
      <c r="O288" t="str">
        <v>"mfg":"WEEN",</v>
      </c>
      <c r="P288" t="str">
        <v>"pn":"BT155W-1200T-AQ",</v>
      </c>
      <c r="Q288" t="str">
        <v>"qty":9942</v>
      </c>
      <c r="S288" t="s">
        <v>2498</v>
      </c>
      <c r="T288" t="str">
        <f t="shared" si="134"/>
        <v>"id":"s270","cate":"SCR ","des":"SCR 1200V 79A TO247","mfg":"WEEN","pn":"BT155W-1200T-AQ","qty":9942</v>
      </c>
      <c r="U288" t="s">
        <v>2503</v>
      </c>
    </row>
    <row r="289" spans="5:21" x14ac:dyDescent="0.25">
      <c r="E289" s="6" t="s">
        <v>2488</v>
      </c>
      <c r="F289" t="s">
        <v>401</v>
      </c>
      <c r="G289" t="s">
        <v>28</v>
      </c>
      <c r="H289" t="s">
        <v>402</v>
      </c>
      <c r="I289">
        <v>9709</v>
      </c>
      <c r="K289" t="s">
        <v>2774</v>
      </c>
      <c r="L289" t="str">
        <f t="shared" si="133"/>
        <v>"id":"s271",</v>
      </c>
      <c r="M289" t="str">
        <v>"cate":"SCR ",</v>
      </c>
      <c r="N289" t="str">
        <v>"des":"SCR 1200V 79A TO247",</v>
      </c>
      <c r="O289" t="str">
        <v>"mfg":"WEEN",</v>
      </c>
      <c r="P289" t="str">
        <v>"pn":"BT155W-1200TQ",</v>
      </c>
      <c r="Q289" t="str">
        <v>"qty":9942</v>
      </c>
      <c r="S289" t="s">
        <v>2498</v>
      </c>
      <c r="T289" t="str">
        <f t="shared" si="134"/>
        <v>"id":"s271","cate":"SCR ","des":"SCR 1200V 79A TO247","mfg":"WEEN","pn":"BT155W-1200TQ","qty":9942</v>
      </c>
      <c r="U289" t="s">
        <v>2503</v>
      </c>
    </row>
    <row r="290" spans="5:21" x14ac:dyDescent="0.25">
      <c r="E290" t="s">
        <v>2193</v>
      </c>
      <c r="F290" t="s">
        <v>403</v>
      </c>
      <c r="G290" t="s">
        <v>13</v>
      </c>
      <c r="H290" t="s">
        <v>404</v>
      </c>
      <c r="I290">
        <v>9647</v>
      </c>
      <c r="K290" t="s">
        <v>2775</v>
      </c>
      <c r="L290" t="str">
        <f t="shared" si="133"/>
        <v>"id":"s272",</v>
      </c>
      <c r="M290" t="str">
        <v>"cate":"Capacitor",</v>
      </c>
      <c r="N290" t="str">
        <v>"des":"Capacitor 10NF/16V 10%-A",</v>
      </c>
      <c r="O290" t="str">
        <v>"mfg":"YAGEO",</v>
      </c>
      <c r="P290" t="str">
        <v>"pn":"CC0402KRX7R7BB103",</v>
      </c>
      <c r="Q290" t="str">
        <v>"qty":9936</v>
      </c>
      <c r="S290" t="s">
        <v>2498</v>
      </c>
      <c r="T290" t="str">
        <f t="shared" si="134"/>
        <v>"id":"s272","cate":"Capacitor","des":"Capacitor 10NF/16V 10%-A","mfg":"YAGEO","pn":"CC0402KRX7R7BB103","qty":9936</v>
      </c>
      <c r="U290" t="s">
        <v>2503</v>
      </c>
    </row>
    <row r="291" spans="5:21" x14ac:dyDescent="0.25">
      <c r="E291" t="s">
        <v>2193</v>
      </c>
      <c r="F291" t="s">
        <v>403</v>
      </c>
      <c r="G291" t="s">
        <v>5</v>
      </c>
      <c r="H291" t="s">
        <v>405</v>
      </c>
      <c r="I291">
        <v>9647</v>
      </c>
      <c r="K291" t="s">
        <v>2776</v>
      </c>
      <c r="L291" t="str">
        <f t="shared" si="133"/>
        <v>"id":"s273",</v>
      </c>
      <c r="M291" t="str">
        <v>"cate":"Diode",</v>
      </c>
      <c r="N291" t="str">
        <v>"des":"DiodeE 1200V 2A SMD",</v>
      </c>
      <c r="O291" t="str">
        <v>"mfg":"STMICROELECTRONICS",</v>
      </c>
      <c r="P291" t="str">
        <v>"pn":"STTH212U",</v>
      </c>
      <c r="Q291" t="str">
        <v>"qty":9899</v>
      </c>
      <c r="S291" t="s">
        <v>2498</v>
      </c>
      <c r="T291" t="str">
        <f t="shared" si="134"/>
        <v>"id":"s273","cate":"Diode","des":"DiodeE 1200V 2A SMD","mfg":"STMICROELECTRONICS","pn":"STTH212U","qty":9899</v>
      </c>
      <c r="U291" t="s">
        <v>2503</v>
      </c>
    </row>
    <row r="292" spans="5:21" x14ac:dyDescent="0.25">
      <c r="E292" t="s">
        <v>2193</v>
      </c>
      <c r="F292" t="s">
        <v>403</v>
      </c>
      <c r="G292" t="s">
        <v>320</v>
      </c>
      <c r="H292" t="s">
        <v>406</v>
      </c>
      <c r="I292">
        <v>9647</v>
      </c>
      <c r="K292" t="s">
        <v>2777</v>
      </c>
      <c r="L292" t="str">
        <f t="shared" si="133"/>
        <v>"id":"s274",</v>
      </c>
      <c r="M292" t="str">
        <v>"cate":"Capacitor",</v>
      </c>
      <c r="N292" t="str">
        <v>"des":"Capacitor 47PF/25V 0402",</v>
      </c>
      <c r="O292" t="str">
        <v>"mfg":"AVX",</v>
      </c>
      <c r="P292" t="str">
        <v>"pn":"04023A470JAT2A",</v>
      </c>
      <c r="Q292" t="str">
        <v>"qty":9872</v>
      </c>
      <c r="S292" t="s">
        <v>2498</v>
      </c>
      <c r="T292" t="str">
        <f t="shared" si="134"/>
        <v>"id":"s274","cate":"Capacitor","des":"Capacitor 47PF/25V 0402","mfg":"AVX","pn":"04023A470JAT2A","qty":9872</v>
      </c>
      <c r="U292" t="s">
        <v>2503</v>
      </c>
    </row>
    <row r="293" spans="5:21" x14ac:dyDescent="0.25">
      <c r="E293" t="s">
        <v>2193</v>
      </c>
      <c r="F293" t="s">
        <v>403</v>
      </c>
      <c r="G293" t="s">
        <v>207</v>
      </c>
      <c r="H293" t="s">
        <v>407</v>
      </c>
      <c r="I293">
        <v>9647</v>
      </c>
      <c r="K293" t="s">
        <v>2778</v>
      </c>
      <c r="L293" t="str">
        <f t="shared" si="133"/>
        <v>"id":"s275",</v>
      </c>
      <c r="M293" t="str">
        <v>"cate":"IC",</v>
      </c>
      <c r="N293" t="str">
        <v>"des":"ICMD LM2931AD?5,0",</v>
      </c>
      <c r="O293" t="str">
        <v>"mfg":"TEXAS INSTRUMENTS",</v>
      </c>
      <c r="P293" t="str">
        <v>"pn":"LM2931M-5.0/NOPB",</v>
      </c>
      <c r="Q293" t="str">
        <v>"qty":9848</v>
      </c>
      <c r="S293" t="s">
        <v>2498</v>
      </c>
      <c r="T293" t="str">
        <f t="shared" si="134"/>
        <v>"id":"s275","cate":"IC","des":"ICMD LM2931AD?5,0","mfg":"TEXAS INSTRUMENTS","pn":"LM2931M-5.0/NOPB","qty":9848</v>
      </c>
      <c r="U293" t="s">
        <v>2503</v>
      </c>
    </row>
    <row r="294" spans="5:21" x14ac:dyDescent="0.25">
      <c r="E294" t="s">
        <v>2194</v>
      </c>
      <c r="F294" t="s">
        <v>2236</v>
      </c>
      <c r="G294" t="s">
        <v>47</v>
      </c>
      <c r="H294" t="s">
        <v>408</v>
      </c>
      <c r="I294">
        <v>9621</v>
      </c>
      <c r="K294" t="s">
        <v>2779</v>
      </c>
      <c r="L294" t="str">
        <f t="shared" si="133"/>
        <v>"id":"s276",</v>
      </c>
      <c r="M294" t="str">
        <v>"cate":"IC",</v>
      </c>
      <c r="N294" t="str">
        <v>"des":"ICMD LM2931AD?5,0",</v>
      </c>
      <c r="O294" t="str">
        <v>"mfg":"TEXAS INSTRUMENTS",</v>
      </c>
      <c r="P294" t="str">
        <v>"pn":"LM2931MX-5.0/NOPB",</v>
      </c>
      <c r="Q294" t="str">
        <v>"qty":9848</v>
      </c>
      <c r="S294" t="s">
        <v>2498</v>
      </c>
      <c r="T294" t="str">
        <f t="shared" si="134"/>
        <v>"id":"s276","cate":"IC","des":"ICMD LM2931AD?5,0","mfg":"TEXAS INSTRUMENTS","pn":"LM2931MX-5.0/NOPB","qty":9848</v>
      </c>
      <c r="U294" t="s">
        <v>2503</v>
      </c>
    </row>
    <row r="295" spans="5:21" x14ac:dyDescent="0.25">
      <c r="E295" t="s">
        <v>2194</v>
      </c>
      <c r="F295" t="s">
        <v>2236</v>
      </c>
      <c r="G295" t="s">
        <v>47</v>
      </c>
      <c r="H295" t="s">
        <v>409</v>
      </c>
      <c r="I295">
        <v>9621</v>
      </c>
      <c r="K295" t="s">
        <v>2780</v>
      </c>
      <c r="L295" t="str">
        <f t="shared" si="133"/>
        <v>"id":"s277",</v>
      </c>
      <c r="M295" t="str">
        <v>"cate":"IC",</v>
      </c>
      <c r="N295" t="str">
        <v>"des":"ICMD LM2931AD?5,0",</v>
      </c>
      <c r="O295" t="str">
        <v>"mfg":"ON SEMICONDUCTOR",</v>
      </c>
      <c r="P295" t="str">
        <v>"pn":"LM2931AD-5.0R2G",</v>
      </c>
      <c r="Q295" t="str">
        <v>"qty":9848</v>
      </c>
      <c r="S295" t="s">
        <v>2498</v>
      </c>
      <c r="T295" t="str">
        <f t="shared" si="134"/>
        <v>"id":"s277","cate":"IC","des":"ICMD LM2931AD?5,0","mfg":"ON SEMICONDUCTOR","pn":"LM2931AD-5.0R2G","qty":9848</v>
      </c>
      <c r="U295" t="s">
        <v>2503</v>
      </c>
    </row>
    <row r="296" spans="5:21" x14ac:dyDescent="0.25">
      <c r="E296" t="s">
        <v>2194</v>
      </c>
      <c r="F296" t="s">
        <v>2236</v>
      </c>
      <c r="G296" t="s">
        <v>47</v>
      </c>
      <c r="H296" t="s">
        <v>410</v>
      </c>
      <c r="I296">
        <v>9621</v>
      </c>
      <c r="K296" t="s">
        <v>2781</v>
      </c>
      <c r="L296" t="str">
        <f t="shared" si="133"/>
        <v>"id":"s278",</v>
      </c>
      <c r="M296" t="str">
        <v>"cate":"Var Resistor",</v>
      </c>
      <c r="N296" t="str">
        <v>"des":"VAR 320V LA20",</v>
      </c>
      <c r="O296" t="str">
        <v>"mfg":"EPCOS/TDK",</v>
      </c>
      <c r="P296" t="str">
        <v>"pn":"B72214S0301K101",</v>
      </c>
      <c r="Q296" t="str">
        <v>"qty":9775</v>
      </c>
      <c r="S296" t="s">
        <v>2498</v>
      </c>
      <c r="T296" t="str">
        <f t="shared" si="134"/>
        <v>"id":"s278","cate":"Var Resistor","des":"VAR 320V LA20","mfg":"EPCOS/TDK","pn":"B72214S0301K101","qty":9775</v>
      </c>
      <c r="U296" t="s">
        <v>2503</v>
      </c>
    </row>
    <row r="297" spans="5:21" x14ac:dyDescent="0.25">
      <c r="E297" t="s">
        <v>2194</v>
      </c>
      <c r="F297" t="s">
        <v>2236</v>
      </c>
      <c r="G297" t="s">
        <v>62</v>
      </c>
      <c r="H297" t="s">
        <v>411</v>
      </c>
      <c r="I297">
        <v>9621</v>
      </c>
      <c r="K297" t="s">
        <v>2782</v>
      </c>
      <c r="L297" t="str">
        <f t="shared" si="133"/>
        <v>"id":"s279",</v>
      </c>
      <c r="M297" t="str">
        <v>"cate":"Var Resistor",</v>
      </c>
      <c r="N297" t="str">
        <v>"des":"VAR 320V LA20",</v>
      </c>
      <c r="O297" t="str">
        <v>"mfg":"EPCOS/TDK",</v>
      </c>
      <c r="P297" t="str">
        <v>"pn":"B72214S0301K101 (S14K300)",</v>
      </c>
      <c r="Q297" t="str">
        <v>"qty":9775</v>
      </c>
      <c r="S297" t="s">
        <v>2498</v>
      </c>
      <c r="T297" t="str">
        <f t="shared" si="134"/>
        <v>"id":"s279","cate":"Var Resistor","des":"VAR 320V LA20","mfg":"EPCOS/TDK","pn":"B72214S0301K101 (S14K300)","qty":9775</v>
      </c>
      <c r="U297" t="s">
        <v>2503</v>
      </c>
    </row>
    <row r="298" spans="5:21" x14ac:dyDescent="0.25">
      <c r="E298" t="s">
        <v>2193</v>
      </c>
      <c r="F298" t="s">
        <v>412</v>
      </c>
      <c r="G298" t="s">
        <v>13</v>
      </c>
      <c r="H298" t="s">
        <v>413</v>
      </c>
      <c r="I298">
        <v>9587</v>
      </c>
      <c r="K298" t="s">
        <v>2783</v>
      </c>
      <c r="L298" t="str">
        <f t="shared" si="133"/>
        <v>"id":"s280",</v>
      </c>
      <c r="M298" t="str">
        <v>"cate":"Var Resistor",</v>
      </c>
      <c r="N298" t="str">
        <v>"des":"VAR 320V LA20",</v>
      </c>
      <c r="O298" t="str">
        <v>"mfg":"EPCOS/TDK",</v>
      </c>
      <c r="P298" t="str">
        <v>"pn":"S14K300 (B72214S0301K101)",</v>
      </c>
      <c r="Q298" t="str">
        <v>"qty":9775</v>
      </c>
      <c r="S298" t="s">
        <v>2498</v>
      </c>
      <c r="T298" t="str">
        <f t="shared" si="134"/>
        <v>"id":"s280","cate":"Var Resistor","des":"VAR 320V LA20","mfg":"EPCOS/TDK","pn":"S14K300 (B72214S0301K101)","qty":9775</v>
      </c>
      <c r="U298" t="s">
        <v>2503</v>
      </c>
    </row>
    <row r="299" spans="5:21" x14ac:dyDescent="0.25">
      <c r="E299" s="6" t="s">
        <v>2486</v>
      </c>
      <c r="F299" t="s">
        <v>414</v>
      </c>
      <c r="G299" t="s">
        <v>23</v>
      </c>
      <c r="H299" t="s">
        <v>415</v>
      </c>
      <c r="I299">
        <v>9569</v>
      </c>
      <c r="K299" t="s">
        <v>2784</v>
      </c>
      <c r="L299" t="str">
        <f t="shared" si="133"/>
        <v>"id":"s281",</v>
      </c>
      <c r="M299" t="str">
        <v>"cate":"Capacitor",</v>
      </c>
      <c r="N299" t="str">
        <v>"des":"Capacitor 1NF/50V X7R603",</v>
      </c>
      <c r="O299" t="str">
        <v>"mfg":"KEMET",</v>
      </c>
      <c r="P299" t="str">
        <v>"pn":"C0603C102K5RACTU",</v>
      </c>
      <c r="Q299" t="str">
        <v>"qty":9765</v>
      </c>
      <c r="S299" t="s">
        <v>2498</v>
      </c>
      <c r="T299" t="str">
        <f t="shared" si="134"/>
        <v>"id":"s281","cate":"Capacitor","des":"Capacitor 1NF/50V X7R603","mfg":"KEMET","pn":"C0603C102K5RACTU","qty":9765</v>
      </c>
      <c r="U299" t="s">
        <v>2503</v>
      </c>
    </row>
    <row r="300" spans="5:21" x14ac:dyDescent="0.25">
      <c r="E300" s="6" t="s">
        <v>2486</v>
      </c>
      <c r="F300" t="s">
        <v>414</v>
      </c>
      <c r="G300" t="s">
        <v>23</v>
      </c>
      <c r="H300" t="s">
        <v>416</v>
      </c>
      <c r="I300">
        <v>9569</v>
      </c>
      <c r="K300" t="s">
        <v>2785</v>
      </c>
      <c r="L300" t="str">
        <f t="shared" si="133"/>
        <v>"id":"s282",</v>
      </c>
      <c r="M300" t="str">
        <v>"cate":"Capacitor",</v>
      </c>
      <c r="N300" t="str">
        <v>"des":"Capacitor 1NF/50V X7R603",</v>
      </c>
      <c r="O300" t="str">
        <v>"mfg":"KEMET",</v>
      </c>
      <c r="P300" t="str">
        <v>"pn":"C0603C102K5RAC7867",</v>
      </c>
      <c r="Q300" t="str">
        <v>"qty":9765</v>
      </c>
      <c r="S300" t="s">
        <v>2498</v>
      </c>
      <c r="T300" t="str">
        <f t="shared" si="134"/>
        <v>"id":"s282","cate":"Capacitor","des":"Capacitor 1NF/50V X7R603","mfg":"KEMET","pn":"C0603C102K5RAC7867","qty":9765</v>
      </c>
      <c r="U300" t="s">
        <v>2503</v>
      </c>
    </row>
    <row r="301" spans="5:21" x14ac:dyDescent="0.25">
      <c r="E301" s="6" t="s">
        <v>2486</v>
      </c>
      <c r="F301" t="s">
        <v>414</v>
      </c>
      <c r="G301" t="s">
        <v>23</v>
      </c>
      <c r="H301" t="s">
        <v>417</v>
      </c>
      <c r="I301">
        <v>9569</v>
      </c>
      <c r="K301" t="s">
        <v>2786</v>
      </c>
      <c r="L301" t="str">
        <f t="shared" si="133"/>
        <v>"id":"s283",</v>
      </c>
      <c r="M301" t="str">
        <v>"cate":"Resistor ",</v>
      </c>
      <c r="N301" t="str">
        <v>"des":"RST 68K1 1/4W1%1206",</v>
      </c>
      <c r="O301" t="str">
        <v>"mfg":"YAGEO",</v>
      </c>
      <c r="P301" t="str">
        <v>"pn":"RC1206FR-0768K1L",</v>
      </c>
      <c r="Q301" t="str">
        <v>"qty":9718</v>
      </c>
      <c r="S301" t="s">
        <v>2498</v>
      </c>
      <c r="T301" t="str">
        <f t="shared" si="134"/>
        <v>"id":"s283","cate":"Resistor ","des":"RST 68K1 1/4W1%1206","mfg":"YAGEO","pn":"RC1206FR-0768K1L","qty":9718</v>
      </c>
      <c r="U301" t="s">
        <v>2503</v>
      </c>
    </row>
    <row r="302" spans="5:21" x14ac:dyDescent="0.25">
      <c r="E302" t="s">
        <v>2193</v>
      </c>
      <c r="F302" t="s">
        <v>418</v>
      </c>
      <c r="G302" t="s">
        <v>13</v>
      </c>
      <c r="H302" t="s">
        <v>419</v>
      </c>
      <c r="I302">
        <v>9564</v>
      </c>
      <c r="K302" t="s">
        <v>2787</v>
      </c>
      <c r="L302" t="str">
        <f t="shared" si="133"/>
        <v>"id":"s284",</v>
      </c>
      <c r="M302" t="str">
        <v>"cate":"Transistor",</v>
      </c>
      <c r="N302" t="str">
        <v>"des":"TRAN 300V 0,1A",</v>
      </c>
      <c r="O302" t="str">
        <v>"mfg":"ON SEMICONDUCTOR",</v>
      </c>
      <c r="P302" t="str">
        <v>"pn":"PZTA42T1G",</v>
      </c>
      <c r="Q302" t="str">
        <v>"qty":9709</v>
      </c>
      <c r="S302" t="s">
        <v>2498</v>
      </c>
      <c r="T302" t="str">
        <f t="shared" si="134"/>
        <v>"id":"s284","cate":"Transistor","des":"TRAN 300V 0,1A","mfg":"ON SEMICONDUCTOR","pn":"PZTA42T1G","qty":9709</v>
      </c>
      <c r="U302" t="s">
        <v>2503</v>
      </c>
    </row>
    <row r="303" spans="5:21" x14ac:dyDescent="0.25">
      <c r="E303" t="s">
        <v>2193</v>
      </c>
      <c r="F303" t="s">
        <v>418</v>
      </c>
      <c r="G303" t="s">
        <v>37</v>
      </c>
      <c r="H303" t="s">
        <v>420</v>
      </c>
      <c r="I303">
        <v>9564</v>
      </c>
      <c r="K303" t="s">
        <v>2788</v>
      </c>
      <c r="L303" t="str">
        <f t="shared" si="133"/>
        <v>"id":"s285",</v>
      </c>
      <c r="M303" t="str">
        <v>"cate":"Resistor ",</v>
      </c>
      <c r="N303" t="str">
        <v>"des":"RST 2,2K 0,1W 1%603",</v>
      </c>
      <c r="O303" t="str">
        <v>"mfg":"YAGEO",</v>
      </c>
      <c r="P303" t="str">
        <v>"pn":"RC0603FR-072K2L",</v>
      </c>
      <c r="Q303" t="str">
        <v>"qty":9647</v>
      </c>
      <c r="S303" t="s">
        <v>2498</v>
      </c>
      <c r="T303" t="str">
        <f t="shared" si="134"/>
        <v>"id":"s285","cate":"Resistor ","des":"RST 2,2K 0,1W 1%603","mfg":"YAGEO","pn":"RC0603FR-072K2L","qty":9647</v>
      </c>
      <c r="U303" t="s">
        <v>2503</v>
      </c>
    </row>
    <row r="304" spans="5:21" x14ac:dyDescent="0.25">
      <c r="E304" t="s">
        <v>2405</v>
      </c>
      <c r="F304" t="s">
        <v>2414</v>
      </c>
      <c r="G304" t="s">
        <v>37</v>
      </c>
      <c r="H304" t="s">
        <v>421</v>
      </c>
      <c r="I304">
        <v>9530</v>
      </c>
      <c r="K304" t="s">
        <v>2789</v>
      </c>
      <c r="L304" t="str">
        <f t="shared" si="133"/>
        <v>"id":"s286",</v>
      </c>
      <c r="M304" t="str">
        <v>"cate":"Resistor ",</v>
      </c>
      <c r="N304" t="str">
        <v>"des":"RST 2,2K 0,1W 1%603",</v>
      </c>
      <c r="O304" t="str">
        <v>"mfg":"KOA",</v>
      </c>
      <c r="P304" t="str">
        <v>"pn":"RK73H1JTTD2201F",</v>
      </c>
      <c r="Q304" t="str">
        <v>"qty":9647</v>
      </c>
      <c r="S304" t="s">
        <v>2498</v>
      </c>
      <c r="T304" t="str">
        <f t="shared" si="134"/>
        <v>"id":"s286","cate":"Resistor ","des":"RST 2,2K 0,1W 1%603","mfg":"KOA","pn":"RK73H1JTTD2201F","qty":9647</v>
      </c>
      <c r="U304" t="s">
        <v>2503</v>
      </c>
    </row>
    <row r="305" spans="5:21" x14ac:dyDescent="0.25">
      <c r="E305" t="s">
        <v>2405</v>
      </c>
      <c r="F305" t="s">
        <v>2415</v>
      </c>
      <c r="G305" t="s">
        <v>37</v>
      </c>
      <c r="H305" t="s">
        <v>422</v>
      </c>
      <c r="I305">
        <v>9520</v>
      </c>
      <c r="K305" t="s">
        <v>2790</v>
      </c>
      <c r="L305" t="str">
        <f t="shared" si="133"/>
        <v>"id":"s287",</v>
      </c>
      <c r="M305" t="str">
        <v>"cate":"Resistor ",</v>
      </c>
      <c r="N305" t="str">
        <v>"des":"RST 2,2K 0,1W 1%603",</v>
      </c>
      <c r="O305" t="str">
        <v>"mfg":"ROYAL OHM",</v>
      </c>
      <c r="P305" t="str">
        <v>"pn":"0603WAF2201T5E",</v>
      </c>
      <c r="Q305" t="str">
        <v>"qty":9647</v>
      </c>
      <c r="S305" t="s">
        <v>2498</v>
      </c>
      <c r="T305" t="str">
        <f t="shared" si="134"/>
        <v>"id":"s287","cate":"Resistor ","des":"RST 2,2K 0,1W 1%603","mfg":"ROYAL OHM","pn":"0603WAF2201T5E","qty":9647</v>
      </c>
      <c r="U305" t="s">
        <v>2503</v>
      </c>
    </row>
    <row r="306" spans="5:21" x14ac:dyDescent="0.25">
      <c r="E306" t="s">
        <v>2405</v>
      </c>
      <c r="F306" t="s">
        <v>2415</v>
      </c>
      <c r="G306" t="s">
        <v>2467</v>
      </c>
      <c r="H306" t="s">
        <v>423</v>
      </c>
      <c r="I306">
        <v>9520</v>
      </c>
      <c r="K306" t="s">
        <v>2791</v>
      </c>
      <c r="L306" t="str">
        <f t="shared" si="133"/>
        <v>"id":"s288",</v>
      </c>
      <c r="M306" t="str">
        <v>"cate":"Resistor ",</v>
      </c>
      <c r="N306" t="str">
        <v>"des":"RST 2,2K 0,1W 1%603",</v>
      </c>
      <c r="O306" t="str">
        <v>"mfg":"STACKPOLE ELECTRONICS INC",</v>
      </c>
      <c r="P306" t="str">
        <v>"pn":"RMCF0603FT2K20",</v>
      </c>
      <c r="Q306" t="str">
        <v>"qty":9647</v>
      </c>
      <c r="S306" t="s">
        <v>2498</v>
      </c>
      <c r="T306" t="str">
        <f t="shared" si="134"/>
        <v>"id":"s288","cate":"Resistor ","des":"RST 2,2K 0,1W 1%603","mfg":"STACKPOLE ELECTRONICS INC","pn":"RMCF0603FT2K20","qty":9647</v>
      </c>
      <c r="U306" t="s">
        <v>2503</v>
      </c>
    </row>
    <row r="307" spans="5:21" x14ac:dyDescent="0.25">
      <c r="E307" t="s">
        <v>2405</v>
      </c>
      <c r="F307" t="s">
        <v>2415</v>
      </c>
      <c r="G307" t="s">
        <v>28</v>
      </c>
      <c r="H307" t="s">
        <v>424</v>
      </c>
      <c r="I307">
        <v>9520</v>
      </c>
      <c r="K307" t="s">
        <v>2792</v>
      </c>
      <c r="L307" t="str">
        <f t="shared" si="133"/>
        <v>"id":"s289",</v>
      </c>
      <c r="M307" t="str">
        <v>"cate":"Capacitor",</v>
      </c>
      <c r="N307" t="str">
        <v>"des":"Capacitor 10NF/630V 1206",</v>
      </c>
      <c r="O307" t="str">
        <v>"mfg":"KEMET",</v>
      </c>
      <c r="P307" t="str">
        <v>"pn":"C1206C103JBGACTU",</v>
      </c>
      <c r="Q307" t="str">
        <v>"qty":9621</v>
      </c>
      <c r="S307" t="s">
        <v>2498</v>
      </c>
      <c r="T307" t="str">
        <f t="shared" si="134"/>
        <v>"id":"s289","cate":"Capacitor","des":"Capacitor 10NF/630V 1206","mfg":"KEMET","pn":"C1206C103JBGACTU","qty":9621</v>
      </c>
      <c r="U307" t="s">
        <v>2503</v>
      </c>
    </row>
    <row r="308" spans="5:21" x14ac:dyDescent="0.25">
      <c r="E308" t="s">
        <v>2194</v>
      </c>
      <c r="F308" t="s">
        <v>2237</v>
      </c>
      <c r="G308" t="s">
        <v>13</v>
      </c>
      <c r="H308" t="s">
        <v>425</v>
      </c>
      <c r="I308">
        <v>9427</v>
      </c>
      <c r="K308" t="s">
        <v>2793</v>
      </c>
      <c r="L308" t="str">
        <f t="shared" si="133"/>
        <v>"id":"s290",</v>
      </c>
      <c r="M308" t="str">
        <v>"cate":"Capacitor",</v>
      </c>
      <c r="N308" t="str">
        <v>"des":"Capacitor 10NF/630V 1206",</v>
      </c>
      <c r="O308" t="str">
        <v>"mfg":"KEMET",</v>
      </c>
      <c r="P308" t="str">
        <v>"pn":"C1206C103JBGAC7800",</v>
      </c>
      <c r="Q308" t="str">
        <v>"qty":9621</v>
      </c>
      <c r="S308" t="s">
        <v>2498</v>
      </c>
      <c r="T308" t="str">
        <f t="shared" si="134"/>
        <v>"id":"s290","cate":"Capacitor","des":"Capacitor 10NF/630V 1206","mfg":"KEMET","pn":"C1206C103JBGAC7800","qty":9621</v>
      </c>
      <c r="U308" t="s">
        <v>2503</v>
      </c>
    </row>
    <row r="309" spans="5:21" x14ac:dyDescent="0.25">
      <c r="E309" t="s">
        <v>2194</v>
      </c>
      <c r="F309" t="s">
        <v>2237</v>
      </c>
      <c r="G309" t="s">
        <v>47</v>
      </c>
      <c r="H309" t="s">
        <v>426</v>
      </c>
      <c r="I309">
        <v>9427</v>
      </c>
      <c r="K309" t="s">
        <v>2794</v>
      </c>
      <c r="L309" t="str">
        <f t="shared" si="133"/>
        <v>"id":"s291",</v>
      </c>
      <c r="M309" t="str">
        <v>"cate":"Capacitor",</v>
      </c>
      <c r="N309" t="str">
        <v>"des":"Capacitor 10NF/630V 1206",</v>
      </c>
      <c r="O309" t="str">
        <v>"mfg":"KEMET",</v>
      </c>
      <c r="P309" t="str">
        <v>"pn":"C1206C103JBGA7800",</v>
      </c>
      <c r="Q309" t="str">
        <v>"qty":9621</v>
      </c>
      <c r="S309" t="s">
        <v>2498</v>
      </c>
      <c r="T309" t="str">
        <f t="shared" si="134"/>
        <v>"id":"s291","cate":"Capacitor","des":"Capacitor 10NF/630V 1206","mfg":"KEMET","pn":"C1206C103JBGA7800","qty":9621</v>
      </c>
      <c r="U309" t="s">
        <v>2503</v>
      </c>
    </row>
    <row r="310" spans="5:21" x14ac:dyDescent="0.25">
      <c r="E310" t="s">
        <v>2194</v>
      </c>
      <c r="F310" t="s">
        <v>2237</v>
      </c>
      <c r="G310" t="s">
        <v>8</v>
      </c>
      <c r="H310" t="s">
        <v>427</v>
      </c>
      <c r="I310">
        <v>9427</v>
      </c>
      <c r="K310" t="s">
        <v>2795</v>
      </c>
      <c r="L310" t="str">
        <f t="shared" si="133"/>
        <v>"id":"s292",</v>
      </c>
      <c r="M310" t="str">
        <v>"cate":"Capacitor",</v>
      </c>
      <c r="N310" t="str">
        <v>"des":"Capacitor 10NF/630V 1206",</v>
      </c>
      <c r="O310" t="str">
        <v>"mfg":"TDK",</v>
      </c>
      <c r="P310" t="str">
        <v>"pn":"CGA5L4C0G2J103J160AA",</v>
      </c>
      <c r="Q310" t="str">
        <v>"qty":9621</v>
      </c>
      <c r="S310" t="s">
        <v>2498</v>
      </c>
      <c r="T310" t="str">
        <f t="shared" si="134"/>
        <v>"id":"s292","cate":"Capacitor","des":"Capacitor 10NF/630V 1206","mfg":"TDK","pn":"CGA5L4C0G2J103J160AA","qty":9621</v>
      </c>
      <c r="U310" t="s">
        <v>2503</v>
      </c>
    </row>
    <row r="311" spans="5:21" x14ac:dyDescent="0.25">
      <c r="E311" t="s">
        <v>2194</v>
      </c>
      <c r="F311" t="s">
        <v>2237</v>
      </c>
      <c r="G311" t="s">
        <v>10</v>
      </c>
      <c r="H311" t="s">
        <v>148</v>
      </c>
      <c r="I311">
        <v>9427</v>
      </c>
      <c r="K311" t="s">
        <v>2796</v>
      </c>
      <c r="L311" t="str">
        <f t="shared" si="133"/>
        <v>"id":"s293",</v>
      </c>
      <c r="M311" t="str">
        <v>"cate":"Resistor ",</v>
      </c>
      <c r="N311" t="str">
        <v>"des":"RST 43K2 1/8W1%0805",</v>
      </c>
      <c r="O311" t="str">
        <v>"mfg":"YAGEO",</v>
      </c>
      <c r="P311" t="str">
        <v>"pn":"RC0805FR-0743K2L",</v>
      </c>
      <c r="Q311" t="str">
        <v>"qty":9587</v>
      </c>
      <c r="S311" t="s">
        <v>2498</v>
      </c>
      <c r="T311" t="str">
        <f t="shared" si="134"/>
        <v>"id":"s293","cate":"Resistor ","des":"RST 43K2 1/8W1%0805","mfg":"YAGEO","pn":"RC0805FR-0743K2L","qty":9587</v>
      </c>
      <c r="U311" t="s">
        <v>2503</v>
      </c>
    </row>
    <row r="312" spans="5:21" x14ac:dyDescent="0.25">
      <c r="E312" t="s">
        <v>2194</v>
      </c>
      <c r="F312" t="s">
        <v>2237</v>
      </c>
      <c r="G312" t="s">
        <v>10</v>
      </c>
      <c r="H312" t="s">
        <v>428</v>
      </c>
      <c r="I312">
        <v>9427</v>
      </c>
      <c r="K312" t="s">
        <v>2797</v>
      </c>
      <c r="L312" t="str">
        <f t="shared" si="133"/>
        <v>"id":"s294",</v>
      </c>
      <c r="M312" t="str">
        <v>"cate":"Opto",</v>
      </c>
      <c r="N312" t="str">
        <v>"des":"OPT DRIVER 5A SMD",</v>
      </c>
      <c r="O312" t="str">
        <v>"mfg":"BROADCOM",</v>
      </c>
      <c r="P312" t="str">
        <v>"pn":"ACNW3190-300E",</v>
      </c>
      <c r="Q312" t="str">
        <v>"qty":9569</v>
      </c>
      <c r="S312" t="s">
        <v>2498</v>
      </c>
      <c r="T312" t="str">
        <f t="shared" si="134"/>
        <v>"id":"s294","cate":"Opto","des":"OPT DRIVER 5A SMD","mfg":"BROADCOM","pn":"ACNW3190-300E","qty":9569</v>
      </c>
      <c r="U312" t="s">
        <v>2503</v>
      </c>
    </row>
    <row r="313" spans="5:21" x14ac:dyDescent="0.25">
      <c r="E313" t="s">
        <v>2193</v>
      </c>
      <c r="F313" t="s">
        <v>429</v>
      </c>
      <c r="G313" t="s">
        <v>13</v>
      </c>
      <c r="H313" t="s">
        <v>430</v>
      </c>
      <c r="I313">
        <v>9327</v>
      </c>
      <c r="K313" t="s">
        <v>2798</v>
      </c>
      <c r="L313" t="str">
        <f t="shared" si="133"/>
        <v>"id":"s295",</v>
      </c>
      <c r="M313" t="str">
        <v>"cate":"Opto",</v>
      </c>
      <c r="N313" t="str">
        <v>"des":"OPT DRIVER 5A SMD",</v>
      </c>
      <c r="O313" t="str">
        <v>"mfg":"BROADCOM",</v>
      </c>
      <c r="P313" t="str">
        <v>"pn":"ACNW3190-300E (TUBE)",</v>
      </c>
      <c r="Q313" t="str">
        <v>"qty":9569</v>
      </c>
      <c r="S313" t="s">
        <v>2498</v>
      </c>
      <c r="T313" t="str">
        <f t="shared" si="134"/>
        <v>"id":"s295","cate":"Opto","des":"OPT DRIVER 5A SMD","mfg":"BROADCOM","pn":"ACNW3190-300E (TUBE)","qty":9569</v>
      </c>
      <c r="U313" t="s">
        <v>2503</v>
      </c>
    </row>
    <row r="314" spans="5:21" x14ac:dyDescent="0.25">
      <c r="E314" t="s">
        <v>2193</v>
      </c>
      <c r="F314" t="s">
        <v>429</v>
      </c>
      <c r="G314" t="s">
        <v>13</v>
      </c>
      <c r="H314" t="s">
        <v>431</v>
      </c>
      <c r="I314">
        <v>9327</v>
      </c>
      <c r="K314" t="s">
        <v>2799</v>
      </c>
      <c r="L314" t="str">
        <f t="shared" si="133"/>
        <v>"id":"s296",</v>
      </c>
      <c r="M314" t="str">
        <v>"cate":"Opto",</v>
      </c>
      <c r="N314" t="str">
        <v>"des":"OPT DRIVER 5A SMD",</v>
      </c>
      <c r="O314" t="str">
        <v>"mfg":"BROADCOM",</v>
      </c>
      <c r="P314" t="str">
        <v>"pn":"ACNW3190-500E",</v>
      </c>
      <c r="Q314" t="str">
        <v>"qty":9569</v>
      </c>
      <c r="S314" t="s">
        <v>2498</v>
      </c>
      <c r="T314" t="str">
        <f t="shared" si="134"/>
        <v>"id":"s296","cate":"Opto","des":"OPT DRIVER 5A SMD","mfg":"BROADCOM","pn":"ACNW3190-500E","qty":9569</v>
      </c>
      <c r="U314" t="s">
        <v>2503</v>
      </c>
    </row>
    <row r="315" spans="5:21" x14ac:dyDescent="0.25">
      <c r="E315" t="s">
        <v>2193</v>
      </c>
      <c r="F315" t="s">
        <v>429</v>
      </c>
      <c r="G315" t="s">
        <v>10</v>
      </c>
      <c r="H315" t="s">
        <v>432</v>
      </c>
      <c r="I315">
        <v>9327</v>
      </c>
      <c r="K315" t="s">
        <v>2800</v>
      </c>
      <c r="L315" t="str">
        <f t="shared" si="133"/>
        <v>"id":"s297",</v>
      </c>
      <c r="M315" t="str">
        <v>"cate":"Resistor ",</v>
      </c>
      <c r="N315" t="str">
        <v>"des":"RST 124K1/8W1%805-2",</v>
      </c>
      <c r="O315" t="str">
        <v>"mfg":"YAGEO",</v>
      </c>
      <c r="P315" t="str">
        <v>"pn":"RT0805FRE07124KL",</v>
      </c>
      <c r="Q315" t="str">
        <v>"qty":9564</v>
      </c>
      <c r="S315" t="s">
        <v>2498</v>
      </c>
      <c r="T315" t="str">
        <f t="shared" si="134"/>
        <v>"id":"s297","cate":"Resistor ","des":"RST 124K1/8W1%805-2","mfg":"YAGEO","pn":"RT0805FRE07124KL","qty":9564</v>
      </c>
      <c r="U315" t="s">
        <v>2503</v>
      </c>
    </row>
    <row r="316" spans="5:21" x14ac:dyDescent="0.25">
      <c r="E316" t="s">
        <v>2194</v>
      </c>
      <c r="F316" t="s">
        <v>2238</v>
      </c>
      <c r="G316" t="s">
        <v>13</v>
      </c>
      <c r="H316" t="s">
        <v>433</v>
      </c>
      <c r="I316">
        <v>9298</v>
      </c>
      <c r="K316" t="s">
        <v>2801</v>
      </c>
      <c r="L316" t="str">
        <f t="shared" si="133"/>
        <v>"id":"s298",</v>
      </c>
      <c r="M316" t="str">
        <v>"cate":"Resistor ",</v>
      </c>
      <c r="N316" t="str">
        <v>"des":"RST 124K1/8W1%805-2",</v>
      </c>
      <c r="O316" t="str">
        <v>"mfg":"VISHAY",</v>
      </c>
      <c r="P316" t="str">
        <v>"pn":"CRCW0805124KFKEA",</v>
      </c>
      <c r="Q316" t="str">
        <v>"qty":9564</v>
      </c>
      <c r="S316" t="s">
        <v>2498</v>
      </c>
      <c r="T316" t="str">
        <f t="shared" si="134"/>
        <v>"id":"s298","cate":"Resistor ","des":"RST 124K1/8W1%805-2","mfg":"VISHAY","pn":"CRCW0805124KFKEA","qty":9564</v>
      </c>
      <c r="U316" t="s">
        <v>2503</v>
      </c>
    </row>
    <row r="317" spans="5:21" x14ac:dyDescent="0.25">
      <c r="E317" t="s">
        <v>2139</v>
      </c>
      <c r="F317" t="s">
        <v>434</v>
      </c>
      <c r="G317" t="s">
        <v>37</v>
      </c>
      <c r="H317" t="s">
        <v>435</v>
      </c>
      <c r="I317">
        <v>9188</v>
      </c>
      <c r="K317" t="s">
        <v>2802</v>
      </c>
      <c r="L317" t="str">
        <f t="shared" si="133"/>
        <v>"id":"s299",</v>
      </c>
      <c r="M317" t="str">
        <v>"cate":"Diode",</v>
      </c>
      <c r="N317" t="str">
        <v>"des":"DiodeE ZE 13V/0W5",</v>
      </c>
      <c r="O317" t="str">
        <v>"mfg":"VISHAY",</v>
      </c>
      <c r="P317" t="str">
        <v>"pn":"TZMC13-GS08",</v>
      </c>
      <c r="Q317" t="str">
        <v>"qty":9530</v>
      </c>
      <c r="S317" t="s">
        <v>2498</v>
      </c>
      <c r="T317" t="str">
        <f t="shared" si="134"/>
        <v>"id":"s299","cate":"Diode","des":"DiodeE ZE 13V/0W5","mfg":"VISHAY","pn":"TZMC13-GS08","qty":9530</v>
      </c>
      <c r="U317" t="s">
        <v>2503</v>
      </c>
    </row>
    <row r="318" spans="5:21" x14ac:dyDescent="0.25">
      <c r="E318" t="s">
        <v>2139</v>
      </c>
      <c r="F318" t="s">
        <v>434</v>
      </c>
      <c r="G318" t="s">
        <v>320</v>
      </c>
      <c r="H318" t="s">
        <v>436</v>
      </c>
      <c r="I318">
        <v>9188</v>
      </c>
      <c r="K318" t="s">
        <v>2803</v>
      </c>
      <c r="L318" t="str">
        <f t="shared" si="133"/>
        <v>"id":"s300",</v>
      </c>
      <c r="M318" t="str">
        <v>"cate":"Diode",</v>
      </c>
      <c r="N318" t="str">
        <v>"des":"DiodeE ZE 10V SMA",</v>
      </c>
      <c r="O318" t="str">
        <v>"mfg":"VISHAY",</v>
      </c>
      <c r="P318" t="str">
        <v>"pn":"SMAZ5925B-E3/61",</v>
      </c>
      <c r="Q318" t="str">
        <v>"qty":9520</v>
      </c>
      <c r="S318" t="s">
        <v>2498</v>
      </c>
      <c r="T318" t="str">
        <f t="shared" si="134"/>
        <v>"id":"s300","cate":"Diode","des":"DiodeE ZE 10V SMA","mfg":"VISHAY","pn":"SMAZ5925B-E3/61","qty":9520</v>
      </c>
      <c r="U318" t="s">
        <v>2503</v>
      </c>
    </row>
    <row r="319" spans="5:21" x14ac:dyDescent="0.25">
      <c r="E319" t="s">
        <v>2139</v>
      </c>
      <c r="F319" t="s">
        <v>437</v>
      </c>
      <c r="G319" t="s">
        <v>13</v>
      </c>
      <c r="H319" t="s">
        <v>438</v>
      </c>
      <c r="I319">
        <v>9174</v>
      </c>
      <c r="K319" t="s">
        <v>2804</v>
      </c>
      <c r="L319" t="str">
        <f t="shared" si="133"/>
        <v>"id":"s301",</v>
      </c>
      <c r="M319" t="str">
        <v>"cate":"Diode",</v>
      </c>
      <c r="N319" t="str">
        <v>"des":"DiodeE ZE 10V SMA",</v>
      </c>
      <c r="O319" t="str">
        <v>"mfg":"DiodeES INC.",</v>
      </c>
      <c r="P319" t="str">
        <v>"pn":"SMAZ10-13-F",</v>
      </c>
      <c r="Q319" t="str">
        <v>"qty":9520</v>
      </c>
      <c r="S319" t="s">
        <v>2498</v>
      </c>
      <c r="T319" t="str">
        <f t="shared" si="134"/>
        <v>"id":"s301","cate":"Diode","des":"DiodeE ZE 10V SMA","mfg":"DiodeES INC.","pn":"SMAZ10-13-F","qty":9520</v>
      </c>
      <c r="U319" t="s">
        <v>2503</v>
      </c>
    </row>
    <row r="320" spans="5:21" x14ac:dyDescent="0.25">
      <c r="E320" t="s">
        <v>2139</v>
      </c>
      <c r="F320" t="s">
        <v>437</v>
      </c>
      <c r="G320" t="s">
        <v>47</v>
      </c>
      <c r="H320" t="s">
        <v>439</v>
      </c>
      <c r="I320">
        <v>9174</v>
      </c>
      <c r="K320" t="s">
        <v>2805</v>
      </c>
      <c r="L320" t="str">
        <f t="shared" si="133"/>
        <v>"id":"s302",</v>
      </c>
      <c r="M320" t="str">
        <v>"cate":"Diode",</v>
      </c>
      <c r="N320" t="str">
        <v>"des":"DiodeE ZE 10V SMA",</v>
      </c>
      <c r="O320" t="str">
        <v>"mfg":"ON SEMICONDUCTOR",</v>
      </c>
      <c r="P320" t="str">
        <v>"pn":"1SMA5925BT3G",</v>
      </c>
      <c r="Q320" t="str">
        <v>"qty":9520</v>
      </c>
      <c r="S320" t="s">
        <v>2498</v>
      </c>
      <c r="T320" t="str">
        <f t="shared" si="134"/>
        <v>"id":"s302","cate":"Diode","des":"DiodeE ZE 10V SMA","mfg":"ON SEMICONDUCTOR","pn":"1SMA5925BT3G","qty":9520</v>
      </c>
      <c r="U320" t="s">
        <v>2503</v>
      </c>
    </row>
    <row r="321" spans="5:21" x14ac:dyDescent="0.25">
      <c r="E321" t="s">
        <v>2139</v>
      </c>
      <c r="F321" t="s">
        <v>437</v>
      </c>
      <c r="G321" t="s">
        <v>49</v>
      </c>
      <c r="H321" t="s">
        <v>440</v>
      </c>
      <c r="I321">
        <v>9174</v>
      </c>
      <c r="K321" t="s">
        <v>2806</v>
      </c>
      <c r="L321" t="str">
        <f t="shared" si="133"/>
        <v>"id":"s303",</v>
      </c>
      <c r="M321" t="str">
        <v>"cate":"Capacitor",</v>
      </c>
      <c r="N321" t="str">
        <v>"des":"Capacitor 100NF/25V 10%",</v>
      </c>
      <c r="O321" t="str">
        <v>"mfg":"YAGEO",</v>
      </c>
      <c r="P321" t="str">
        <v>"pn":"CC0805KRX7R9BB104",</v>
      </c>
      <c r="Q321" t="str">
        <v>"qty":9427</v>
      </c>
      <c r="S321" t="s">
        <v>2498</v>
      </c>
      <c r="T321" t="str">
        <f t="shared" si="134"/>
        <v>"id":"s303","cate":"Capacitor","des":"Capacitor 100NF/25V 10%","mfg":"YAGEO","pn":"CC0805KRX7R9BB104","qty":9427</v>
      </c>
      <c r="U321" t="s">
        <v>2503</v>
      </c>
    </row>
    <row r="322" spans="5:21" x14ac:dyDescent="0.25">
      <c r="E322" t="s">
        <v>2139</v>
      </c>
      <c r="F322" t="s">
        <v>437</v>
      </c>
      <c r="G322" t="s">
        <v>62</v>
      </c>
      <c r="H322" t="s">
        <v>441</v>
      </c>
      <c r="I322">
        <v>9174</v>
      </c>
      <c r="K322" t="s">
        <v>2807</v>
      </c>
      <c r="L322" t="str">
        <f t="shared" si="133"/>
        <v>"id":"s304",</v>
      </c>
      <c r="M322" t="str">
        <v>"cate":"Capacitor",</v>
      </c>
      <c r="N322" t="str">
        <v>"des":"Capacitor 100NF/25V 10%",</v>
      </c>
      <c r="O322" t="str">
        <v>"mfg":"KEMET",</v>
      </c>
      <c r="P322" t="str">
        <v>"pn":"C0805C104K5RACTU",</v>
      </c>
      <c r="Q322" t="str">
        <v>"qty":9427</v>
      </c>
      <c r="S322" t="s">
        <v>2498</v>
      </c>
      <c r="T322" t="str">
        <f t="shared" si="134"/>
        <v>"id":"s304","cate":"Capacitor","des":"Capacitor 100NF/25V 10%","mfg":"KEMET","pn":"C0805C104K5RACTU","qty":9427</v>
      </c>
      <c r="U322" t="s">
        <v>2503</v>
      </c>
    </row>
    <row r="323" spans="5:21" x14ac:dyDescent="0.25">
      <c r="E323" t="s">
        <v>2139</v>
      </c>
      <c r="F323" t="s">
        <v>442</v>
      </c>
      <c r="G323" t="s">
        <v>13</v>
      </c>
      <c r="H323" t="s">
        <v>443</v>
      </c>
      <c r="I323">
        <v>9173</v>
      </c>
      <c r="K323" t="s">
        <v>2808</v>
      </c>
      <c r="L323" t="str">
        <f t="shared" si="133"/>
        <v>"id":"s305",</v>
      </c>
      <c r="M323" t="str">
        <v>"cate":"Capacitor",</v>
      </c>
      <c r="N323" t="str">
        <v>"des":"Capacitor 100NF/25V 10%",</v>
      </c>
      <c r="O323" t="str">
        <v>"mfg":"SAMSUNG",</v>
      </c>
      <c r="P323" t="str">
        <v>"pn":"CL21B104KBCNNNC",</v>
      </c>
      <c r="Q323" t="str">
        <v>"qty":9427</v>
      </c>
      <c r="S323" t="s">
        <v>2498</v>
      </c>
      <c r="T323" t="str">
        <f t="shared" si="134"/>
        <v>"id":"s305","cate":"Capacitor","des":"Capacitor 100NF/25V 10%","mfg":"SAMSUNG","pn":"CL21B104KBCNNNC","qty":9427</v>
      </c>
      <c r="U323" t="s">
        <v>2503</v>
      </c>
    </row>
    <row r="324" spans="5:21" x14ac:dyDescent="0.25">
      <c r="E324" t="s">
        <v>2139</v>
      </c>
      <c r="F324" t="s">
        <v>442</v>
      </c>
      <c r="G324" t="s">
        <v>13</v>
      </c>
      <c r="H324" t="s">
        <v>444</v>
      </c>
      <c r="I324">
        <v>9173</v>
      </c>
      <c r="K324" t="s">
        <v>2809</v>
      </c>
      <c r="L324" t="str">
        <f t="shared" si="133"/>
        <v>"id":"s306",</v>
      </c>
      <c r="M324" t="str">
        <v>"cate":"Capacitor",</v>
      </c>
      <c r="N324" t="str">
        <v>"des":"Capacitor 100NF/25V 10%",</v>
      </c>
      <c r="O324" t="str">
        <v>"mfg":"WALSIN",</v>
      </c>
      <c r="P324" t="str">
        <v>"pn":"0805B104K250CT",</v>
      </c>
      <c r="Q324" t="str">
        <v>"qty":9427</v>
      </c>
      <c r="S324" t="s">
        <v>2498</v>
      </c>
      <c r="T324" t="str">
        <f t="shared" si="134"/>
        <v>"id":"s306","cate":"Capacitor","des":"Capacitor 100NF/25V 10%","mfg":"WALSIN","pn":"0805B104K250CT","qty":9427</v>
      </c>
      <c r="U324" t="s">
        <v>2503</v>
      </c>
    </row>
    <row r="325" spans="5:21" x14ac:dyDescent="0.25">
      <c r="E325" t="s">
        <v>2139</v>
      </c>
      <c r="F325" t="s">
        <v>442</v>
      </c>
      <c r="G325" t="s">
        <v>320</v>
      </c>
      <c r="H325" t="s">
        <v>445</v>
      </c>
      <c r="I325">
        <v>9173</v>
      </c>
      <c r="K325" t="s">
        <v>2810</v>
      </c>
      <c r="L325" t="str">
        <f t="shared" si="133"/>
        <v>"id":"s307",</v>
      </c>
      <c r="M325" t="str">
        <v>"cate":"Capacitor",</v>
      </c>
      <c r="N325" t="str">
        <v>"des":"Capacitor 100NF/25V 10%",</v>
      </c>
      <c r="O325" t="str">
        <v>"mfg":"WALSIN",</v>
      </c>
      <c r="P325" t="str">
        <v>"pn":"0805B104K500CT",</v>
      </c>
      <c r="Q325" t="str">
        <v>"qty":9427</v>
      </c>
      <c r="S325" t="s">
        <v>2498</v>
      </c>
      <c r="T325" t="str">
        <f t="shared" si="134"/>
        <v>"id":"s307","cate":"Capacitor","des":"Capacitor 100NF/25V 10%","mfg":"WALSIN","pn":"0805B104K500CT","qty":9427</v>
      </c>
      <c r="U325" t="s">
        <v>2503</v>
      </c>
    </row>
    <row r="326" spans="5:21" x14ac:dyDescent="0.25">
      <c r="E326" t="s">
        <v>2193</v>
      </c>
      <c r="F326" t="s">
        <v>446</v>
      </c>
      <c r="G326" t="s">
        <v>13</v>
      </c>
      <c r="H326" t="s">
        <v>447</v>
      </c>
      <c r="I326">
        <v>9070</v>
      </c>
      <c r="K326" t="s">
        <v>2811</v>
      </c>
      <c r="L326" t="str">
        <f t="shared" si="133"/>
        <v>"id":"s308",</v>
      </c>
      <c r="M326" t="str">
        <v>"cate":"Resistor ",</v>
      </c>
      <c r="N326" t="str">
        <v>"des":"RST 18K 1/8W 5% 805",</v>
      </c>
      <c r="O326" t="str">
        <v>"mfg":"YAGEO",</v>
      </c>
      <c r="P326" t="str">
        <v>"pn":"RC0805FR-07 18K",</v>
      </c>
      <c r="Q326" t="str">
        <v>"qty":9327</v>
      </c>
      <c r="S326" t="s">
        <v>2498</v>
      </c>
      <c r="T326" t="str">
        <f t="shared" si="134"/>
        <v>"id":"s308","cate":"Resistor ","des":"RST 18K 1/8W 5% 805","mfg":"YAGEO","pn":"RC0805FR-07 18K","qty":9327</v>
      </c>
      <c r="U326" t="s">
        <v>2503</v>
      </c>
    </row>
    <row r="327" spans="5:21" x14ac:dyDescent="0.25">
      <c r="E327" t="s">
        <v>2193</v>
      </c>
      <c r="F327" t="s">
        <v>448</v>
      </c>
      <c r="G327" t="s">
        <v>13</v>
      </c>
      <c r="H327" t="s">
        <v>449</v>
      </c>
      <c r="I327">
        <v>9066</v>
      </c>
      <c r="K327" t="s">
        <v>2812</v>
      </c>
      <c r="L327" t="str">
        <f t="shared" si="133"/>
        <v>"id":"s309",</v>
      </c>
      <c r="M327" t="str">
        <v>"cate":"Resistor ",</v>
      </c>
      <c r="N327" t="str">
        <v>"des":"RST 18K 1/8W 5% 805",</v>
      </c>
      <c r="O327" t="str">
        <v>"mfg":"YAGEO",</v>
      </c>
      <c r="P327" t="str">
        <v>"pn":"RC0805FR-0718KL",</v>
      </c>
      <c r="Q327" t="str">
        <v>"qty":9327</v>
      </c>
      <c r="S327" t="s">
        <v>2498</v>
      </c>
      <c r="T327" t="str">
        <f t="shared" si="134"/>
        <v>"id":"s309","cate":"Resistor ","des":"RST 18K 1/8W 5% 805","mfg":"YAGEO","pn":"RC0805FR-0718KL","qty":9327</v>
      </c>
      <c r="U327" t="s">
        <v>2503</v>
      </c>
    </row>
    <row r="328" spans="5:21" x14ac:dyDescent="0.25">
      <c r="E328" t="s">
        <v>2193</v>
      </c>
      <c r="F328" t="s">
        <v>448</v>
      </c>
      <c r="G328" t="s">
        <v>320</v>
      </c>
      <c r="H328" t="s">
        <v>450</v>
      </c>
      <c r="I328">
        <v>9066</v>
      </c>
      <c r="K328" t="s">
        <v>2813</v>
      </c>
      <c r="L328" t="str">
        <f t="shared" si="133"/>
        <v>"id":"s310",</v>
      </c>
      <c r="M328" t="str">
        <v>"cate":"Resistor ",</v>
      </c>
      <c r="N328" t="str">
        <v>"des":"RST 18K 1/8W 5% 805",</v>
      </c>
      <c r="O328" t="str">
        <v>"mfg":"WALSIN",</v>
      </c>
      <c r="P328" t="str">
        <v>"pn":"WR08X1802FTL",</v>
      </c>
      <c r="Q328" t="str">
        <v>"qty":9327</v>
      </c>
      <c r="S328" t="s">
        <v>2498</v>
      </c>
      <c r="T328" t="str">
        <f t="shared" si="134"/>
        <v>"id":"s310","cate":"Resistor ","des":"RST 18K 1/8W 5% 805","mfg":"WALSIN","pn":"WR08X1802FTL","qty":9327</v>
      </c>
      <c r="U328" t="s">
        <v>2503</v>
      </c>
    </row>
    <row r="329" spans="5:21" x14ac:dyDescent="0.25">
      <c r="E329" t="s">
        <v>2194</v>
      </c>
      <c r="F329" t="s">
        <v>2239</v>
      </c>
      <c r="G329" t="s">
        <v>45</v>
      </c>
      <c r="H329" t="s">
        <v>451</v>
      </c>
      <c r="I329">
        <v>9028</v>
      </c>
      <c r="K329" t="s">
        <v>2814</v>
      </c>
      <c r="L329" t="str">
        <f t="shared" si="133"/>
        <v>"id":"s311",</v>
      </c>
      <c r="M329" t="str">
        <v>"cate":"Capacitor",</v>
      </c>
      <c r="N329" t="str">
        <v>"des":"Capacitor 10PF/50V 402",</v>
      </c>
      <c r="O329" t="str">
        <v>"mfg":"YAGEO",</v>
      </c>
      <c r="P329" t="str">
        <v>"pn":"CC0402JRNPO9BN100",</v>
      </c>
      <c r="Q329" t="str">
        <v>"qty":9298</v>
      </c>
      <c r="S329" t="s">
        <v>2498</v>
      </c>
      <c r="T329" t="str">
        <f t="shared" si="134"/>
        <v>"id":"s311","cate":"Capacitor","des":"Capacitor 10PF/50V 402","mfg":"YAGEO","pn":"CC0402JRNPO9BN100","qty":9298</v>
      </c>
      <c r="U329" t="s">
        <v>2503</v>
      </c>
    </row>
    <row r="330" spans="5:21" x14ac:dyDescent="0.25">
      <c r="E330" t="s">
        <v>2193</v>
      </c>
      <c r="F330" t="s">
        <v>452</v>
      </c>
      <c r="G330" t="s">
        <v>13</v>
      </c>
      <c r="H330" t="s">
        <v>453</v>
      </c>
      <c r="I330">
        <v>9022</v>
      </c>
      <c r="K330" t="s">
        <v>2815</v>
      </c>
      <c r="L330" t="str">
        <f t="shared" si="133"/>
        <v>"id":"s312",</v>
      </c>
      <c r="M330" t="str">
        <v>"cate":"MA-1",</v>
      </c>
      <c r="N330" t="str">
        <v>"des":"MA-1120638STG",</v>
      </c>
      <c r="O330" t="str">
        <v>"mfg":"VISHAY",</v>
      </c>
      <c r="P330" t="str">
        <v>"pn":"CRCW0402100RFKED",</v>
      </c>
      <c r="Q330" t="str">
        <v>"qty":9188</v>
      </c>
      <c r="S330" t="s">
        <v>2498</v>
      </c>
      <c r="T330" t="str">
        <f t="shared" si="134"/>
        <v>"id":"s312","cate":"MA-1","des":"MA-1120638STG","mfg":"VISHAY","pn":"CRCW0402100RFKED","qty":9188</v>
      </c>
      <c r="U330" t="s">
        <v>2503</v>
      </c>
    </row>
    <row r="331" spans="5:21" x14ac:dyDescent="0.25">
      <c r="E331" t="s">
        <v>2193</v>
      </c>
      <c r="F331" t="s">
        <v>454</v>
      </c>
      <c r="G331" t="s">
        <v>13</v>
      </c>
      <c r="H331" t="s">
        <v>455</v>
      </c>
      <c r="I331">
        <v>8917</v>
      </c>
      <c r="K331" t="s">
        <v>2816</v>
      </c>
      <c r="L331" t="str">
        <f t="shared" si="133"/>
        <v>"id":"s313",</v>
      </c>
      <c r="M331" t="str">
        <v>"cate":"MA-1",</v>
      </c>
      <c r="N331" t="str">
        <v>"des":"MA-1120638STG",</v>
      </c>
      <c r="O331" t="str">
        <v>"mfg":"ROYAL OHM",</v>
      </c>
      <c r="P331" t="str">
        <v>"pn":"0402WGF1000TCE",</v>
      </c>
      <c r="Q331" t="str">
        <v>"qty":9188</v>
      </c>
      <c r="S331" t="s">
        <v>2498</v>
      </c>
      <c r="T331" t="str">
        <f t="shared" si="134"/>
        <v>"id":"s313","cate":"MA-1","des":"MA-1120638STG","mfg":"ROYAL OHM","pn":"0402WGF1000TCE","qty":9188</v>
      </c>
      <c r="U331" t="s">
        <v>2503</v>
      </c>
    </row>
    <row r="332" spans="5:21" x14ac:dyDescent="0.25">
      <c r="E332" t="s">
        <v>2193</v>
      </c>
      <c r="F332" t="s">
        <v>456</v>
      </c>
      <c r="G332" t="s">
        <v>37</v>
      </c>
      <c r="H332" t="s">
        <v>457</v>
      </c>
      <c r="I332">
        <v>8911</v>
      </c>
      <c r="K332" t="s">
        <v>2817</v>
      </c>
      <c r="L332" t="str">
        <f t="shared" si="133"/>
        <v>"id":"s314",</v>
      </c>
      <c r="M332" t="str">
        <v>"cate":"MA-1",</v>
      </c>
      <c r="N332" t="str">
        <v>"des":"MA-1150451STG",</v>
      </c>
      <c r="O332" t="str">
        <v>"mfg":"YAGEO",</v>
      </c>
      <c r="P332" t="str">
        <v>"pn":"CC0402JRNPO9BN101",</v>
      </c>
      <c r="Q332" t="str">
        <v>"qty":9174</v>
      </c>
      <c r="S332" t="s">
        <v>2498</v>
      </c>
      <c r="T332" t="str">
        <f t="shared" si="134"/>
        <v>"id":"s314","cate":"MA-1","des":"MA-1150451STG","mfg":"YAGEO","pn":"CC0402JRNPO9BN101","qty":9174</v>
      </c>
      <c r="U332" t="s">
        <v>2503</v>
      </c>
    </row>
    <row r="333" spans="5:21" x14ac:dyDescent="0.25">
      <c r="E333" t="s">
        <v>2193</v>
      </c>
      <c r="F333" t="s">
        <v>456</v>
      </c>
      <c r="G333" t="s">
        <v>320</v>
      </c>
      <c r="H333" t="s">
        <v>458</v>
      </c>
      <c r="I333">
        <v>8911</v>
      </c>
      <c r="K333" t="s">
        <v>2818</v>
      </c>
      <c r="L333" t="str">
        <f t="shared" si="133"/>
        <v>"id":"s315",</v>
      </c>
      <c r="M333" t="str">
        <v>"cate":"MA-1",</v>
      </c>
      <c r="N333" t="str">
        <v>"des":"MA-1150451STG",</v>
      </c>
      <c r="O333" t="str">
        <v>"mfg":"KEMET",</v>
      </c>
      <c r="P333" t="str">
        <v>"pn":"C0402C101J5GACTU",</v>
      </c>
      <c r="Q333" t="str">
        <v>"qty":9174</v>
      </c>
      <c r="S333" t="s">
        <v>2498</v>
      </c>
      <c r="T333" t="str">
        <f t="shared" si="134"/>
        <v>"id":"s315","cate":"MA-1","des":"MA-1150451STG","mfg":"KEMET","pn":"C0402C101J5GACTU","qty":9174</v>
      </c>
      <c r="U333" t="s">
        <v>2503</v>
      </c>
    </row>
    <row r="334" spans="5:21" x14ac:dyDescent="0.25">
      <c r="E334" t="s">
        <v>2193</v>
      </c>
      <c r="F334" t="s">
        <v>459</v>
      </c>
      <c r="G334" t="s">
        <v>5</v>
      </c>
      <c r="H334" t="s">
        <v>460</v>
      </c>
      <c r="I334">
        <v>8880</v>
      </c>
      <c r="K334" t="s">
        <v>2819</v>
      </c>
      <c r="L334" t="str">
        <f t="shared" si="133"/>
        <v>"id":"s316",</v>
      </c>
      <c r="M334" t="str">
        <v>"cate":"MA-1",</v>
      </c>
      <c r="N334" t="str">
        <v>"des":"MA-1150451STG",</v>
      </c>
      <c r="O334" t="str">
        <v>"mfg":"AVX",</v>
      </c>
      <c r="P334" t="str">
        <v>"pn":"KGM05ACG1H101JH",</v>
      </c>
      <c r="Q334" t="str">
        <v>"qty":9174</v>
      </c>
      <c r="S334" t="s">
        <v>2498</v>
      </c>
      <c r="T334" t="str">
        <f t="shared" si="134"/>
        <v>"id":"s316","cate":"MA-1","des":"MA-1150451STG","mfg":"AVX","pn":"KGM05ACG1H101JH","qty":9174</v>
      </c>
      <c r="U334" t="s">
        <v>2503</v>
      </c>
    </row>
    <row r="335" spans="5:21" x14ac:dyDescent="0.25">
      <c r="E335" t="s">
        <v>2193</v>
      </c>
      <c r="F335" t="s">
        <v>459</v>
      </c>
      <c r="G335" t="s">
        <v>320</v>
      </c>
      <c r="H335" t="s">
        <v>461</v>
      </c>
      <c r="I335">
        <v>8880</v>
      </c>
      <c r="K335" t="s">
        <v>2820</v>
      </c>
      <c r="L335" t="str">
        <f t="shared" si="133"/>
        <v>"id":"s317",</v>
      </c>
      <c r="M335" t="str">
        <v>"cate":"MA-1",</v>
      </c>
      <c r="N335" t="str">
        <v>"des":"MA-1150451STG",</v>
      </c>
      <c r="O335" t="str">
        <v>"mfg":"TDK",</v>
      </c>
      <c r="P335" t="str">
        <v>"pn":"C1005NP01H101J050BA",</v>
      </c>
      <c r="Q335" t="str">
        <v>"qty":9174</v>
      </c>
      <c r="S335" t="s">
        <v>2498</v>
      </c>
      <c r="T335" t="str">
        <f t="shared" si="134"/>
        <v>"id":"s317","cate":"MA-1","des":"MA-1150451STG","mfg":"TDK","pn":"C1005NP01H101J050BA","qty":9174</v>
      </c>
      <c r="U335" t="s">
        <v>2503</v>
      </c>
    </row>
    <row r="336" spans="5:21" x14ac:dyDescent="0.25">
      <c r="E336" t="s">
        <v>2193</v>
      </c>
      <c r="F336" t="s">
        <v>462</v>
      </c>
      <c r="G336" t="s">
        <v>13</v>
      </c>
      <c r="H336" t="s">
        <v>463</v>
      </c>
      <c r="I336">
        <v>8782</v>
      </c>
      <c r="K336" t="s">
        <v>2821</v>
      </c>
      <c r="L336" t="str">
        <f t="shared" si="133"/>
        <v>"id":"s318",</v>
      </c>
      <c r="M336" t="str">
        <v>"cate":"MA-1",</v>
      </c>
      <c r="N336" t="str">
        <v>"des":"MA-1121146STG",</v>
      </c>
      <c r="O336" t="str">
        <v>"mfg":"YAGEO",</v>
      </c>
      <c r="P336" t="str">
        <v>"pn":"RC0402FR-07470KL",</v>
      </c>
      <c r="Q336" t="str">
        <v>"qty":9173</v>
      </c>
      <c r="S336" t="s">
        <v>2498</v>
      </c>
      <c r="T336" t="str">
        <f t="shared" si="134"/>
        <v>"id":"s318","cate":"MA-1","des":"MA-1121146STG","mfg":"YAGEO","pn":"RC0402FR-07470KL","qty":9173</v>
      </c>
      <c r="U336" t="s">
        <v>2503</v>
      </c>
    </row>
    <row r="337" spans="5:21" x14ac:dyDescent="0.25">
      <c r="E337" t="s">
        <v>2193</v>
      </c>
      <c r="F337" t="s">
        <v>464</v>
      </c>
      <c r="G337" t="s">
        <v>13</v>
      </c>
      <c r="H337" t="s">
        <v>465</v>
      </c>
      <c r="I337">
        <v>8680</v>
      </c>
      <c r="K337" t="s">
        <v>2822</v>
      </c>
      <c r="L337" t="str">
        <f t="shared" si="133"/>
        <v>"id":"s319",</v>
      </c>
      <c r="M337" t="str">
        <v>"cate":"MA-1",</v>
      </c>
      <c r="N337" t="str">
        <v>"des":"MA-1121146STG",</v>
      </c>
      <c r="O337" t="str">
        <v>"mfg":"YAGEO",</v>
      </c>
      <c r="P337" t="str">
        <v>"pn":"RC0402FR-13470KL",</v>
      </c>
      <c r="Q337" t="str">
        <v>"qty":9173</v>
      </c>
      <c r="S337" t="s">
        <v>2498</v>
      </c>
      <c r="T337" t="str">
        <f t="shared" si="134"/>
        <v>"id":"s319","cate":"MA-1","des":"MA-1121146STG","mfg":"YAGEO","pn":"RC0402FR-13470KL","qty":9173</v>
      </c>
      <c r="U337" t="s">
        <v>2503</v>
      </c>
    </row>
    <row r="338" spans="5:21" x14ac:dyDescent="0.25">
      <c r="E338" t="s">
        <v>2193</v>
      </c>
      <c r="F338" t="s">
        <v>464</v>
      </c>
      <c r="G338" t="s">
        <v>466</v>
      </c>
      <c r="H338" t="s">
        <v>467</v>
      </c>
      <c r="I338">
        <v>8680</v>
      </c>
      <c r="K338" t="s">
        <v>2823</v>
      </c>
      <c r="L338" t="str">
        <f t="shared" si="133"/>
        <v>"id":"s320",</v>
      </c>
      <c r="M338" t="str">
        <v>"cate":"MA-1",</v>
      </c>
      <c r="N338" t="str">
        <v>"des":"MA-1121146STG",</v>
      </c>
      <c r="O338" t="str">
        <v>"mfg":"ROYAL OHM",</v>
      </c>
      <c r="P338" t="str">
        <v>"pn":"0402WGF4703TCE",</v>
      </c>
      <c r="Q338" t="str">
        <v>"qty":9173</v>
      </c>
      <c r="S338" t="s">
        <v>2498</v>
      </c>
      <c r="T338" t="str">
        <f t="shared" si="134"/>
        <v>"id":"s320","cate":"MA-1","des":"MA-1121146STG","mfg":"ROYAL OHM","pn":"0402WGF4703TCE","qty":9173</v>
      </c>
      <c r="U338" t="s">
        <v>2503</v>
      </c>
    </row>
    <row r="339" spans="5:21" x14ac:dyDescent="0.25">
      <c r="E339" t="s">
        <v>2193</v>
      </c>
      <c r="F339" t="s">
        <v>464</v>
      </c>
      <c r="G339" t="s">
        <v>10</v>
      </c>
      <c r="H339" t="s">
        <v>468</v>
      </c>
      <c r="I339">
        <v>8680</v>
      </c>
      <c r="K339" t="s">
        <v>2824</v>
      </c>
      <c r="L339" t="str">
        <f t="shared" si="133"/>
        <v>"id":"s321",</v>
      </c>
      <c r="M339" t="str">
        <v>"cate":"Resistor ",</v>
      </c>
      <c r="N339" t="str">
        <v>"des":"RST 121K 1/8W1%0805",</v>
      </c>
      <c r="O339" t="str">
        <v>"mfg":"YAGEO",</v>
      </c>
      <c r="P339" t="str">
        <v>"pn":"RC0805FR-07121KL",</v>
      </c>
      <c r="Q339" t="str">
        <v>"qty":9070</v>
      </c>
      <c r="S339" t="s">
        <v>2498</v>
      </c>
      <c r="T339" t="str">
        <f t="shared" si="134"/>
        <v>"id":"s321","cate":"Resistor ","des":"RST 121K 1/8W1%0805","mfg":"YAGEO","pn":"RC0805FR-07121KL","qty":9070</v>
      </c>
      <c r="U339" t="s">
        <v>2503</v>
      </c>
    </row>
    <row r="340" spans="5:21" x14ac:dyDescent="0.25">
      <c r="E340" t="s">
        <v>2140</v>
      </c>
      <c r="F340" t="s">
        <v>469</v>
      </c>
      <c r="G340" t="s">
        <v>57</v>
      </c>
      <c r="H340" t="s">
        <v>470</v>
      </c>
      <c r="I340">
        <v>8668</v>
      </c>
      <c r="K340" t="s">
        <v>2825</v>
      </c>
      <c r="L340" t="str">
        <f t="shared" ref="L340:L403" si="135">_xlfn.CONCAT("""","id","""",":","""",K340,"""",",")</f>
        <v>"id":"s322",</v>
      </c>
      <c r="M340" t="str">
        <v>"cate":"Resistor ",</v>
      </c>
      <c r="N340" t="str">
        <v>"des":"RST 2K2 1/16W1%402B",</v>
      </c>
      <c r="O340" t="str">
        <v>"mfg":"YAGEO",</v>
      </c>
      <c r="P340" t="str">
        <v>"pn":"RC0402FR-072K2L",</v>
      </c>
      <c r="Q340" t="str">
        <v>"qty":9066</v>
      </c>
      <c r="S340" t="s">
        <v>2498</v>
      </c>
      <c r="T340" t="str">
        <f t="shared" ref="T340:T403" si="136">_xlfn.CONCAT(L340:Q340)</f>
        <v>"id":"s322","cate":"Resistor ","des":"RST 2K2 1/16W1%402B","mfg":"YAGEO","pn":"RC0402FR-072K2L","qty":9066</v>
      </c>
      <c r="U340" t="s">
        <v>2503</v>
      </c>
    </row>
    <row r="341" spans="5:21" x14ac:dyDescent="0.25">
      <c r="E341" t="s">
        <v>2140</v>
      </c>
      <c r="F341" t="s">
        <v>469</v>
      </c>
      <c r="G341" t="s">
        <v>57</v>
      </c>
      <c r="H341" t="s">
        <v>471</v>
      </c>
      <c r="I341">
        <v>8668</v>
      </c>
      <c r="K341" t="s">
        <v>2826</v>
      </c>
      <c r="L341" t="str">
        <f t="shared" si="135"/>
        <v>"id":"s323",</v>
      </c>
      <c r="M341" t="str">
        <v>"cate":"Resistor ",</v>
      </c>
      <c r="N341" t="str">
        <v>"des":"RST 2K2 1/16W1%402B",</v>
      </c>
      <c r="O341" t="str">
        <v>"mfg":"ROYAL OHM",</v>
      </c>
      <c r="P341" t="str">
        <v>"pn":"0402WGF2201TCE",</v>
      </c>
      <c r="Q341" t="str">
        <v>"qty":9066</v>
      </c>
      <c r="S341" t="s">
        <v>2498</v>
      </c>
      <c r="T341" t="str">
        <f t="shared" si="136"/>
        <v>"id":"s323","cate":"Resistor ","des":"RST 2K2 1/16W1%402B","mfg":"ROYAL OHM","pn":"0402WGF2201TCE","qty":9066</v>
      </c>
      <c r="U341" t="s">
        <v>2503</v>
      </c>
    </row>
    <row r="342" spans="5:21" x14ac:dyDescent="0.25">
      <c r="E342" t="s">
        <v>2193</v>
      </c>
      <c r="F342" t="s">
        <v>472</v>
      </c>
      <c r="G342" t="s">
        <v>13</v>
      </c>
      <c r="H342" t="s">
        <v>473</v>
      </c>
      <c r="I342">
        <v>8667</v>
      </c>
      <c r="K342" t="s">
        <v>2827</v>
      </c>
      <c r="L342" t="str">
        <f t="shared" si="135"/>
        <v>"id":"s324",</v>
      </c>
      <c r="M342" t="str">
        <v>"cate":"Capacitor",</v>
      </c>
      <c r="N342" t="str">
        <v>"des":"Capacitor 10UF/250V",</v>
      </c>
      <c r="O342" t="str">
        <v>"mfg":"EPCOS/TDK",</v>
      </c>
      <c r="P342" t="str">
        <v>"pn":"B32674S3106K507",</v>
      </c>
      <c r="Q342" t="str">
        <v>"qty":9028</v>
      </c>
      <c r="S342" t="s">
        <v>2498</v>
      </c>
      <c r="T342" t="str">
        <f t="shared" si="136"/>
        <v>"id":"s324","cate":"Capacitor","des":"Capacitor 10UF/250V","mfg":"EPCOS/TDK","pn":"B32674S3106K507","qty":9028</v>
      </c>
      <c r="U342" t="s">
        <v>2503</v>
      </c>
    </row>
    <row r="343" spans="5:21" x14ac:dyDescent="0.25">
      <c r="E343" t="s">
        <v>2194</v>
      </c>
      <c r="F343" t="s">
        <v>2240</v>
      </c>
      <c r="G343" t="s">
        <v>474</v>
      </c>
      <c r="H343" t="s">
        <v>475</v>
      </c>
      <c r="I343">
        <v>8519</v>
      </c>
      <c r="K343" t="s">
        <v>2828</v>
      </c>
      <c r="L343" t="str">
        <f t="shared" si="135"/>
        <v>"id":"s325",</v>
      </c>
      <c r="M343" t="str">
        <v>"cate":"Resistor ",</v>
      </c>
      <c r="N343" t="str">
        <v>"des":"RST 22R1 1/4W1%1206",</v>
      </c>
      <c r="O343" t="str">
        <v>"mfg":"YAGEO",</v>
      </c>
      <c r="P343" t="str">
        <v>"pn":"RC1206FR-0722R1L",</v>
      </c>
      <c r="Q343" t="str">
        <v>"qty":9022</v>
      </c>
      <c r="S343" t="s">
        <v>2498</v>
      </c>
      <c r="T343" t="str">
        <f t="shared" si="136"/>
        <v>"id":"s325","cate":"Resistor ","des":"RST 22R1 1/4W1%1206","mfg":"YAGEO","pn":"RC1206FR-0722R1L","qty":9022</v>
      </c>
      <c r="U343" t="s">
        <v>2503</v>
      </c>
    </row>
    <row r="344" spans="5:21" x14ac:dyDescent="0.25">
      <c r="E344" t="s">
        <v>2193</v>
      </c>
      <c r="F344" t="s">
        <v>476</v>
      </c>
      <c r="G344" t="s">
        <v>13</v>
      </c>
      <c r="H344" t="s">
        <v>477</v>
      </c>
      <c r="I344">
        <v>8498</v>
      </c>
      <c r="K344" t="s">
        <v>2829</v>
      </c>
      <c r="L344" t="str">
        <f t="shared" si="135"/>
        <v>"id":"s326",</v>
      </c>
      <c r="M344" t="str">
        <v>"cate":"Resistor ",</v>
      </c>
      <c r="N344" t="str">
        <v>"des":"RST 51K1 1/8W1%0805",</v>
      </c>
      <c r="O344" t="str">
        <v>"mfg":"YAGEO",</v>
      </c>
      <c r="P344" t="str">
        <v>"pn":"RC0805FR-0751K1L",</v>
      </c>
      <c r="Q344" t="str">
        <v>"qty":8917</v>
      </c>
      <c r="S344" t="s">
        <v>2498</v>
      </c>
      <c r="T344" t="str">
        <f t="shared" si="136"/>
        <v>"id":"s326","cate":"Resistor ","des":"RST 51K1 1/8W1%0805","mfg":"YAGEO","pn":"RC0805FR-0751K1L","qty":8917</v>
      </c>
      <c r="U344" t="s">
        <v>2503</v>
      </c>
    </row>
    <row r="345" spans="5:21" x14ac:dyDescent="0.25">
      <c r="E345" t="s">
        <v>2193</v>
      </c>
      <c r="F345" t="s">
        <v>476</v>
      </c>
      <c r="G345" t="s">
        <v>13</v>
      </c>
      <c r="H345" t="s">
        <v>478</v>
      </c>
      <c r="I345">
        <v>8498</v>
      </c>
      <c r="K345" t="s">
        <v>2830</v>
      </c>
      <c r="L345" t="str">
        <f t="shared" si="135"/>
        <v>"id":"s327",</v>
      </c>
      <c r="M345" t="str">
        <v>"cate":"Resistor ",</v>
      </c>
      <c r="N345" t="str">
        <v>"des":"RST 220 1% 0402-T",</v>
      </c>
      <c r="O345" t="str">
        <v>"mfg":"VISHAY",</v>
      </c>
      <c r="P345" t="str">
        <v>"pn":"CRCW0402220RFKED",</v>
      </c>
      <c r="Q345" t="str">
        <v>"qty":8911</v>
      </c>
      <c r="S345" t="s">
        <v>2498</v>
      </c>
      <c r="T345" t="str">
        <f t="shared" si="136"/>
        <v>"id":"s327","cate":"Resistor ","des":"RST 220 1% 0402-T","mfg":"VISHAY","pn":"CRCW0402220RFKED","qty":8911</v>
      </c>
      <c r="U345" t="s">
        <v>2503</v>
      </c>
    </row>
    <row r="346" spans="5:21" x14ac:dyDescent="0.25">
      <c r="E346" t="s">
        <v>2193</v>
      </c>
      <c r="F346" t="s">
        <v>476</v>
      </c>
      <c r="G346" t="s">
        <v>10</v>
      </c>
      <c r="H346" t="s">
        <v>479</v>
      </c>
      <c r="I346">
        <v>8498</v>
      </c>
      <c r="K346" t="s">
        <v>2831</v>
      </c>
      <c r="L346" t="str">
        <f t="shared" si="135"/>
        <v>"id":"s328",</v>
      </c>
      <c r="M346" t="str">
        <v>"cate":"Resistor ",</v>
      </c>
      <c r="N346" t="str">
        <v>"des":"RST 220 1% 0402-T",</v>
      </c>
      <c r="O346" t="str">
        <v>"mfg":"ROYAL OHM",</v>
      </c>
      <c r="P346" t="str">
        <v>"pn":"CQ02WGF2200TCE",</v>
      </c>
      <c r="Q346" t="str">
        <v>"qty":8911</v>
      </c>
      <c r="S346" t="s">
        <v>2498</v>
      </c>
      <c r="T346" t="str">
        <f t="shared" si="136"/>
        <v>"id":"s328","cate":"Resistor ","des":"RST 220 1% 0402-T","mfg":"ROYAL OHM","pn":"CQ02WGF2200TCE","qty":8911</v>
      </c>
      <c r="U346" t="s">
        <v>2503</v>
      </c>
    </row>
    <row r="347" spans="5:21" x14ac:dyDescent="0.25">
      <c r="E347" t="s">
        <v>2193</v>
      </c>
      <c r="F347" t="s">
        <v>476</v>
      </c>
      <c r="G347" t="s">
        <v>202</v>
      </c>
      <c r="H347" t="s">
        <v>480</v>
      </c>
      <c r="I347">
        <v>8498</v>
      </c>
      <c r="K347" t="s">
        <v>2832</v>
      </c>
      <c r="L347" t="str">
        <f t="shared" si="135"/>
        <v>"id":"s329",</v>
      </c>
      <c r="M347" t="str">
        <v>"cate":"Resistor ",</v>
      </c>
      <c r="N347" t="str">
        <v>"des":"RST 1,2K 1/4W 1%805",</v>
      </c>
      <c r="O347" t="str">
        <v>"mfg":"KOA",</v>
      </c>
      <c r="P347" t="str">
        <v>"pn":"RK73H2ATTD1201F",</v>
      </c>
      <c r="Q347" t="str">
        <v>"qty":8880</v>
      </c>
      <c r="S347" t="s">
        <v>2498</v>
      </c>
      <c r="T347" t="str">
        <f t="shared" si="136"/>
        <v>"id":"s329","cate":"Resistor ","des":"RST 1,2K 1/4W 1%805","mfg":"KOA","pn":"RK73H2ATTD1201F","qty":8880</v>
      </c>
      <c r="U347" t="s">
        <v>2503</v>
      </c>
    </row>
    <row r="348" spans="5:21" x14ac:dyDescent="0.25">
      <c r="E348" t="s">
        <v>2139</v>
      </c>
      <c r="F348" t="s">
        <v>481</v>
      </c>
      <c r="G348" t="s">
        <v>13</v>
      </c>
      <c r="H348" t="s">
        <v>482</v>
      </c>
      <c r="I348">
        <v>8430</v>
      </c>
      <c r="K348" t="s">
        <v>2833</v>
      </c>
      <c r="L348" t="str">
        <f t="shared" si="135"/>
        <v>"id":"s330",</v>
      </c>
      <c r="M348" t="str">
        <v>"cate":"Resistor ",</v>
      </c>
      <c r="N348" t="str">
        <v>"des":"RST 1,2K 1/4W 1%805",</v>
      </c>
      <c r="O348" t="str">
        <v>"mfg":"ROYAL OHM",</v>
      </c>
      <c r="P348" t="str">
        <v>"pn":"HP05W3F1201T5E",</v>
      </c>
      <c r="Q348" t="str">
        <v>"qty":8880</v>
      </c>
      <c r="S348" t="s">
        <v>2498</v>
      </c>
      <c r="T348" t="str">
        <f t="shared" si="136"/>
        <v>"id":"s330","cate":"Resistor ","des":"RST 1,2K 1/4W 1%805","mfg":"ROYAL OHM","pn":"HP05W3F1201T5E","qty":8880</v>
      </c>
      <c r="U348" t="s">
        <v>2503</v>
      </c>
    </row>
    <row r="349" spans="5:21" x14ac:dyDescent="0.25">
      <c r="E349" t="s">
        <v>2139</v>
      </c>
      <c r="F349" t="s">
        <v>481</v>
      </c>
      <c r="G349" t="s">
        <v>49</v>
      </c>
      <c r="H349" t="s">
        <v>483</v>
      </c>
      <c r="I349">
        <v>8430</v>
      </c>
      <c r="K349" t="s">
        <v>2834</v>
      </c>
      <c r="L349" t="str">
        <f t="shared" si="135"/>
        <v>"id":"s331",</v>
      </c>
      <c r="M349" t="str">
        <v>"cate":"Resistor ",</v>
      </c>
      <c r="N349" t="str">
        <v>"des":"RST 330K 0,1W1%0603",</v>
      </c>
      <c r="O349" t="str">
        <v>"mfg":"YAGEO",</v>
      </c>
      <c r="P349" t="str">
        <v>"pn":"RC0603FR-07330KL",</v>
      </c>
      <c r="Q349" t="str">
        <v>"qty":8782</v>
      </c>
      <c r="S349" t="s">
        <v>2498</v>
      </c>
      <c r="T349" t="str">
        <f t="shared" si="136"/>
        <v>"id":"s331","cate":"Resistor ","des":"RST 330K 0,1W1%0603","mfg":"YAGEO","pn":"RC0603FR-07330KL","qty":8782</v>
      </c>
      <c r="U349" t="s">
        <v>2503</v>
      </c>
    </row>
    <row r="350" spans="5:21" x14ac:dyDescent="0.25">
      <c r="E350" t="s">
        <v>2139</v>
      </c>
      <c r="F350" t="s">
        <v>481</v>
      </c>
      <c r="G350" t="s">
        <v>62</v>
      </c>
      <c r="H350" t="s">
        <v>484</v>
      </c>
      <c r="I350">
        <v>8430</v>
      </c>
      <c r="K350" t="s">
        <v>2835</v>
      </c>
      <c r="L350" t="str">
        <f t="shared" si="135"/>
        <v>"id":"s332",</v>
      </c>
      <c r="M350" t="str">
        <v>"cate":"Resistor ",</v>
      </c>
      <c r="N350" t="str">
        <v>"des":"RST 39K 1/8W 5% 805",</v>
      </c>
      <c r="O350" t="str">
        <v>"mfg":"YAGEO",</v>
      </c>
      <c r="P350" t="str">
        <v>"pn":"RC0805FR-07 39K",</v>
      </c>
      <c r="Q350" t="str">
        <v>"qty":8680</v>
      </c>
      <c r="S350" t="s">
        <v>2498</v>
      </c>
      <c r="T350" t="str">
        <f t="shared" si="136"/>
        <v>"id":"s332","cate":"Resistor ","des":"RST 39K 1/8W 5% 805","mfg":"YAGEO","pn":"RC0805FR-07 39K","qty":8680</v>
      </c>
      <c r="U350" t="s">
        <v>2503</v>
      </c>
    </row>
    <row r="351" spans="5:21" x14ac:dyDescent="0.25">
      <c r="E351" t="s">
        <v>2193</v>
      </c>
      <c r="F351" t="s">
        <v>485</v>
      </c>
      <c r="G351" t="s">
        <v>13</v>
      </c>
      <c r="H351" t="s">
        <v>486</v>
      </c>
      <c r="I351">
        <v>8347</v>
      </c>
      <c r="K351" t="s">
        <v>2836</v>
      </c>
      <c r="L351" t="str">
        <f t="shared" si="135"/>
        <v>"id":"s333",</v>
      </c>
      <c r="M351" t="str">
        <v>"cate":"Resistor ",</v>
      </c>
      <c r="N351" t="str">
        <v>"des":"RST 39K 1/8W 5% 805",</v>
      </c>
      <c r="O351" t="str">
        <v>"mfg":"EVER OHMS",</v>
      </c>
      <c r="P351" t="str">
        <v>"pn":"CHIP0805393P",</v>
      </c>
      <c r="Q351" t="str">
        <v>"qty":8680</v>
      </c>
      <c r="S351" t="s">
        <v>2498</v>
      </c>
      <c r="T351" t="str">
        <f t="shared" si="136"/>
        <v>"id":"s333","cate":"Resistor ","des":"RST 39K 1/8W 5% 805","mfg":"EVER OHMS","pn":"CHIP0805393P","qty":8680</v>
      </c>
      <c r="U351" t="s">
        <v>2503</v>
      </c>
    </row>
    <row r="352" spans="5:21" x14ac:dyDescent="0.25">
      <c r="E352" t="s">
        <v>2193</v>
      </c>
      <c r="F352" t="s">
        <v>485</v>
      </c>
      <c r="G352" t="s">
        <v>10</v>
      </c>
      <c r="H352" t="s">
        <v>487</v>
      </c>
      <c r="I352">
        <v>8347</v>
      </c>
      <c r="K352" t="s">
        <v>2837</v>
      </c>
      <c r="L352" t="str">
        <f t="shared" si="135"/>
        <v>"id":"s334",</v>
      </c>
      <c r="M352" t="str">
        <v>"cate":"Resistor ",</v>
      </c>
      <c r="N352" t="str">
        <v>"des":"RST 39K 1/8W 5% 805",</v>
      </c>
      <c r="O352" t="str">
        <v>"mfg":"WALSIN",</v>
      </c>
      <c r="P352" t="str">
        <v>"pn":"WR08X3902FTL",</v>
      </c>
      <c r="Q352" t="str">
        <v>"qty":8680</v>
      </c>
      <c r="S352" t="s">
        <v>2498</v>
      </c>
      <c r="T352" t="str">
        <f t="shared" si="136"/>
        <v>"id":"s334","cate":"Resistor ","des":"RST 39K 1/8W 5% 805","mfg":"WALSIN","pn":"WR08X3902FTL","qty":8680</v>
      </c>
      <c r="U352" t="s">
        <v>2503</v>
      </c>
    </row>
    <row r="353" spans="5:21" x14ac:dyDescent="0.25">
      <c r="E353" t="s">
        <v>2193</v>
      </c>
      <c r="F353" t="s">
        <v>488</v>
      </c>
      <c r="G353" t="s">
        <v>207</v>
      </c>
      <c r="H353" t="s">
        <v>489</v>
      </c>
      <c r="I353">
        <v>8280</v>
      </c>
      <c r="K353" t="s">
        <v>2838</v>
      </c>
      <c r="L353" t="str">
        <f t="shared" si="135"/>
        <v>"id":"s335",</v>
      </c>
      <c r="M353" t="str">
        <v>"cate":"POLY",</v>
      </c>
      <c r="N353" t="str">
        <v>"des":"POLYFUSE 0,16A/250V",</v>
      </c>
      <c r="O353" t="str">
        <v>"mfg":"LITTELFUSE",</v>
      </c>
      <c r="P353" t="str">
        <v>"pn":"RF0071-000",</v>
      </c>
      <c r="Q353" t="str">
        <v>"qty":8668</v>
      </c>
      <c r="S353" t="s">
        <v>2498</v>
      </c>
      <c r="T353" t="str">
        <f t="shared" si="136"/>
        <v>"id":"s335","cate":"POLY","des":"POLYFUSE 0,16A/250V","mfg":"LITTELFUSE","pn":"RF0071-000","qty":8668</v>
      </c>
      <c r="U353" t="s">
        <v>2503</v>
      </c>
    </row>
    <row r="354" spans="5:21" x14ac:dyDescent="0.25">
      <c r="E354" t="s">
        <v>2193</v>
      </c>
      <c r="F354" t="s">
        <v>490</v>
      </c>
      <c r="G354" t="s">
        <v>37</v>
      </c>
      <c r="H354" t="s">
        <v>491</v>
      </c>
      <c r="I354">
        <v>8218</v>
      </c>
      <c r="K354" t="s">
        <v>2839</v>
      </c>
      <c r="L354" t="str">
        <f t="shared" si="135"/>
        <v>"id":"s336",</v>
      </c>
      <c r="M354" t="str">
        <v>"cate":"POLY",</v>
      </c>
      <c r="N354" t="str">
        <v>"des":"POLYFUSE 0,16A/250V",</v>
      </c>
      <c r="O354" t="str">
        <v>"mfg":"LITTELFUSE",</v>
      </c>
      <c r="P354" t="str">
        <v>"pn":"TRF600-160",</v>
      </c>
      <c r="Q354" t="str">
        <v>"qty":8668</v>
      </c>
      <c r="S354" t="s">
        <v>2498</v>
      </c>
      <c r="T354" t="str">
        <f t="shared" si="136"/>
        <v>"id":"s336","cate":"POLY","des":"POLYFUSE 0,16A/250V","mfg":"LITTELFUSE","pn":"TRF600-160","qty":8668</v>
      </c>
      <c r="U354" t="s">
        <v>2503</v>
      </c>
    </row>
    <row r="355" spans="5:21" x14ac:dyDescent="0.25">
      <c r="E355" t="s">
        <v>2194</v>
      </c>
      <c r="F355" t="s">
        <v>2241</v>
      </c>
      <c r="G355" t="s">
        <v>47</v>
      </c>
      <c r="H355" t="s">
        <v>492</v>
      </c>
      <c r="I355">
        <v>8009</v>
      </c>
      <c r="K355" t="s">
        <v>2840</v>
      </c>
      <c r="L355" t="str">
        <f t="shared" si="135"/>
        <v>"id":"s337",</v>
      </c>
      <c r="M355" t="str">
        <v>"cate":"Resistor ",</v>
      </c>
      <c r="N355" t="str">
        <v>"des":"RST 4K75 1/4W1%1206",</v>
      </c>
      <c r="O355" t="str">
        <v>"mfg":"YAGEO",</v>
      </c>
      <c r="P355" t="str">
        <v>"pn":"RC1206FR-074K75L",</v>
      </c>
      <c r="Q355" t="str">
        <v>"qty":8667</v>
      </c>
      <c r="S355" t="s">
        <v>2498</v>
      </c>
      <c r="T355" t="str">
        <f t="shared" si="136"/>
        <v>"id":"s337","cate":"Resistor ","des":"RST 4K75 1/4W1%1206","mfg":"YAGEO","pn":"RC1206FR-074K75L","qty":8667</v>
      </c>
      <c r="U355" t="s">
        <v>2503</v>
      </c>
    </row>
    <row r="356" spans="5:21" x14ac:dyDescent="0.25">
      <c r="E356" t="s">
        <v>2194</v>
      </c>
      <c r="F356" t="s">
        <v>2241</v>
      </c>
      <c r="G356" t="s">
        <v>47</v>
      </c>
      <c r="H356" t="s">
        <v>493</v>
      </c>
      <c r="I356">
        <v>8009</v>
      </c>
      <c r="K356" t="s">
        <v>2841</v>
      </c>
      <c r="L356" t="str">
        <f t="shared" si="135"/>
        <v>"id":"s338",</v>
      </c>
      <c r="M356" t="str">
        <v>"cate":"Capacitor",</v>
      </c>
      <c r="N356" t="str">
        <v>"des":"Capacitor 220NF/16V 0402",</v>
      </c>
      <c r="O356" t="str">
        <v>"mfg":"MURATA (CANCELED)",</v>
      </c>
      <c r="P356" t="str">
        <v>"pn":"GRM155R71C224KA12D",</v>
      </c>
      <c r="Q356" t="str">
        <v>"qty":8519</v>
      </c>
      <c r="S356" t="s">
        <v>2498</v>
      </c>
      <c r="T356" t="str">
        <f t="shared" si="136"/>
        <v>"id":"s338","cate":"Capacitor","des":"Capacitor 220NF/16V 0402","mfg":"MURATA (CANCELED)","pn":"GRM155R71C224KA12D","qty":8519</v>
      </c>
      <c r="U356" t="s">
        <v>2503</v>
      </c>
    </row>
    <row r="357" spans="5:21" x14ac:dyDescent="0.25">
      <c r="E357" t="s">
        <v>2194</v>
      </c>
      <c r="F357" t="s">
        <v>2241</v>
      </c>
      <c r="G357" t="s">
        <v>343</v>
      </c>
      <c r="H357" t="s">
        <v>494</v>
      </c>
      <c r="I357">
        <v>8009</v>
      </c>
      <c r="K357" t="s">
        <v>2842</v>
      </c>
      <c r="L357" t="str">
        <f t="shared" si="135"/>
        <v>"id":"s339",</v>
      </c>
      <c r="M357" t="str">
        <v>"cate":"Resistor ",</v>
      </c>
      <c r="N357" t="str">
        <v>"des":"RST 120 2W 5% 2512",</v>
      </c>
      <c r="O357" t="str">
        <v>"mfg":"YAGEO",</v>
      </c>
      <c r="P357" t="str">
        <v>"pn":"RC2512FK-07120RL",</v>
      </c>
      <c r="Q357" t="str">
        <v>"qty":8498</v>
      </c>
      <c r="S357" t="s">
        <v>2498</v>
      </c>
      <c r="T357" t="str">
        <f t="shared" si="136"/>
        <v>"id":"s339","cate":"Resistor ","des":"RST 120 2W 5% 2512","mfg":"YAGEO","pn":"RC2512FK-07120RL","qty":8498</v>
      </c>
      <c r="U357" t="s">
        <v>2503</v>
      </c>
    </row>
    <row r="358" spans="5:21" x14ac:dyDescent="0.25">
      <c r="E358" t="s">
        <v>2193</v>
      </c>
      <c r="F358" t="s">
        <v>495</v>
      </c>
      <c r="G358" t="s">
        <v>320</v>
      </c>
      <c r="H358" t="s">
        <v>496</v>
      </c>
      <c r="I358">
        <v>7979</v>
      </c>
      <c r="K358" t="s">
        <v>2843</v>
      </c>
      <c r="L358" t="str">
        <f t="shared" si="135"/>
        <v>"id":"s340",</v>
      </c>
      <c r="M358" t="str">
        <v>"cate":"Resistor ",</v>
      </c>
      <c r="N358" t="str">
        <v>"des":"RST 120 2W 5% 2512",</v>
      </c>
      <c r="O358" t="str">
        <v>"mfg":"YAGEO",</v>
      </c>
      <c r="P358" t="str">
        <v>"pn":"RC2512JK-7W120RL",</v>
      </c>
      <c r="Q358" t="str">
        <v>"qty":8498</v>
      </c>
      <c r="S358" t="s">
        <v>2498</v>
      </c>
      <c r="T358" t="str">
        <f t="shared" si="136"/>
        <v>"id":"s340","cate":"Resistor ","des":"RST 120 2W 5% 2512","mfg":"YAGEO","pn":"RC2512JK-7W120RL","qty":8498</v>
      </c>
      <c r="U358" t="s">
        <v>2503</v>
      </c>
    </row>
    <row r="359" spans="5:21" x14ac:dyDescent="0.25">
      <c r="E359" t="s">
        <v>2123</v>
      </c>
      <c r="F359" t="s">
        <v>497</v>
      </c>
      <c r="G359" t="s">
        <v>130</v>
      </c>
      <c r="H359" t="s">
        <v>498</v>
      </c>
      <c r="I359">
        <v>7968</v>
      </c>
      <c r="K359" t="s">
        <v>2844</v>
      </c>
      <c r="L359" t="str">
        <f t="shared" si="135"/>
        <v>"id":"s341",</v>
      </c>
      <c r="M359" t="str">
        <v>"cate":"Resistor ",</v>
      </c>
      <c r="N359" t="str">
        <v>"des":"RST 120 2W 5% 2512",</v>
      </c>
      <c r="O359" t="str">
        <v>"mfg":"WALSIN",</v>
      </c>
      <c r="P359" t="str">
        <v>"pn":"WF25P121JTL",</v>
      </c>
      <c r="Q359" t="str">
        <v>"qty":8498</v>
      </c>
      <c r="S359" t="s">
        <v>2498</v>
      </c>
      <c r="T359" t="str">
        <f t="shared" si="136"/>
        <v>"id":"s341","cate":"Resistor ","des":"RST 120 2W 5% 2512","mfg":"WALSIN","pn":"WF25P121JTL","qty":8498</v>
      </c>
      <c r="U359" t="s">
        <v>2503</v>
      </c>
    </row>
    <row r="360" spans="5:21" x14ac:dyDescent="0.25">
      <c r="E360" t="s">
        <v>2123</v>
      </c>
      <c r="F360" t="s">
        <v>497</v>
      </c>
      <c r="G360" t="s">
        <v>499</v>
      </c>
      <c r="H360" t="s">
        <v>500</v>
      </c>
      <c r="I360">
        <v>7968</v>
      </c>
      <c r="K360" t="s">
        <v>2845</v>
      </c>
      <c r="L360" t="str">
        <f t="shared" si="135"/>
        <v>"id":"s342",</v>
      </c>
      <c r="M360" t="str">
        <v>"cate":"Resistor ",</v>
      </c>
      <c r="N360" t="str">
        <v>"des":"RST 120 2W 5% 2512",</v>
      </c>
      <c r="O360" t="str">
        <v>"mfg":"TE CONNECTIVITY",</v>
      </c>
      <c r="P360" t="str">
        <v>"pn":"CRGH2512J120R",</v>
      </c>
      <c r="Q360" t="str">
        <v>"qty":8498</v>
      </c>
      <c r="S360" t="s">
        <v>2498</v>
      </c>
      <c r="T360" t="str">
        <f t="shared" si="136"/>
        <v>"id":"s342","cate":"Resistor ","des":"RST 120 2W 5% 2512","mfg":"TE CONNECTIVITY","pn":"CRGH2512J120R","qty":8498</v>
      </c>
      <c r="U360" t="s">
        <v>2503</v>
      </c>
    </row>
    <row r="361" spans="5:21" x14ac:dyDescent="0.25">
      <c r="E361" t="s">
        <v>2193</v>
      </c>
      <c r="F361" t="s">
        <v>501</v>
      </c>
      <c r="G361" t="s">
        <v>13</v>
      </c>
      <c r="H361" t="s">
        <v>502</v>
      </c>
      <c r="I361">
        <v>7880</v>
      </c>
      <c r="K361" t="s">
        <v>2846</v>
      </c>
      <c r="L361" t="str">
        <f t="shared" si="135"/>
        <v>"id":"s343",</v>
      </c>
      <c r="M361" t="str">
        <v>"cate":"MA-1",</v>
      </c>
      <c r="N361" t="str">
        <v>"des":"MA-1150495STG",</v>
      </c>
      <c r="O361" t="str">
        <v>"mfg":"YAGEO",</v>
      </c>
      <c r="P361" t="str">
        <v>"pn":"CC0402KRX7R8BB104",</v>
      </c>
      <c r="Q361" t="str">
        <v>"qty":8430</v>
      </c>
      <c r="S361" t="s">
        <v>2498</v>
      </c>
      <c r="T361" t="str">
        <f t="shared" si="136"/>
        <v>"id":"s343","cate":"MA-1","des":"MA-1150495STG","mfg":"YAGEO","pn":"CC0402KRX7R8BB104","qty":8430</v>
      </c>
      <c r="U361" t="s">
        <v>2503</v>
      </c>
    </row>
    <row r="362" spans="5:21" x14ac:dyDescent="0.25">
      <c r="E362" t="s">
        <v>2193</v>
      </c>
      <c r="F362" t="s">
        <v>501</v>
      </c>
      <c r="G362" t="s">
        <v>89</v>
      </c>
      <c r="H362" t="s">
        <v>503</v>
      </c>
      <c r="I362">
        <v>7880</v>
      </c>
      <c r="K362" t="s">
        <v>2847</v>
      </c>
      <c r="L362" t="str">
        <f t="shared" si="135"/>
        <v>"id":"s344",</v>
      </c>
      <c r="M362" t="str">
        <v>"cate":"MA-1",</v>
      </c>
      <c r="N362" t="str">
        <v>"des":"MA-1150495STG",</v>
      </c>
      <c r="O362" t="str">
        <v>"mfg":"AVX",</v>
      </c>
      <c r="P362" t="str">
        <v>"pn":"04023C104KAT2A",</v>
      </c>
      <c r="Q362" t="str">
        <v>"qty":8430</v>
      </c>
      <c r="S362" t="s">
        <v>2498</v>
      </c>
      <c r="T362" t="str">
        <f t="shared" si="136"/>
        <v>"id":"s344","cate":"MA-1","des":"MA-1150495STG","mfg":"AVX","pn":"04023C104KAT2A","qty":8430</v>
      </c>
      <c r="U362" t="s">
        <v>2503</v>
      </c>
    </row>
    <row r="363" spans="5:21" x14ac:dyDescent="0.25">
      <c r="E363" t="s">
        <v>2193</v>
      </c>
      <c r="F363" t="s">
        <v>504</v>
      </c>
      <c r="G363" t="s">
        <v>13</v>
      </c>
      <c r="H363" t="s">
        <v>505</v>
      </c>
      <c r="I363">
        <v>7861</v>
      </c>
      <c r="K363" t="s">
        <v>2848</v>
      </c>
      <c r="L363" t="str">
        <f t="shared" si="135"/>
        <v>"id":"s345",</v>
      </c>
      <c r="M363" t="str">
        <v>"cate":"MA-1",</v>
      </c>
      <c r="N363" t="str">
        <v>"des":"MA-1150495STG",</v>
      </c>
      <c r="O363" t="str">
        <v>"mfg":"TDK",</v>
      </c>
      <c r="P363" t="str">
        <v>"pn":"C1005X7R1E104K050BB",</v>
      </c>
      <c r="Q363" t="str">
        <v>"qty":8430</v>
      </c>
      <c r="S363" t="s">
        <v>2498</v>
      </c>
      <c r="T363" t="str">
        <f t="shared" si="136"/>
        <v>"id":"s345","cate":"MA-1","des":"MA-1150495STG","mfg":"TDK","pn":"C1005X7R1E104K050BB","qty":8430</v>
      </c>
      <c r="U363" t="s">
        <v>2503</v>
      </c>
    </row>
    <row r="364" spans="5:21" x14ac:dyDescent="0.25">
      <c r="E364" t="s">
        <v>2126</v>
      </c>
      <c r="F364" t="s">
        <v>506</v>
      </c>
      <c r="G364" t="s">
        <v>507</v>
      </c>
      <c r="H364" t="s">
        <v>508</v>
      </c>
      <c r="I364">
        <v>7742</v>
      </c>
      <c r="K364" t="s">
        <v>2849</v>
      </c>
      <c r="L364" t="str">
        <f t="shared" si="135"/>
        <v>"id":"s346",</v>
      </c>
      <c r="M364" t="str">
        <v>"cate":"Resistor ",</v>
      </c>
      <c r="N364" t="str">
        <v>"des":"RST 1K 1W 5% 2512",</v>
      </c>
      <c r="O364" t="str">
        <v>"mfg":"YAGEO",</v>
      </c>
      <c r="P364" t="str">
        <v>"pn":"RC2512FK-071KL",</v>
      </c>
      <c r="Q364" t="str">
        <v>"qty":8347</v>
      </c>
      <c r="S364" t="s">
        <v>2498</v>
      </c>
      <c r="T364" t="str">
        <f t="shared" si="136"/>
        <v>"id":"s346","cate":"Resistor ","des":"RST 1K 1W 5% 2512","mfg":"YAGEO","pn":"RC2512FK-071KL","qty":8347</v>
      </c>
      <c r="U364" t="s">
        <v>2503</v>
      </c>
    </row>
    <row r="365" spans="5:21" x14ac:dyDescent="0.25">
      <c r="E365" t="s">
        <v>2405</v>
      </c>
      <c r="F365" t="s">
        <v>2416</v>
      </c>
      <c r="G365" t="s">
        <v>37</v>
      </c>
      <c r="H365" t="s">
        <v>509</v>
      </c>
      <c r="I365">
        <v>7729</v>
      </c>
      <c r="K365" t="s">
        <v>2850</v>
      </c>
      <c r="L365" t="str">
        <f t="shared" si="135"/>
        <v>"id":"s347",</v>
      </c>
      <c r="M365" t="str">
        <v>"cate":"Resistor ",</v>
      </c>
      <c r="N365" t="str">
        <v>"des":"RST 1K 1W 5% 2512",</v>
      </c>
      <c r="O365" t="str">
        <v>"mfg":"WALSIN",</v>
      </c>
      <c r="P365" t="str">
        <v>"pn":"WR25X1001FTL",</v>
      </c>
      <c r="Q365" t="str">
        <v>"qty":8347</v>
      </c>
      <c r="S365" t="s">
        <v>2498</v>
      </c>
      <c r="T365" t="str">
        <f t="shared" si="136"/>
        <v>"id":"s347","cate":"Resistor ","des":"RST 1K 1W 5% 2512","mfg":"WALSIN","pn":"WR25X1001FTL","qty":8347</v>
      </c>
      <c r="U365" t="s">
        <v>2503</v>
      </c>
    </row>
    <row r="366" spans="5:21" x14ac:dyDescent="0.25">
      <c r="E366" t="s">
        <v>2405</v>
      </c>
      <c r="F366" t="s">
        <v>2416</v>
      </c>
      <c r="G366" t="s">
        <v>510</v>
      </c>
      <c r="H366" t="s">
        <v>511</v>
      </c>
      <c r="I366">
        <v>7729</v>
      </c>
      <c r="K366" t="s">
        <v>2851</v>
      </c>
      <c r="L366" t="str">
        <f t="shared" si="135"/>
        <v>"id":"s348",</v>
      </c>
      <c r="M366" t="str">
        <v>"cate":"Resistor ",</v>
      </c>
      <c r="N366" t="str">
        <v>"des":"RST 221R 1/8W 1%805",</v>
      </c>
      <c r="O366" t="str">
        <v>"mfg":"STACKPOLE ELECTRONICS INC",</v>
      </c>
      <c r="P366" t="str">
        <v>"pn":"RMCF0805FT221R",</v>
      </c>
      <c r="Q366" t="str">
        <v>"qty":8280</v>
      </c>
      <c r="S366" t="s">
        <v>2498</v>
      </c>
      <c r="T366" t="str">
        <f t="shared" si="136"/>
        <v>"id":"s348","cate":"Resistor ","des":"RST 221R 1/8W 1%805","mfg":"STACKPOLE ELECTRONICS INC","pn":"RMCF0805FT221R","qty":8280</v>
      </c>
      <c r="U366" t="s">
        <v>2503</v>
      </c>
    </row>
    <row r="367" spans="5:21" x14ac:dyDescent="0.25">
      <c r="E367" t="s">
        <v>2194</v>
      </c>
      <c r="F367" t="s">
        <v>2242</v>
      </c>
      <c r="G367" t="s">
        <v>13</v>
      </c>
      <c r="H367" t="s">
        <v>512</v>
      </c>
      <c r="I367">
        <v>7725</v>
      </c>
      <c r="K367" t="s">
        <v>2852</v>
      </c>
      <c r="L367" t="str">
        <f t="shared" si="135"/>
        <v>"id":"s349",</v>
      </c>
      <c r="M367" t="str">
        <v>"cate":"Resistor ",</v>
      </c>
      <c r="N367" t="str">
        <v>"des":"RST 100K 1/4W1%1206",</v>
      </c>
      <c r="O367" t="str">
        <v>"mfg":"VISHAY",</v>
      </c>
      <c r="P367" t="str">
        <v>"pn":"CRCW1206100KFKEAC",</v>
      </c>
      <c r="Q367" t="str">
        <v>"qty":8218</v>
      </c>
      <c r="S367" t="s">
        <v>2498</v>
      </c>
      <c r="T367" t="str">
        <f t="shared" si="136"/>
        <v>"id":"s349","cate":"Resistor ","des":"RST 100K 1/4W1%1206","mfg":"VISHAY","pn":"CRCW1206100KFKEAC","qty":8218</v>
      </c>
      <c r="U367" t="s">
        <v>2503</v>
      </c>
    </row>
    <row r="368" spans="5:21" x14ac:dyDescent="0.25">
      <c r="E368" t="s">
        <v>2141</v>
      </c>
      <c r="F368" t="s">
        <v>513</v>
      </c>
      <c r="G368" t="s">
        <v>202</v>
      </c>
      <c r="H368" t="s">
        <v>514</v>
      </c>
      <c r="I368">
        <v>7587</v>
      </c>
      <c r="K368" t="s">
        <v>2853</v>
      </c>
      <c r="L368" t="str">
        <f t="shared" si="135"/>
        <v>"id":"s350",</v>
      </c>
      <c r="M368" t="str">
        <v>"cate":"Capacitor",</v>
      </c>
      <c r="N368" t="str">
        <v>"des":"Capacitor 220NF/500V 10%",</v>
      </c>
      <c r="O368" t="str">
        <v>"mfg":"KEMET",</v>
      </c>
      <c r="P368" t="str">
        <v>"pn":"C1812W224KCRACTU",</v>
      </c>
      <c r="Q368" t="str">
        <v>"qty":8009</v>
      </c>
      <c r="S368" t="s">
        <v>2498</v>
      </c>
      <c r="T368" t="str">
        <f t="shared" si="136"/>
        <v>"id":"s350","cate":"Capacitor","des":"Capacitor 220NF/500V 10%","mfg":"KEMET","pn":"C1812W224KCRACTU","qty":8009</v>
      </c>
      <c r="U368" t="s">
        <v>2503</v>
      </c>
    </row>
    <row r="369" spans="5:21" x14ac:dyDescent="0.25">
      <c r="E369" t="s">
        <v>2193</v>
      </c>
      <c r="F369" t="s">
        <v>515</v>
      </c>
      <c r="G369" t="s">
        <v>13</v>
      </c>
      <c r="H369" t="s">
        <v>516</v>
      </c>
      <c r="I369">
        <v>7566</v>
      </c>
      <c r="K369" t="s">
        <v>2854</v>
      </c>
      <c r="L369" t="str">
        <f t="shared" si="135"/>
        <v>"id":"s351",</v>
      </c>
      <c r="M369" t="str">
        <v>"cate":"Capacitor",</v>
      </c>
      <c r="N369" t="str">
        <v>"des":"Capacitor 220NF/500V 10%",</v>
      </c>
      <c r="O369" t="str">
        <v>"mfg":"KEMET",</v>
      </c>
      <c r="P369" t="str">
        <v>"pn":"C1812W224KCRAC7800",</v>
      </c>
      <c r="Q369" t="str">
        <v>"qty":8009</v>
      </c>
      <c r="S369" t="s">
        <v>2498</v>
      </c>
      <c r="T369" t="str">
        <f t="shared" si="136"/>
        <v>"id":"s351","cate":"Capacitor","des":"Capacitor 220NF/500V 10%","mfg":"KEMET","pn":"C1812W224KCRAC7800","qty":8009</v>
      </c>
      <c r="U369" t="s">
        <v>2503</v>
      </c>
    </row>
    <row r="370" spans="5:21" x14ac:dyDescent="0.25">
      <c r="E370" t="s">
        <v>2193</v>
      </c>
      <c r="F370" t="s">
        <v>515</v>
      </c>
      <c r="G370" t="s">
        <v>13</v>
      </c>
      <c r="H370" t="s">
        <v>517</v>
      </c>
      <c r="I370">
        <v>7566</v>
      </c>
      <c r="K370" t="s">
        <v>2855</v>
      </c>
      <c r="L370" t="str">
        <f t="shared" si="135"/>
        <v>"id":"s352",</v>
      </c>
      <c r="M370" t="str">
        <v>"cate":"Capacitor",</v>
      </c>
      <c r="N370" t="str">
        <v>"des":"Capacitor 220NF/500V 10%",</v>
      </c>
      <c r="O370" t="str">
        <v>"mfg":"JOHANSON",</v>
      </c>
      <c r="P370" t="str">
        <v>"pn":"501S43W224KV4E",</v>
      </c>
      <c r="Q370" t="str">
        <v>"qty":8009</v>
      </c>
      <c r="S370" t="s">
        <v>2498</v>
      </c>
      <c r="T370" t="str">
        <f t="shared" si="136"/>
        <v>"id":"s352","cate":"Capacitor","des":"Capacitor 220NF/500V 10%","mfg":"JOHANSON","pn":"501S43W224KV4E","qty":8009</v>
      </c>
      <c r="U370" t="s">
        <v>2503</v>
      </c>
    </row>
    <row r="371" spans="5:21" x14ac:dyDescent="0.25">
      <c r="E371" s="6" t="s">
        <v>2382</v>
      </c>
      <c r="F371" t="s">
        <v>518</v>
      </c>
      <c r="G371" t="s">
        <v>61</v>
      </c>
      <c r="H371" t="s">
        <v>519</v>
      </c>
      <c r="I371">
        <v>7561</v>
      </c>
      <c r="K371" t="s">
        <v>2856</v>
      </c>
      <c r="L371" t="str">
        <f t="shared" si="135"/>
        <v>"id":"s353",</v>
      </c>
      <c r="M371" t="str">
        <v>"cate":"Resistor ",</v>
      </c>
      <c r="N371" t="str">
        <v>"des":"RST 13K 1/16W1% 402",</v>
      </c>
      <c r="O371" t="str">
        <v>"mfg":"ROYAL OHM",</v>
      </c>
      <c r="P371" t="str">
        <v>"pn":"0402WGF1302TCE",</v>
      </c>
      <c r="Q371" t="str">
        <v>"qty":7979</v>
      </c>
      <c r="S371" t="s">
        <v>2498</v>
      </c>
      <c r="T371" t="str">
        <f t="shared" si="136"/>
        <v>"id":"s353","cate":"Resistor ","des":"RST 13K 1/16W1% 402","mfg":"ROYAL OHM","pn":"0402WGF1302TCE","qty":7979</v>
      </c>
      <c r="U371" t="s">
        <v>2503</v>
      </c>
    </row>
    <row r="372" spans="5:21" x14ac:dyDescent="0.25">
      <c r="E372" s="6" t="s">
        <v>2382</v>
      </c>
      <c r="F372" t="s">
        <v>518</v>
      </c>
      <c r="G372" t="s">
        <v>61</v>
      </c>
      <c r="H372" t="s">
        <v>520</v>
      </c>
      <c r="I372">
        <v>7561</v>
      </c>
      <c r="K372" t="s">
        <v>2857</v>
      </c>
      <c r="L372" t="str">
        <f t="shared" si="135"/>
        <v>"id":"s354",</v>
      </c>
      <c r="M372" t="str">
        <v>"cate":"LED ",</v>
      </c>
      <c r="N372" t="str">
        <v>"des":"LED RED 0603",</v>
      </c>
      <c r="O372" t="str">
        <v>"mfg":"EVERLIGHT",</v>
      </c>
      <c r="P372" t="str">
        <v>"pn":"19-213/R6C-AM2P1VY/",</v>
      </c>
      <c r="Q372" t="str">
        <v>"qty":7968</v>
      </c>
      <c r="S372" t="s">
        <v>2498</v>
      </c>
      <c r="T372" t="str">
        <f t="shared" si="136"/>
        <v>"id":"s354","cate":"LED ","des":"LED RED 0603","mfg":"EVERLIGHT","pn":"19-213/R6C-AM2P1VY/","qty":7968</v>
      </c>
      <c r="U372" t="s">
        <v>2503</v>
      </c>
    </row>
    <row r="373" spans="5:21" x14ac:dyDescent="0.25">
      <c r="E373" t="s">
        <v>2474</v>
      </c>
      <c r="F373" t="s">
        <v>2476</v>
      </c>
      <c r="G373" t="s">
        <v>521</v>
      </c>
      <c r="H373" t="s">
        <v>522</v>
      </c>
      <c r="I373">
        <v>7541</v>
      </c>
      <c r="K373" t="s">
        <v>2858</v>
      </c>
      <c r="L373" t="str">
        <f t="shared" si="135"/>
        <v>"id":"s355",</v>
      </c>
      <c r="M373" t="str">
        <v>"cate":"LED ",</v>
      </c>
      <c r="N373" t="str">
        <v>"des":"LED RED 0603",</v>
      </c>
      <c r="O373" t="str">
        <v>"mfg":"AVAGO",</v>
      </c>
      <c r="P373" t="str">
        <v>"pn":"HSMH-C190",</v>
      </c>
      <c r="Q373" t="str">
        <v>"qty":7968</v>
      </c>
      <c r="S373" t="s">
        <v>2498</v>
      </c>
      <c r="T373" t="str">
        <f t="shared" si="136"/>
        <v>"id":"s355","cate":"LED ","des":"LED RED 0603","mfg":"AVAGO","pn":"HSMH-C190","qty":7968</v>
      </c>
      <c r="U373" t="s">
        <v>2503</v>
      </c>
    </row>
    <row r="374" spans="5:21" x14ac:dyDescent="0.25">
      <c r="E374" t="s">
        <v>2474</v>
      </c>
      <c r="F374" t="s">
        <v>2476</v>
      </c>
      <c r="G374" t="s">
        <v>61</v>
      </c>
      <c r="H374" t="s">
        <v>523</v>
      </c>
      <c r="I374">
        <v>7541</v>
      </c>
      <c r="K374" t="s">
        <v>2859</v>
      </c>
      <c r="L374" t="str">
        <f t="shared" si="135"/>
        <v>"id":"s356",</v>
      </c>
      <c r="M374" t="str">
        <v>"cate":"Resistor ",</v>
      </c>
      <c r="N374" t="str">
        <v>"des":"RST 75K 0,1W 1% 603",</v>
      </c>
      <c r="O374" t="str">
        <v>"mfg":"YAGEO",</v>
      </c>
      <c r="P374" t="str">
        <v>"pn":"RC0603FR-0775KL",</v>
      </c>
      <c r="Q374" t="str">
        <v>"qty":7880</v>
      </c>
      <c r="S374" t="s">
        <v>2498</v>
      </c>
      <c r="T374" t="str">
        <f t="shared" si="136"/>
        <v>"id":"s356","cate":"Resistor ","des":"RST 75K 0,1W 1% 603","mfg":"YAGEO","pn":"RC0603FR-0775KL","qty":7880</v>
      </c>
      <c r="U374" t="s">
        <v>2503</v>
      </c>
    </row>
    <row r="375" spans="5:21" x14ac:dyDescent="0.25">
      <c r="E375" t="s">
        <v>2193</v>
      </c>
      <c r="F375" t="s">
        <v>524</v>
      </c>
      <c r="G375" t="s">
        <v>13</v>
      </c>
      <c r="H375" t="s">
        <v>525</v>
      </c>
      <c r="I375">
        <v>7518</v>
      </c>
      <c r="K375" t="s">
        <v>2860</v>
      </c>
      <c r="L375" t="str">
        <f t="shared" si="135"/>
        <v>"id":"s357",</v>
      </c>
      <c r="M375" t="str">
        <v>"cate":"Resistor ",</v>
      </c>
      <c r="N375" t="str">
        <v>"des":"RST 75K 0,1W 1% 603",</v>
      </c>
      <c r="O375" t="str">
        <v>"mfg":"BOURNS",</v>
      </c>
      <c r="P375" t="str">
        <v>"pn":"CR0603-FX-7502ELF",</v>
      </c>
      <c r="Q375" t="str">
        <v>"qty":7880</v>
      </c>
      <c r="S375" t="s">
        <v>2498</v>
      </c>
      <c r="T375" t="str">
        <f t="shared" si="136"/>
        <v>"id":"s357","cate":"Resistor ","des":"RST 75K 0,1W 1% 603","mfg":"BOURNS","pn":"CR0603-FX-7502ELF","qty":7880</v>
      </c>
      <c r="U375" t="s">
        <v>2503</v>
      </c>
    </row>
    <row r="376" spans="5:21" x14ac:dyDescent="0.25">
      <c r="E376" t="s">
        <v>2193</v>
      </c>
      <c r="F376" t="s">
        <v>524</v>
      </c>
      <c r="G376" t="s">
        <v>320</v>
      </c>
      <c r="H376" t="s">
        <v>526</v>
      </c>
      <c r="I376">
        <v>7518</v>
      </c>
      <c r="K376" t="s">
        <v>2861</v>
      </c>
      <c r="L376" t="str">
        <f t="shared" si="135"/>
        <v>"id":"s358",</v>
      </c>
      <c r="M376" t="str">
        <v>"cate":"Resistor ",</v>
      </c>
      <c r="N376" t="str">
        <v>"des":"RST 4,7 1/4W 5%1206",</v>
      </c>
      <c r="O376" t="str">
        <v>"mfg":"YAGEO",</v>
      </c>
      <c r="P376" t="str">
        <v>"pn":"RC1206JR-074R7L",</v>
      </c>
      <c r="Q376" t="str">
        <v>"qty":7861</v>
      </c>
      <c r="S376" t="s">
        <v>2498</v>
      </c>
      <c r="T376" t="str">
        <f t="shared" si="136"/>
        <v>"id":"s358","cate":"Resistor ","des":"RST 4,7 1/4W 5%1206","mfg":"YAGEO","pn":"RC1206JR-074R7L","qty":7861</v>
      </c>
      <c r="U376" t="s">
        <v>2503</v>
      </c>
    </row>
    <row r="377" spans="5:21" x14ac:dyDescent="0.25">
      <c r="E377" t="s">
        <v>2139</v>
      </c>
      <c r="F377" t="s">
        <v>527</v>
      </c>
      <c r="G377" t="s">
        <v>13</v>
      </c>
      <c r="H377" t="s">
        <v>528</v>
      </c>
      <c r="I377">
        <v>7517</v>
      </c>
      <c r="K377" t="s">
        <v>2862</v>
      </c>
      <c r="L377" t="str">
        <f t="shared" si="135"/>
        <v>"id":"s359",</v>
      </c>
      <c r="M377" t="str">
        <v>"cate":"FUSE",</v>
      </c>
      <c r="N377" t="str">
        <v>"des":"FUSE 125A 250V",</v>
      </c>
      <c r="O377" t="str">
        <v>"mfg":"EATON",</v>
      </c>
      <c r="P377" t="str">
        <v>"pn":"125LET",</v>
      </c>
      <c r="Q377" t="str">
        <v>"qty":7742</v>
      </c>
      <c r="S377" t="s">
        <v>2498</v>
      </c>
      <c r="T377" t="str">
        <f t="shared" si="136"/>
        <v>"id":"s359","cate":"FUSE","des":"FUSE 125A 250V","mfg":"EATON","pn":"125LET","qty":7742</v>
      </c>
      <c r="U377" t="s">
        <v>2503</v>
      </c>
    </row>
    <row r="378" spans="5:21" x14ac:dyDescent="0.25">
      <c r="E378" t="s">
        <v>2139</v>
      </c>
      <c r="F378" t="s">
        <v>527</v>
      </c>
      <c r="G378" t="s">
        <v>320</v>
      </c>
      <c r="H378" t="s">
        <v>529</v>
      </c>
      <c r="I378">
        <v>7517</v>
      </c>
      <c r="K378" t="s">
        <v>2863</v>
      </c>
      <c r="L378" t="str">
        <f t="shared" si="135"/>
        <v>"id":"s360",</v>
      </c>
      <c r="M378" t="str">
        <v>"cate":"Diode",</v>
      </c>
      <c r="N378" t="str">
        <v>"des":"DiodeE 2A 400V SMD",</v>
      </c>
      <c r="O378" t="str">
        <v>"mfg":"VISHAY",</v>
      </c>
      <c r="P378" t="str">
        <v>"pn":"BYG20G-E3/TR",</v>
      </c>
      <c r="Q378" t="str">
        <v>"qty":7729</v>
      </c>
      <c r="S378" t="s">
        <v>2498</v>
      </c>
      <c r="T378" t="str">
        <f t="shared" si="136"/>
        <v>"id":"s360","cate":"Diode","des":"DiodeE 2A 400V SMD","mfg":"VISHAY","pn":"BYG20G-E3/TR","qty":7729</v>
      </c>
      <c r="U378" t="s">
        <v>2503</v>
      </c>
    </row>
    <row r="379" spans="5:21" x14ac:dyDescent="0.25">
      <c r="E379" t="s">
        <v>2193</v>
      </c>
      <c r="F379" t="s">
        <v>530</v>
      </c>
      <c r="G379" t="s">
        <v>13</v>
      </c>
      <c r="H379" t="s">
        <v>531</v>
      </c>
      <c r="I379">
        <v>7294</v>
      </c>
      <c r="K379" t="s">
        <v>2864</v>
      </c>
      <c r="L379" t="str">
        <f t="shared" si="135"/>
        <v>"id":"s361",</v>
      </c>
      <c r="M379" t="str">
        <v>"cate":"Diode",</v>
      </c>
      <c r="N379" t="str">
        <v>"des":"DiodeE 2A 400V SMD",</v>
      </c>
      <c r="O379" t="str">
        <v>"mfg":"ROHM SEMICONDUCTOR",</v>
      </c>
      <c r="P379" t="str">
        <v>"pn":"RFN2L4S",</v>
      </c>
      <c r="Q379" t="str">
        <v>"qty":7729</v>
      </c>
      <c r="S379" t="s">
        <v>2498</v>
      </c>
      <c r="T379" t="str">
        <f t="shared" si="136"/>
        <v>"id":"s361","cate":"Diode","des":"DiodeE 2A 400V SMD","mfg":"ROHM SEMICONDUCTOR","pn":"RFN2L4S","qty":7729</v>
      </c>
      <c r="U379" t="s">
        <v>2503</v>
      </c>
    </row>
    <row r="380" spans="5:21" x14ac:dyDescent="0.25">
      <c r="E380" t="s">
        <v>2193</v>
      </c>
      <c r="F380" t="s">
        <v>530</v>
      </c>
      <c r="G380" t="s">
        <v>13</v>
      </c>
      <c r="H380" t="s">
        <v>532</v>
      </c>
      <c r="I380">
        <v>7294</v>
      </c>
      <c r="K380" t="s">
        <v>2865</v>
      </c>
      <c r="L380" t="str">
        <f t="shared" si="135"/>
        <v>"id":"s362",</v>
      </c>
      <c r="M380" t="str">
        <v>"cate":"Capacitor",</v>
      </c>
      <c r="N380" t="str">
        <v>"des":"Capacitor 100NF/10V 0402",</v>
      </c>
      <c r="O380" t="str">
        <v>"mfg":"YAGEO",</v>
      </c>
      <c r="P380" t="str">
        <v>"pn":"CC0402KRX7R6BB104",</v>
      </c>
      <c r="Q380" t="str">
        <v>"qty":7725</v>
      </c>
      <c r="S380" t="s">
        <v>2498</v>
      </c>
      <c r="T380" t="str">
        <f t="shared" si="136"/>
        <v>"id":"s362","cate":"Capacitor","des":"Capacitor 100NF/10V 0402","mfg":"YAGEO","pn":"CC0402KRX7R6BB104","qty":7725</v>
      </c>
      <c r="U380" t="s">
        <v>2503</v>
      </c>
    </row>
    <row r="381" spans="5:21" x14ac:dyDescent="0.25">
      <c r="E381" t="s">
        <v>2193</v>
      </c>
      <c r="F381" t="s">
        <v>533</v>
      </c>
      <c r="G381" t="s">
        <v>13</v>
      </c>
      <c r="H381" t="s">
        <v>534</v>
      </c>
      <c r="I381">
        <v>7285</v>
      </c>
      <c r="K381" t="s">
        <v>2866</v>
      </c>
      <c r="L381" t="str">
        <f t="shared" si="135"/>
        <v>"id":"s363",</v>
      </c>
      <c r="M381" t="str">
        <v>"cate":"CNTF",</v>
      </c>
      <c r="N381" t="str">
        <v>"des":"CNTF-IDC-20P-BLK",</v>
      </c>
      <c r="O381" t="str">
        <v>"mfg":"TE CONNECTIVITY",</v>
      </c>
      <c r="P381" t="str">
        <v>"pn":"1658621-4",</v>
      </c>
      <c r="Q381" t="str">
        <v>"qty":7587</v>
      </c>
      <c r="S381" t="s">
        <v>2498</v>
      </c>
      <c r="T381" t="str">
        <f t="shared" si="136"/>
        <v>"id":"s363","cate":"CNTF","des":"CNTF-IDC-20P-BLK","mfg":"TE CONNECTIVITY","pn":"1658621-4","qty":7587</v>
      </c>
      <c r="U381" t="s">
        <v>2503</v>
      </c>
    </row>
    <row r="382" spans="5:21" x14ac:dyDescent="0.25">
      <c r="E382" t="s">
        <v>2193</v>
      </c>
      <c r="F382" t="s">
        <v>535</v>
      </c>
      <c r="G382" t="s">
        <v>13</v>
      </c>
      <c r="H382" t="s">
        <v>536</v>
      </c>
      <c r="I382">
        <v>7217</v>
      </c>
      <c r="K382" t="s">
        <v>2867</v>
      </c>
      <c r="L382" t="str">
        <f t="shared" si="135"/>
        <v>"id":"s364",</v>
      </c>
      <c r="M382" t="str">
        <v>"cate":"Resistor ",</v>
      </c>
      <c r="N382" t="str">
        <v>"des":"RST 0 1/16W 1% 0402",</v>
      </c>
      <c r="O382" t="str">
        <v>"mfg":"YAGEO",</v>
      </c>
      <c r="P382" t="str">
        <v>"pn":"RC0402FR-070RL",</v>
      </c>
      <c r="Q382" t="str">
        <v>"qty":7566</v>
      </c>
      <c r="S382" t="s">
        <v>2498</v>
      </c>
      <c r="T382" t="str">
        <f t="shared" si="136"/>
        <v>"id":"s364","cate":"Resistor ","des":"RST 0 1/16W 1% 0402","mfg":"YAGEO","pn":"RC0402FR-070RL","qty":7566</v>
      </c>
      <c r="U382" t="s">
        <v>2503</v>
      </c>
    </row>
    <row r="383" spans="5:21" x14ac:dyDescent="0.25">
      <c r="E383" t="s">
        <v>2193</v>
      </c>
      <c r="F383" t="s">
        <v>535</v>
      </c>
      <c r="G383" t="s">
        <v>89</v>
      </c>
      <c r="H383" t="s">
        <v>537</v>
      </c>
      <c r="I383">
        <v>7217</v>
      </c>
      <c r="K383" t="s">
        <v>2868</v>
      </c>
      <c r="L383" t="str">
        <f t="shared" si="135"/>
        <v>"id":"s365",</v>
      </c>
      <c r="M383" t="str">
        <v>"cate":"Resistor ",</v>
      </c>
      <c r="N383" t="str">
        <v>"des":"RST 0 1/16W 1% 0402",</v>
      </c>
      <c r="O383" t="str">
        <v>"mfg":"YAGEO",</v>
      </c>
      <c r="P383" t="str">
        <v>"pn":"RC0402JR-070RL",</v>
      </c>
      <c r="Q383" t="str">
        <v>"qty":7566</v>
      </c>
      <c r="S383" t="s">
        <v>2498</v>
      </c>
      <c r="T383" t="str">
        <f t="shared" si="136"/>
        <v>"id":"s365","cate":"Resistor ","des":"RST 0 1/16W 1% 0402","mfg":"YAGEO","pn":"RC0402JR-070RL","qty":7566</v>
      </c>
      <c r="U383" t="s">
        <v>2503</v>
      </c>
    </row>
    <row r="384" spans="5:21" x14ac:dyDescent="0.25">
      <c r="E384" t="s">
        <v>2193</v>
      </c>
      <c r="F384" t="s">
        <v>538</v>
      </c>
      <c r="G384" t="s">
        <v>13</v>
      </c>
      <c r="H384" t="s">
        <v>368</v>
      </c>
      <c r="I384">
        <v>7212</v>
      </c>
      <c r="K384" t="s">
        <v>2869</v>
      </c>
      <c r="L384" t="str">
        <f t="shared" si="135"/>
        <v>"id":"s366",</v>
      </c>
      <c r="M384" t="str">
        <v>"cate":"IC",</v>
      </c>
      <c r="N384" t="str">
        <v>"des":"IC TS321IL",</v>
      </c>
      <c r="O384" t="str">
        <v>"mfg":"STMICROELECTRONICS",</v>
      </c>
      <c r="P384" t="str">
        <v>"pn":"TS321IL",</v>
      </c>
      <c r="Q384" t="str">
        <v>"qty":7561</v>
      </c>
      <c r="S384" t="s">
        <v>2498</v>
      </c>
      <c r="T384" t="str">
        <f t="shared" si="136"/>
        <v>"id":"s366","cate":"IC","des":"IC TS321IL","mfg":"STMICROELECTRONICS","pn":"TS321IL","qty":7561</v>
      </c>
      <c r="U384" t="s">
        <v>2503</v>
      </c>
    </row>
    <row r="385" spans="5:21" x14ac:dyDescent="0.25">
      <c r="E385" t="s">
        <v>2193</v>
      </c>
      <c r="F385" t="s">
        <v>538</v>
      </c>
      <c r="G385" t="s">
        <v>89</v>
      </c>
      <c r="H385" t="s">
        <v>539</v>
      </c>
      <c r="I385">
        <v>7212</v>
      </c>
      <c r="K385" t="s">
        <v>2870</v>
      </c>
      <c r="L385" t="str">
        <f t="shared" si="135"/>
        <v>"id":"s367",</v>
      </c>
      <c r="M385" t="str">
        <v>"cate":"IC",</v>
      </c>
      <c r="N385" t="str">
        <v>"des":"IC TS321IL",</v>
      </c>
      <c r="O385" t="str">
        <v>"mfg":"STMICROELECTRONICS",</v>
      </c>
      <c r="P385" t="str">
        <v>"pn":"TS321ILT",</v>
      </c>
      <c r="Q385" t="str">
        <v>"qty":7561</v>
      </c>
      <c r="S385" t="s">
        <v>2498</v>
      </c>
      <c r="T385" t="str">
        <f t="shared" si="136"/>
        <v>"id":"s367","cate":"IC","des":"IC TS321IL","mfg":"STMICROELECTRONICS","pn":"TS321ILT","qty":7561</v>
      </c>
      <c r="U385" t="s">
        <v>2503</v>
      </c>
    </row>
    <row r="386" spans="5:21" x14ac:dyDescent="0.25">
      <c r="E386" s="6" t="s">
        <v>2382</v>
      </c>
      <c r="F386" t="s">
        <v>540</v>
      </c>
      <c r="G386" t="s">
        <v>328</v>
      </c>
      <c r="H386" t="s">
        <v>541</v>
      </c>
      <c r="I386">
        <v>7154</v>
      </c>
      <c r="K386" t="s">
        <v>2871</v>
      </c>
      <c r="L386" t="str">
        <f t="shared" si="135"/>
        <v>"id":"s368",</v>
      </c>
      <c r="M386" t="str">
        <v>"cate":"MOSFET",</v>
      </c>
      <c r="N386" t="str">
        <v>"des":"MOSFETET 4A 1500V",</v>
      </c>
      <c r="O386" t="str">
        <v>"mfg":"IXYS",</v>
      </c>
      <c r="P386" t="str">
        <v>"pn":"IXTH4N150",</v>
      </c>
      <c r="Q386" t="str">
        <v>"qty":7541</v>
      </c>
      <c r="S386" t="s">
        <v>2498</v>
      </c>
      <c r="T386" t="str">
        <f t="shared" si="136"/>
        <v>"id":"s368","cate":"MOSFET","des":"MOSFETET 4A 1500V","mfg":"IXYS","pn":"IXTH4N150","qty":7541</v>
      </c>
      <c r="U386" t="s">
        <v>2503</v>
      </c>
    </row>
    <row r="387" spans="5:21" x14ac:dyDescent="0.25">
      <c r="E387" s="6" t="s">
        <v>2382</v>
      </c>
      <c r="F387" t="s">
        <v>540</v>
      </c>
      <c r="G387" t="s">
        <v>542</v>
      </c>
      <c r="H387" t="s">
        <v>543</v>
      </c>
      <c r="I387">
        <v>7154</v>
      </c>
      <c r="K387" t="s">
        <v>2872</v>
      </c>
      <c r="L387" t="str">
        <f t="shared" si="135"/>
        <v>"id":"s369",</v>
      </c>
      <c r="M387" t="str">
        <v>"cate":"MOSFET",</v>
      </c>
      <c r="N387" t="str">
        <v>"des":"MOSFETET 4A 1500V",</v>
      </c>
      <c r="O387" t="str">
        <v>"mfg":"STMICROELECTRONICS",</v>
      </c>
      <c r="P387" t="str">
        <v>"pn":"STW4N150",</v>
      </c>
      <c r="Q387" t="str">
        <v>"qty":7541</v>
      </c>
      <c r="S387" t="s">
        <v>2498</v>
      </c>
      <c r="T387" t="str">
        <f t="shared" si="136"/>
        <v>"id":"s369","cate":"MOSFET","des":"MOSFETET 4A 1500V","mfg":"STMICROELECTRONICS","pn":"STW4N150","qty":7541</v>
      </c>
      <c r="U387" t="s">
        <v>2503</v>
      </c>
    </row>
    <row r="388" spans="5:21" x14ac:dyDescent="0.25">
      <c r="E388" t="s">
        <v>2193</v>
      </c>
      <c r="F388" t="s">
        <v>544</v>
      </c>
      <c r="G388" t="s">
        <v>13</v>
      </c>
      <c r="H388" t="s">
        <v>545</v>
      </c>
      <c r="I388">
        <v>7028</v>
      </c>
      <c r="K388" t="s">
        <v>2873</v>
      </c>
      <c r="L388" t="str">
        <f t="shared" si="135"/>
        <v>"id":"s370",</v>
      </c>
      <c r="M388" t="str">
        <v>"cate":"Resistor ",</v>
      </c>
      <c r="N388" t="str">
        <v>"des":"RST 47K 62MW 1% 402",</v>
      </c>
      <c r="O388" t="str">
        <v>"mfg":"YAGEO",</v>
      </c>
      <c r="P388" t="str">
        <v>"pn":"RC0402FR-0747KL",</v>
      </c>
      <c r="Q388" t="str">
        <v>"qty":7518</v>
      </c>
      <c r="S388" t="s">
        <v>2498</v>
      </c>
      <c r="T388" t="str">
        <f t="shared" si="136"/>
        <v>"id":"s370","cate":"Resistor ","des":"RST 47K 62MW 1% 402","mfg":"YAGEO","pn":"RC0402FR-0747KL","qty":7518</v>
      </c>
      <c r="U388" t="s">
        <v>2503</v>
      </c>
    </row>
    <row r="389" spans="5:21" x14ac:dyDescent="0.25">
      <c r="E389" t="s">
        <v>2194</v>
      </c>
      <c r="F389" t="s">
        <v>2243</v>
      </c>
      <c r="G389" t="s">
        <v>64</v>
      </c>
      <c r="H389" t="s">
        <v>546</v>
      </c>
      <c r="I389">
        <v>6998</v>
      </c>
      <c r="K389" t="s">
        <v>2874</v>
      </c>
      <c r="L389" t="str">
        <f t="shared" si="135"/>
        <v>"id":"s371",</v>
      </c>
      <c r="M389" t="str">
        <v>"cate":"Resistor ",</v>
      </c>
      <c r="N389" t="str">
        <v>"des":"RST 47K 62MW 1% 402",</v>
      </c>
      <c r="O389" t="str">
        <v>"mfg":"ROYAL OHM",</v>
      </c>
      <c r="P389" t="str">
        <v>"pn":"0402WGF4702TCE",</v>
      </c>
      <c r="Q389" t="str">
        <v>"qty":7518</v>
      </c>
      <c r="S389" t="s">
        <v>2498</v>
      </c>
      <c r="T389" t="str">
        <f t="shared" si="136"/>
        <v>"id":"s371","cate":"Resistor ","des":"RST 47K 62MW 1% 402","mfg":"ROYAL OHM","pn":"0402WGF4702TCE","qty":7518</v>
      </c>
      <c r="U389" t="s">
        <v>2503</v>
      </c>
    </row>
    <row r="390" spans="5:21" x14ac:dyDescent="0.25">
      <c r="E390" t="s">
        <v>2194</v>
      </c>
      <c r="F390" t="s">
        <v>2243</v>
      </c>
      <c r="G390" t="s">
        <v>64</v>
      </c>
      <c r="H390" t="s">
        <v>547</v>
      </c>
      <c r="I390">
        <v>6998</v>
      </c>
      <c r="K390" t="s">
        <v>2875</v>
      </c>
      <c r="L390" t="str">
        <f t="shared" si="135"/>
        <v>"id":"s372",</v>
      </c>
      <c r="M390" t="str">
        <v>"cate":"MA-1",</v>
      </c>
      <c r="N390" t="str">
        <v>"des":"MA-1121169STG",</v>
      </c>
      <c r="O390" t="str">
        <v>"mfg":"YAGEO",</v>
      </c>
      <c r="P390" t="str">
        <v>"pn":"RC0402FR-0768RL",</v>
      </c>
      <c r="Q390" t="str">
        <v>"qty":7517</v>
      </c>
      <c r="S390" t="s">
        <v>2498</v>
      </c>
      <c r="T390" t="str">
        <f t="shared" si="136"/>
        <v>"id":"s372","cate":"MA-1","des":"MA-1121169STG","mfg":"YAGEO","pn":"RC0402FR-0768RL","qty":7517</v>
      </c>
      <c r="U390" t="s">
        <v>2503</v>
      </c>
    </row>
    <row r="391" spans="5:21" x14ac:dyDescent="0.25">
      <c r="E391" t="s">
        <v>2194</v>
      </c>
      <c r="F391" t="s">
        <v>2243</v>
      </c>
      <c r="G391" t="s">
        <v>64</v>
      </c>
      <c r="H391" t="s">
        <v>548</v>
      </c>
      <c r="I391">
        <v>6998</v>
      </c>
      <c r="K391" t="s">
        <v>2876</v>
      </c>
      <c r="L391" t="str">
        <f t="shared" si="135"/>
        <v>"id":"s373",</v>
      </c>
      <c r="M391" t="str">
        <v>"cate":"MA-1",</v>
      </c>
      <c r="N391" t="str">
        <v>"des":"MA-1121169STG",</v>
      </c>
      <c r="O391" t="str">
        <v>"mfg":"ROYAL OHM",</v>
      </c>
      <c r="P391" t="str">
        <v>"pn":"0402WGF680JTCE",</v>
      </c>
      <c r="Q391" t="str">
        <v>"qty":7517</v>
      </c>
      <c r="S391" t="s">
        <v>2498</v>
      </c>
      <c r="T391" t="str">
        <f t="shared" si="136"/>
        <v>"id":"s373","cate":"MA-1","des":"MA-1121169STG","mfg":"ROYAL OHM","pn":"0402WGF680JTCE","qty":7517</v>
      </c>
      <c r="U391" t="s">
        <v>2503</v>
      </c>
    </row>
    <row r="392" spans="5:21" x14ac:dyDescent="0.25">
      <c r="E392" t="s">
        <v>2193</v>
      </c>
      <c r="F392" t="s">
        <v>549</v>
      </c>
      <c r="G392" t="s">
        <v>207</v>
      </c>
      <c r="H392" t="s">
        <v>550</v>
      </c>
      <c r="I392">
        <v>6970</v>
      </c>
      <c r="K392" t="s">
        <v>2877</v>
      </c>
      <c r="L392" t="str">
        <f t="shared" si="135"/>
        <v>"id":"s374",</v>
      </c>
      <c r="M392" t="str">
        <v>"cate":"Resistor ",</v>
      </c>
      <c r="N392" t="str">
        <v>"des":"RST 22K 1/8W 5% 805",</v>
      </c>
      <c r="O392" t="str">
        <v>"mfg":"YAGEO",</v>
      </c>
      <c r="P392" t="str">
        <v>"pn":"RC0805FR-07 22K",</v>
      </c>
      <c r="Q392" t="str">
        <v>"qty":7294</v>
      </c>
      <c r="S392" t="s">
        <v>2498</v>
      </c>
      <c r="T392" t="str">
        <f t="shared" si="136"/>
        <v>"id":"s374","cate":"Resistor ","des":"RST 22K 1/8W 5% 805","mfg":"YAGEO","pn":"RC0805FR-07 22K","qty":7294</v>
      </c>
      <c r="U392" t="s">
        <v>2503</v>
      </c>
    </row>
    <row r="393" spans="5:21" x14ac:dyDescent="0.25">
      <c r="E393" t="s">
        <v>2193</v>
      </c>
      <c r="F393" t="s">
        <v>549</v>
      </c>
      <c r="G393" t="s">
        <v>551</v>
      </c>
      <c r="H393" t="s">
        <v>552</v>
      </c>
      <c r="I393">
        <v>6970</v>
      </c>
      <c r="K393" t="s">
        <v>2878</v>
      </c>
      <c r="L393" t="str">
        <f t="shared" si="135"/>
        <v>"id":"s375",</v>
      </c>
      <c r="M393" t="str">
        <v>"cate":"Resistor ",</v>
      </c>
      <c r="N393" t="str">
        <v>"des":"RST 22K 1/8W 5% 805",</v>
      </c>
      <c r="O393" t="str">
        <v>"mfg":"YAGEO",</v>
      </c>
      <c r="P393" t="str">
        <v>"pn":"RC0805FR-0722KL",</v>
      </c>
      <c r="Q393" t="str">
        <v>"qty":7294</v>
      </c>
      <c r="S393" t="s">
        <v>2498</v>
      </c>
      <c r="T393" t="str">
        <f t="shared" si="136"/>
        <v>"id":"s375","cate":"Resistor ","des":"RST 22K 1/8W 5% 805","mfg":"YAGEO","pn":"RC0805FR-0722KL","qty":7294</v>
      </c>
      <c r="U393" t="s">
        <v>2503</v>
      </c>
    </row>
    <row r="394" spans="5:21" x14ac:dyDescent="0.25">
      <c r="E394" t="s">
        <v>2193</v>
      </c>
      <c r="F394" t="s">
        <v>549</v>
      </c>
      <c r="G394" t="s">
        <v>553</v>
      </c>
      <c r="H394" t="s">
        <v>552</v>
      </c>
      <c r="I394">
        <v>6970</v>
      </c>
      <c r="K394" t="s">
        <v>2879</v>
      </c>
      <c r="L394" t="str">
        <f t="shared" si="135"/>
        <v>"id":"s376",</v>
      </c>
      <c r="M394" t="str">
        <v>"cate":"Resistor ",</v>
      </c>
      <c r="N394" t="str">
        <v>"des":"RST 100 1/4W 1%1206",</v>
      </c>
      <c r="O394" t="str">
        <v>"mfg":"YAGEO",</v>
      </c>
      <c r="P394" t="str">
        <v>"pn":"RC1206FR-07100RL",</v>
      </c>
      <c r="Q394" t="str">
        <v>"qty":7285</v>
      </c>
      <c r="S394" t="s">
        <v>2498</v>
      </c>
      <c r="T394" t="str">
        <f t="shared" si="136"/>
        <v>"id":"s376","cate":"Resistor ","des":"RST 100 1/4W 1%1206","mfg":"YAGEO","pn":"RC1206FR-07100RL","qty":7285</v>
      </c>
      <c r="U394" t="s">
        <v>2503</v>
      </c>
    </row>
    <row r="395" spans="5:21" x14ac:dyDescent="0.25">
      <c r="E395" t="s">
        <v>2193</v>
      </c>
      <c r="F395" t="s">
        <v>554</v>
      </c>
      <c r="G395" t="s">
        <v>13</v>
      </c>
      <c r="H395" t="s">
        <v>555</v>
      </c>
      <c r="I395">
        <v>6741</v>
      </c>
      <c r="K395" t="s">
        <v>2880</v>
      </c>
      <c r="L395" t="str">
        <f t="shared" si="135"/>
        <v>"id":"s377",</v>
      </c>
      <c r="M395" t="str">
        <v>"cate":"Resistor ",</v>
      </c>
      <c r="N395" t="str">
        <v>"des":"RST 1 1W 5% 2512",</v>
      </c>
      <c r="O395" t="str">
        <v>"mfg":"YAGEO",</v>
      </c>
      <c r="P395" t="str">
        <v>"pn":"RC2512JK-071RL",</v>
      </c>
      <c r="Q395" t="str">
        <v>"qty":7217</v>
      </c>
      <c r="S395" t="s">
        <v>2498</v>
      </c>
      <c r="T395" t="str">
        <f t="shared" si="136"/>
        <v>"id":"s377","cate":"Resistor ","des":"RST 1 1W 5% 2512","mfg":"YAGEO","pn":"RC2512JK-071RL","qty":7217</v>
      </c>
      <c r="U395" t="s">
        <v>2503</v>
      </c>
    </row>
    <row r="396" spans="5:21" x14ac:dyDescent="0.25">
      <c r="E396" t="s">
        <v>2474</v>
      </c>
      <c r="F396" t="s">
        <v>2477</v>
      </c>
      <c r="G396" t="s">
        <v>556</v>
      </c>
      <c r="H396" t="s">
        <v>557</v>
      </c>
      <c r="I396">
        <v>6697</v>
      </c>
      <c r="K396" t="s">
        <v>2881</v>
      </c>
      <c r="L396" t="str">
        <f t="shared" si="135"/>
        <v>"id":"s378",</v>
      </c>
      <c r="M396" t="str">
        <v>"cate":"Resistor ",</v>
      </c>
      <c r="N396" t="str">
        <v>"des":"RST 1 1W 5% 2512",</v>
      </c>
      <c r="O396" t="str">
        <v>"mfg":"BOURNS",</v>
      </c>
      <c r="P396" t="str">
        <v>"pn":"CR2512-F/-1R00ELF",</v>
      </c>
      <c r="Q396" t="str">
        <v>"qty":7217</v>
      </c>
      <c r="S396" t="s">
        <v>2498</v>
      </c>
      <c r="T396" t="str">
        <f t="shared" si="136"/>
        <v>"id":"s378","cate":"Resistor ","des":"RST 1 1W 5% 2512","mfg":"BOURNS","pn":"CR2512-F/-1R00ELF","qty":7217</v>
      </c>
      <c r="U396" t="s">
        <v>2503</v>
      </c>
    </row>
    <row r="397" spans="5:21" x14ac:dyDescent="0.25">
      <c r="E397" t="s">
        <v>2474</v>
      </c>
      <c r="F397" t="s">
        <v>2477</v>
      </c>
      <c r="G397" t="s">
        <v>556</v>
      </c>
      <c r="H397" t="s">
        <v>558</v>
      </c>
      <c r="I397">
        <v>6697</v>
      </c>
      <c r="K397" t="s">
        <v>2882</v>
      </c>
      <c r="L397" t="str">
        <f t="shared" si="135"/>
        <v>"id":"s379",</v>
      </c>
      <c r="M397" t="str">
        <v>"cate":"Resistor ",</v>
      </c>
      <c r="N397" t="str">
        <v>"des":"RST 100 0,1W 1%0603",</v>
      </c>
      <c r="O397" t="str">
        <v>"mfg":"YAGEO",</v>
      </c>
      <c r="P397" t="str">
        <v>"pn":"RC0603FR-07100RL",</v>
      </c>
      <c r="Q397" t="str">
        <v>"qty":7212</v>
      </c>
      <c r="S397" t="s">
        <v>2498</v>
      </c>
      <c r="T397" t="str">
        <f t="shared" si="136"/>
        <v>"id":"s379","cate":"Resistor ","des":"RST 100 0,1W 1%0603","mfg":"YAGEO","pn":"RC0603FR-07100RL","qty":7212</v>
      </c>
      <c r="U397" t="s">
        <v>2503</v>
      </c>
    </row>
    <row r="398" spans="5:21" x14ac:dyDescent="0.25">
      <c r="E398" t="s">
        <v>2194</v>
      </c>
      <c r="F398" t="s">
        <v>2244</v>
      </c>
      <c r="G398" t="s">
        <v>64</v>
      </c>
      <c r="H398" t="s">
        <v>559</v>
      </c>
      <c r="I398">
        <v>6684</v>
      </c>
      <c r="K398" t="s">
        <v>2883</v>
      </c>
      <c r="L398" t="str">
        <f t="shared" si="135"/>
        <v>"id":"s380",</v>
      </c>
      <c r="M398" t="str">
        <v>"cate":"Resistor ",</v>
      </c>
      <c r="N398" t="str">
        <v>"des":"RST 100 0,1W 1%0603",</v>
      </c>
      <c r="O398" t="str">
        <v>"mfg":"BOURNS",</v>
      </c>
      <c r="P398" t="str">
        <v>"pn":"CR0603-FX-1000ELF",</v>
      </c>
      <c r="Q398" t="str">
        <v>"qty":7212</v>
      </c>
      <c r="S398" t="s">
        <v>2498</v>
      </c>
      <c r="T398" t="str">
        <f t="shared" si="136"/>
        <v>"id":"s380","cate":"Resistor ","des":"RST 100 0,1W 1%0603","mfg":"BOURNS","pn":"CR0603-FX-1000ELF","qty":7212</v>
      </c>
      <c r="U398" t="s">
        <v>2503</v>
      </c>
    </row>
    <row r="399" spans="5:21" x14ac:dyDescent="0.25">
      <c r="E399" t="s">
        <v>2405</v>
      </c>
      <c r="F399" t="s">
        <v>2417</v>
      </c>
      <c r="G399" t="s">
        <v>37</v>
      </c>
      <c r="H399" t="s">
        <v>560</v>
      </c>
      <c r="I399">
        <v>6620</v>
      </c>
      <c r="K399" t="s">
        <v>2884</v>
      </c>
      <c r="L399" t="str">
        <f t="shared" si="135"/>
        <v>"id":"s381",</v>
      </c>
      <c r="M399" t="str">
        <v>"cate":"IC",</v>
      </c>
      <c r="N399" t="str">
        <v>"des":"IC TC1264-2,5VDBTR",</v>
      </c>
      <c r="O399" t="str">
        <v>"mfg":"MCC",</v>
      </c>
      <c r="P399" t="str">
        <v>"pn":"TC1264-2,5VDBTR",</v>
      </c>
      <c r="Q399" t="str">
        <v>"qty":7154</v>
      </c>
      <c r="S399" t="s">
        <v>2498</v>
      </c>
      <c r="T399" t="str">
        <f t="shared" si="136"/>
        <v>"id":"s381","cate":"IC","des":"IC TC1264-2,5VDBTR","mfg":"MCC","pn":"TC1264-2,5VDBTR","qty":7154</v>
      </c>
      <c r="U399" t="s">
        <v>2503</v>
      </c>
    </row>
    <row r="400" spans="5:21" x14ac:dyDescent="0.25">
      <c r="E400" t="s">
        <v>2405</v>
      </c>
      <c r="F400" t="s">
        <v>2417</v>
      </c>
      <c r="G400" t="s">
        <v>28</v>
      </c>
      <c r="H400" t="s">
        <v>561</v>
      </c>
      <c r="I400">
        <v>6620</v>
      </c>
      <c r="K400" t="s">
        <v>2885</v>
      </c>
      <c r="L400" t="str">
        <f t="shared" si="135"/>
        <v>"id":"s382",</v>
      </c>
      <c r="M400" t="str">
        <v>"cate":"IC",</v>
      </c>
      <c r="N400" t="str">
        <v>"des":"IC TC1264-2,5VDBTR",</v>
      </c>
      <c r="O400" t="str">
        <v>"mfg":"MICROCHIP",</v>
      </c>
      <c r="P400" t="str">
        <v>"pn":"TC1264-2.5VDBTR",</v>
      </c>
      <c r="Q400" t="str">
        <v>"qty":7154</v>
      </c>
      <c r="S400" t="s">
        <v>2498</v>
      </c>
      <c r="T400" t="str">
        <f t="shared" si="136"/>
        <v>"id":"s382","cate":"IC","des":"IC TC1264-2,5VDBTR","mfg":"MICROCHIP","pn":"TC1264-2.5VDBTR","qty":7154</v>
      </c>
      <c r="U400" t="s">
        <v>2503</v>
      </c>
    </row>
    <row r="401" spans="5:21" x14ac:dyDescent="0.25">
      <c r="E401" t="s">
        <v>2193</v>
      </c>
      <c r="F401" t="s">
        <v>562</v>
      </c>
      <c r="G401" t="s">
        <v>13</v>
      </c>
      <c r="H401" t="s">
        <v>563</v>
      </c>
      <c r="I401">
        <v>6616</v>
      </c>
      <c r="K401" t="s">
        <v>2886</v>
      </c>
      <c r="L401" t="str">
        <f t="shared" si="135"/>
        <v>"id":"s383",</v>
      </c>
      <c r="M401" t="str">
        <v>"cate":"Resistor ",</v>
      </c>
      <c r="N401" t="str">
        <v>"des":"RST 30,1 1/4W1%1206",</v>
      </c>
      <c r="O401" t="str">
        <v>"mfg":"YAGEO",</v>
      </c>
      <c r="P401" t="str">
        <v>"pn":"RC1206FR-0730R1L",</v>
      </c>
      <c r="Q401" t="str">
        <v>"qty":7028</v>
      </c>
      <c r="S401" t="s">
        <v>2498</v>
      </c>
      <c r="T401" t="str">
        <f t="shared" si="136"/>
        <v>"id":"s383","cate":"Resistor ","des":"RST 30,1 1/4W1%1206","mfg":"YAGEO","pn":"RC1206FR-0730R1L","qty":7028</v>
      </c>
      <c r="U401" t="s">
        <v>2503</v>
      </c>
    </row>
    <row r="402" spans="5:21" x14ac:dyDescent="0.25">
      <c r="E402" t="s">
        <v>2193</v>
      </c>
      <c r="F402" t="s">
        <v>562</v>
      </c>
      <c r="G402" t="s">
        <v>37</v>
      </c>
      <c r="H402" t="s">
        <v>564</v>
      </c>
      <c r="I402">
        <v>6616</v>
      </c>
      <c r="K402" t="s">
        <v>2887</v>
      </c>
      <c r="L402" t="str">
        <f t="shared" si="135"/>
        <v>"id":"s384",</v>
      </c>
      <c r="M402" t="str">
        <v>"cate":"Capacitor",</v>
      </c>
      <c r="N402" t="str">
        <v>"des":"Capacitor 4U7/6,3V 0402",</v>
      </c>
      <c r="O402" t="str">
        <v>"mfg":"MURATA MANUFACTURING",</v>
      </c>
      <c r="P402" t="str">
        <v>"pn":"GRM155R60J475ME",</v>
      </c>
      <c r="Q402" t="str">
        <v>"qty":6998</v>
      </c>
      <c r="S402" t="s">
        <v>2498</v>
      </c>
      <c r="T402" t="str">
        <f t="shared" si="136"/>
        <v>"id":"s384","cate":"Capacitor","des":"Capacitor 4U7/6,3V 0402","mfg":"MURATA MANUFACTURING","pn":"GRM155R60J475ME","qty":6998</v>
      </c>
      <c r="U402" t="s">
        <v>2503</v>
      </c>
    </row>
    <row r="403" spans="5:21" x14ac:dyDescent="0.25">
      <c r="E403" t="s">
        <v>2193</v>
      </c>
      <c r="F403" t="s">
        <v>562</v>
      </c>
      <c r="G403" t="s">
        <v>320</v>
      </c>
      <c r="H403" t="s">
        <v>565</v>
      </c>
      <c r="I403">
        <v>6616</v>
      </c>
      <c r="K403" t="s">
        <v>2888</v>
      </c>
      <c r="L403" t="str">
        <f t="shared" si="135"/>
        <v>"id":"s385",</v>
      </c>
      <c r="M403" t="str">
        <v>"cate":"Capacitor",</v>
      </c>
      <c r="N403" t="str">
        <v>"des":"Capacitor 4U7/6,3V 0402",</v>
      </c>
      <c r="O403" t="str">
        <v>"mfg":"MURATA MANUFACTURING",</v>
      </c>
      <c r="P403" t="str">
        <v>"pn":"GRM155R60J475ME47D",</v>
      </c>
      <c r="Q403" t="str">
        <v>"qty":6998</v>
      </c>
      <c r="S403" t="s">
        <v>2498</v>
      </c>
      <c r="T403" t="str">
        <f t="shared" si="136"/>
        <v>"id":"s385","cate":"Capacitor","des":"Capacitor 4U7/6,3V 0402","mfg":"MURATA MANUFACTURING","pn":"GRM155R60J475ME47D","qty":6998</v>
      </c>
      <c r="U403" t="s">
        <v>2503</v>
      </c>
    </row>
    <row r="404" spans="5:21" x14ac:dyDescent="0.25">
      <c r="E404" t="s">
        <v>2193</v>
      </c>
      <c r="F404" t="s">
        <v>562</v>
      </c>
      <c r="G404" t="s">
        <v>10</v>
      </c>
      <c r="H404" t="s">
        <v>566</v>
      </c>
      <c r="I404">
        <v>6616</v>
      </c>
      <c r="K404" t="s">
        <v>2889</v>
      </c>
      <c r="L404" t="str">
        <f t="shared" ref="L404:L467" si="137">_xlfn.CONCAT("""","id","""",":","""",K404,"""",",")</f>
        <v>"id":"s386",</v>
      </c>
      <c r="M404" t="str">
        <v>"cate":"Capacitor",</v>
      </c>
      <c r="N404" t="str">
        <v>"des":"Capacitor 4U7/6,3V 0402",</v>
      </c>
      <c r="O404" t="str">
        <v>"mfg":"MURATA MANUFACTURING",</v>
      </c>
      <c r="P404" t="str">
        <v>"pn":"GRM155R60J475ME87D",</v>
      </c>
      <c r="Q404" t="str">
        <v>"qty":6998</v>
      </c>
      <c r="S404" t="s">
        <v>2498</v>
      </c>
      <c r="T404" t="str">
        <f t="shared" ref="T404:T467" si="138">_xlfn.CONCAT(L404:Q404)</f>
        <v>"id":"s386","cate":"Capacitor","des":"Capacitor 4U7/6,3V 0402","mfg":"MURATA MANUFACTURING","pn":"GRM155R60J475ME87D","qty":6998</v>
      </c>
      <c r="U404" t="s">
        <v>2503</v>
      </c>
    </row>
    <row r="405" spans="5:21" x14ac:dyDescent="0.25">
      <c r="E405" t="s">
        <v>2194</v>
      </c>
      <c r="F405" t="s">
        <v>2245</v>
      </c>
      <c r="G405" t="s">
        <v>47</v>
      </c>
      <c r="H405" t="s">
        <v>567</v>
      </c>
      <c r="I405">
        <v>6587</v>
      </c>
      <c r="K405" t="s">
        <v>2890</v>
      </c>
      <c r="L405" t="str">
        <f t="shared" si="137"/>
        <v>"id":"s387",</v>
      </c>
      <c r="M405" t="str">
        <v>"cate":"Resistor ",</v>
      </c>
      <c r="N405" t="str">
        <v>"des":"RST 0,5 2W 5% 2512",</v>
      </c>
      <c r="O405" t="str">
        <v>"mfg":"STACKPOLE ELECTRONICS INC",</v>
      </c>
      <c r="P405" t="str">
        <v>"pn":"CSR2512FTR500",</v>
      </c>
      <c r="Q405" t="str">
        <v>"qty":6970</v>
      </c>
      <c r="S405" t="s">
        <v>2498</v>
      </c>
      <c r="T405" t="str">
        <f t="shared" si="138"/>
        <v>"id":"s387","cate":"Resistor ","des":"RST 0,5 2W 5% 2512","mfg":"STACKPOLE ELECTRONICS INC","pn":"CSR2512FTR500","qty":6970</v>
      </c>
      <c r="U405" t="s">
        <v>2503</v>
      </c>
    </row>
    <row r="406" spans="5:21" x14ac:dyDescent="0.25">
      <c r="E406" t="s">
        <v>2194</v>
      </c>
      <c r="F406" t="s">
        <v>2245</v>
      </c>
      <c r="G406" t="s">
        <v>37</v>
      </c>
      <c r="H406" t="s">
        <v>568</v>
      </c>
      <c r="I406">
        <v>6587</v>
      </c>
      <c r="K406" t="s">
        <v>2891</v>
      </c>
      <c r="L406" t="str">
        <f t="shared" si="137"/>
        <v>"id":"s388",</v>
      </c>
      <c r="M406" t="str">
        <v>"cate":"Resistor ",</v>
      </c>
      <c r="N406" t="str">
        <v>"des":"RST 0,5 2W 5% 2512",</v>
      </c>
      <c r="O406" t="str">
        <v>"mfg":"TT ELECTRONICS",</v>
      </c>
      <c r="P406" t="str">
        <v>"pn":"LR2512-R50FW",</v>
      </c>
      <c r="Q406" t="str">
        <v>"qty":6970</v>
      </c>
      <c r="S406" t="s">
        <v>2498</v>
      </c>
      <c r="T406" t="str">
        <f t="shared" si="138"/>
        <v>"id":"s388","cate":"Resistor ","des":"RST 0,5 2W 5% 2512","mfg":"TT ELECTRONICS","pn":"LR2512-R50FW","qty":6970</v>
      </c>
      <c r="U406" t="s">
        <v>2503</v>
      </c>
    </row>
    <row r="407" spans="5:21" x14ac:dyDescent="0.25">
      <c r="E407" t="s">
        <v>2194</v>
      </c>
      <c r="F407" t="s">
        <v>2245</v>
      </c>
      <c r="G407" t="s">
        <v>62</v>
      </c>
      <c r="H407" t="s">
        <v>569</v>
      </c>
      <c r="I407">
        <v>6587</v>
      </c>
      <c r="K407" t="s">
        <v>2892</v>
      </c>
      <c r="L407" t="str">
        <f t="shared" si="137"/>
        <v>"id":"s389",</v>
      </c>
      <c r="M407" t="str">
        <v>"cate":"Resistor ",</v>
      </c>
      <c r="N407" t="str">
        <v>"des":"RST 0,5 2W 5% 2512",</v>
      </c>
      <c r="O407" t="str">
        <v>"mfg":"WELWYN",</v>
      </c>
      <c r="P407" t="str">
        <v>"pn":"LR2512-R50FW",</v>
      </c>
      <c r="Q407" t="str">
        <v>"qty":6970</v>
      </c>
      <c r="S407" t="s">
        <v>2498</v>
      </c>
      <c r="T407" t="str">
        <f t="shared" si="138"/>
        <v>"id":"s389","cate":"Resistor ","des":"RST 0,5 2W 5% 2512","mfg":"WELWYN","pn":"LR2512-R50FW","qty":6970</v>
      </c>
      <c r="U407" t="s">
        <v>2503</v>
      </c>
    </row>
    <row r="408" spans="5:21" x14ac:dyDescent="0.25">
      <c r="E408" t="s">
        <v>2193</v>
      </c>
      <c r="F408" t="s">
        <v>570</v>
      </c>
      <c r="G408" t="s">
        <v>13</v>
      </c>
      <c r="H408" t="s">
        <v>571</v>
      </c>
      <c r="I408">
        <v>6558</v>
      </c>
      <c r="K408" t="s">
        <v>2893</v>
      </c>
      <c r="L408" t="str">
        <f t="shared" si="137"/>
        <v>"id":"s390",</v>
      </c>
      <c r="M408" t="str">
        <v>"cate":"Resistor ",</v>
      </c>
      <c r="N408" t="str">
        <v>"des":"RST 4K7 1W 5% 2512",</v>
      </c>
      <c r="O408" t="str">
        <v>"mfg":"YAGEO",</v>
      </c>
      <c r="P408" t="str">
        <v>"pn":"RC2512JK-074K7L",</v>
      </c>
      <c r="Q408" t="str">
        <v>"qty":6741</v>
      </c>
      <c r="S408" t="s">
        <v>2498</v>
      </c>
      <c r="T408" t="str">
        <f t="shared" si="138"/>
        <v>"id":"s390","cate":"Resistor ","des":"RST 4K7 1W 5% 2512","mfg":"YAGEO","pn":"RC2512JK-074K7L","qty":6741</v>
      </c>
      <c r="U408" t="s">
        <v>2503</v>
      </c>
    </row>
    <row r="409" spans="5:21" x14ac:dyDescent="0.25">
      <c r="E409" t="s">
        <v>2193</v>
      </c>
      <c r="F409" t="s">
        <v>570</v>
      </c>
      <c r="G409" t="s">
        <v>89</v>
      </c>
      <c r="H409" t="s">
        <v>572</v>
      </c>
      <c r="I409">
        <v>6558</v>
      </c>
      <c r="K409" t="s">
        <v>2894</v>
      </c>
      <c r="L409" t="str">
        <f t="shared" si="137"/>
        <v>"id":"s391",</v>
      </c>
      <c r="M409" t="str">
        <v>"cate":"MOSFET",</v>
      </c>
      <c r="N409" t="str">
        <v>"des":"MOSFETET 2,6A 60V",</v>
      </c>
      <c r="O409" t="str">
        <v>"mfg":"INFINEON TECHNOLOGIES",</v>
      </c>
      <c r="P409" t="str">
        <v>"pn":"BSP318SH6327XTSA1",</v>
      </c>
      <c r="Q409" t="str">
        <v>"qty":6697</v>
      </c>
      <c r="S409" t="s">
        <v>2498</v>
      </c>
      <c r="T409" t="str">
        <f t="shared" si="138"/>
        <v>"id":"s391","cate":"MOSFET","des":"MOSFETET 2,6A 60V","mfg":"INFINEON TECHNOLOGIES","pn":"BSP318SH6327XTSA1","qty":6697</v>
      </c>
      <c r="U409" t="s">
        <v>2503</v>
      </c>
    </row>
    <row r="410" spans="5:21" x14ac:dyDescent="0.25">
      <c r="E410" t="s">
        <v>2194</v>
      </c>
      <c r="F410" t="s">
        <v>2246</v>
      </c>
      <c r="G410" t="s">
        <v>13</v>
      </c>
      <c r="H410" t="s">
        <v>573</v>
      </c>
      <c r="I410">
        <v>6544</v>
      </c>
      <c r="K410" t="s">
        <v>2895</v>
      </c>
      <c r="L410" t="str">
        <f t="shared" si="137"/>
        <v>"id":"s392",</v>
      </c>
      <c r="M410" t="str">
        <v>"cate":"MOSFET",</v>
      </c>
      <c r="N410" t="str">
        <v>"des":"MOSFETET 2,6A 60V",</v>
      </c>
      <c r="O410" t="str">
        <v>"mfg":"INFINEON TECHNOLOGIES",</v>
      </c>
      <c r="P410" t="str">
        <v>"pn":"BSP318SL6327HTSA1",</v>
      </c>
      <c r="Q410" t="str">
        <v>"qty":6697</v>
      </c>
      <c r="S410" t="s">
        <v>2498</v>
      </c>
      <c r="T410" t="str">
        <f t="shared" si="138"/>
        <v>"id":"s392","cate":"MOSFET","des":"MOSFETET 2,6A 60V","mfg":"INFINEON TECHNOLOGIES","pn":"BSP318SL6327HTSA1","qty":6697</v>
      </c>
      <c r="U410" t="s">
        <v>2503</v>
      </c>
    </row>
    <row r="411" spans="5:21" x14ac:dyDescent="0.25">
      <c r="E411" t="s">
        <v>2193</v>
      </c>
      <c r="F411" t="s">
        <v>574</v>
      </c>
      <c r="G411" t="s">
        <v>13</v>
      </c>
      <c r="H411" t="s">
        <v>575</v>
      </c>
      <c r="I411">
        <v>6539</v>
      </c>
      <c r="K411" t="s">
        <v>2896</v>
      </c>
      <c r="L411" t="str">
        <f t="shared" si="137"/>
        <v>"id":"s393",</v>
      </c>
      <c r="M411" t="str">
        <v>"cate":"Capacitor",</v>
      </c>
      <c r="N411" t="str">
        <v>"des":"Capacitor 1PF/50V 0402",</v>
      </c>
      <c r="O411" t="str">
        <v>"mfg":"MURATA MANUFACTURING",</v>
      </c>
      <c r="P411" t="str">
        <v>"pn":"GJM1555C1H1R0BB01D",</v>
      </c>
      <c r="Q411" t="str">
        <v>"qty":6684</v>
      </c>
      <c r="S411" t="s">
        <v>2498</v>
      </c>
      <c r="T411" t="str">
        <f t="shared" si="138"/>
        <v>"id":"s393","cate":"Capacitor","des":"Capacitor 1PF/50V 0402","mfg":"MURATA MANUFACTURING","pn":"GJM1555C1H1R0BB01D","qty":6684</v>
      </c>
      <c r="U411" t="s">
        <v>2503</v>
      </c>
    </row>
    <row r="412" spans="5:21" x14ac:dyDescent="0.25">
      <c r="E412" t="s">
        <v>2193</v>
      </c>
      <c r="F412" t="s">
        <v>574</v>
      </c>
      <c r="G412" t="s">
        <v>37</v>
      </c>
      <c r="H412" t="s">
        <v>576</v>
      </c>
      <c r="I412">
        <v>6539</v>
      </c>
      <c r="K412" t="s">
        <v>2897</v>
      </c>
      <c r="L412" t="str">
        <f t="shared" si="137"/>
        <v>"id":"s394",</v>
      </c>
      <c r="M412" t="str">
        <v>"cate":"Diode",</v>
      </c>
      <c r="N412" t="str">
        <v>"des":"DiodeE 4A 600V SMC",</v>
      </c>
      <c r="O412" t="str">
        <v>"mfg":"VISHAY",</v>
      </c>
      <c r="P412" t="str">
        <v>"pn":"MURS360-E3/9AT",</v>
      </c>
      <c r="Q412" t="str">
        <v>"qty":6620</v>
      </c>
      <c r="S412" t="s">
        <v>2498</v>
      </c>
      <c r="T412" t="str">
        <f t="shared" si="138"/>
        <v>"id":"s394","cate":"Diode","des":"DiodeE 4A 600V SMC","mfg":"VISHAY","pn":"MURS360-E3/9AT","qty":6620</v>
      </c>
      <c r="U412" t="s">
        <v>2503</v>
      </c>
    </row>
    <row r="413" spans="5:21" x14ac:dyDescent="0.25">
      <c r="E413" t="s">
        <v>2143</v>
      </c>
      <c r="F413" t="s">
        <v>577</v>
      </c>
      <c r="G413" t="s">
        <v>57</v>
      </c>
      <c r="H413" t="s">
        <v>577</v>
      </c>
      <c r="I413">
        <v>6419</v>
      </c>
      <c r="K413" t="s">
        <v>2898</v>
      </c>
      <c r="L413" t="str">
        <f t="shared" si="137"/>
        <v>"id":"s395",</v>
      </c>
      <c r="M413" t="str">
        <v>"cate":"Diode",</v>
      </c>
      <c r="N413" t="str">
        <v>"des":"DiodeE 4A 600V SMC",</v>
      </c>
      <c r="O413" t="str">
        <v>"mfg":"ON SEMICONDUCTOR",</v>
      </c>
      <c r="P413" t="str">
        <v>"pn":"MURS360T3G",</v>
      </c>
      <c r="Q413" t="str">
        <v>"qty":6620</v>
      </c>
      <c r="S413" t="s">
        <v>2498</v>
      </c>
      <c r="T413" t="str">
        <f t="shared" si="138"/>
        <v>"id":"s395","cate":"Diode","des":"DiodeE 4A 600V SMC","mfg":"ON SEMICONDUCTOR","pn":"MURS360T3G","qty":6620</v>
      </c>
      <c r="U413" t="s">
        <v>2503</v>
      </c>
    </row>
    <row r="414" spans="5:21" x14ac:dyDescent="0.25">
      <c r="E414" t="s">
        <v>2143</v>
      </c>
      <c r="F414" t="s">
        <v>577</v>
      </c>
      <c r="G414" t="s">
        <v>57</v>
      </c>
      <c r="H414" t="s">
        <v>578</v>
      </c>
      <c r="I414">
        <v>6419</v>
      </c>
      <c r="K414" t="s">
        <v>2899</v>
      </c>
      <c r="L414" t="str">
        <f t="shared" si="137"/>
        <v>"id":"s396",</v>
      </c>
      <c r="M414" t="str">
        <v>"cate":"Resistor ",</v>
      </c>
      <c r="N414" t="str">
        <v>"des":"RST 10K 1/16W1%402A",</v>
      </c>
      <c r="O414" t="str">
        <v>"mfg":"YAGEO",</v>
      </c>
      <c r="P414" t="str">
        <v>"pn":"RC0402FR-0710KL",</v>
      </c>
      <c r="Q414" t="str">
        <v>"qty":6616</v>
      </c>
      <c r="S414" t="s">
        <v>2498</v>
      </c>
      <c r="T414" t="str">
        <f t="shared" si="138"/>
        <v>"id":"s396","cate":"Resistor ","des":"RST 10K 1/16W1%402A","mfg":"YAGEO","pn":"RC0402FR-0710KL","qty":6616</v>
      </c>
      <c r="U414" t="s">
        <v>2503</v>
      </c>
    </row>
    <row r="415" spans="5:21" x14ac:dyDescent="0.25">
      <c r="E415" t="s">
        <v>2194</v>
      </c>
      <c r="F415" t="s">
        <v>2247</v>
      </c>
      <c r="G415" t="s">
        <v>579</v>
      </c>
      <c r="H415" t="s">
        <v>580</v>
      </c>
      <c r="I415">
        <v>6345</v>
      </c>
      <c r="K415" t="s">
        <v>2900</v>
      </c>
      <c r="L415" t="str">
        <f t="shared" si="137"/>
        <v>"id":"s397",</v>
      </c>
      <c r="M415" t="str">
        <v>"cate":"Resistor ",</v>
      </c>
      <c r="N415" t="str">
        <v>"des":"RST 10K 1/16W1%402A",</v>
      </c>
      <c r="O415" t="str">
        <v>"mfg":"VISHAY",</v>
      </c>
      <c r="P415" t="str">
        <v>"pn":"CRCW040210K0FKED",</v>
      </c>
      <c r="Q415" t="str">
        <v>"qty":6616</v>
      </c>
      <c r="S415" t="s">
        <v>2498</v>
      </c>
      <c r="T415" t="str">
        <f t="shared" si="138"/>
        <v>"id":"s397","cate":"Resistor ","des":"RST 10K 1/16W1%402A","mfg":"VISHAY","pn":"CRCW040210K0FKED","qty":6616</v>
      </c>
      <c r="U415" t="s">
        <v>2503</v>
      </c>
    </row>
    <row r="416" spans="5:21" x14ac:dyDescent="0.25">
      <c r="E416" t="s">
        <v>2194</v>
      </c>
      <c r="F416" t="s">
        <v>2247</v>
      </c>
      <c r="G416" t="s">
        <v>581</v>
      </c>
      <c r="H416" t="s">
        <v>580</v>
      </c>
      <c r="I416">
        <v>6345</v>
      </c>
      <c r="K416" t="s">
        <v>2901</v>
      </c>
      <c r="L416" t="str">
        <f t="shared" si="137"/>
        <v>"id":"s398",</v>
      </c>
      <c r="M416" t="str">
        <v>"cate":"Resistor ",</v>
      </c>
      <c r="N416" t="str">
        <v>"des":"RST 10K 1/16W1%402A",</v>
      </c>
      <c r="O416" t="str">
        <v>"mfg":"ROYAL OHM",</v>
      </c>
      <c r="P416" t="str">
        <v>"pn":"0402WGF1002TCE",</v>
      </c>
      <c r="Q416" t="str">
        <v>"qty":6616</v>
      </c>
      <c r="S416" t="s">
        <v>2498</v>
      </c>
      <c r="T416" t="str">
        <f t="shared" si="138"/>
        <v>"id":"s398","cate":"Resistor ","des":"RST 10K 1/16W1%402A","mfg":"ROYAL OHM","pn":"0402WGF1002TCE","qty":6616</v>
      </c>
      <c r="U416" t="s">
        <v>2503</v>
      </c>
    </row>
    <row r="417" spans="5:21" x14ac:dyDescent="0.25">
      <c r="E417" t="s">
        <v>2194</v>
      </c>
      <c r="F417" t="s">
        <v>2247</v>
      </c>
      <c r="G417" t="s">
        <v>581</v>
      </c>
      <c r="H417" t="s">
        <v>582</v>
      </c>
      <c r="I417">
        <v>6345</v>
      </c>
      <c r="K417" t="s">
        <v>2902</v>
      </c>
      <c r="L417" t="str">
        <f t="shared" si="137"/>
        <v>"id":"s399",</v>
      </c>
      <c r="M417" t="str">
        <v>"cate":"Resistor ",</v>
      </c>
      <c r="N417" t="str">
        <v>"des":"RST 10K 1/16W1%402A",</v>
      </c>
      <c r="O417" t="str">
        <v>"mfg":"WALSIN",</v>
      </c>
      <c r="P417" t="str">
        <v>"pn":"WR04X1002FTL",</v>
      </c>
      <c r="Q417" t="str">
        <v>"qty":6616</v>
      </c>
      <c r="S417" t="s">
        <v>2498</v>
      </c>
      <c r="T417" t="str">
        <f t="shared" si="138"/>
        <v>"id":"s399","cate":"Resistor ","des":"RST 10K 1/16W1%402A","mfg":"WALSIN","pn":"WR04X1002FTL","qty":6616</v>
      </c>
      <c r="U417" t="s">
        <v>2503</v>
      </c>
    </row>
    <row r="418" spans="5:21" x14ac:dyDescent="0.25">
      <c r="E418" t="s">
        <v>2193</v>
      </c>
      <c r="F418" t="s">
        <v>583</v>
      </c>
      <c r="G418" t="s">
        <v>13</v>
      </c>
      <c r="H418" t="s">
        <v>121</v>
      </c>
      <c r="I418">
        <v>6319</v>
      </c>
      <c r="K418" t="s">
        <v>2903</v>
      </c>
      <c r="L418" t="str">
        <f t="shared" si="137"/>
        <v>"id":"s400",</v>
      </c>
      <c r="M418" t="str">
        <v>"cate":"Capacitor",</v>
      </c>
      <c r="N418" t="str">
        <v>"des":"Capacitor 0,1UF 400V TH",</v>
      </c>
      <c r="O418" t="str">
        <v>"mfg":"KEMET",</v>
      </c>
      <c r="P418" t="str">
        <v>"pn":"R60MF3100AA6AJ",</v>
      </c>
      <c r="Q418" t="str">
        <v>"qty":6587</v>
      </c>
      <c r="S418" t="s">
        <v>2498</v>
      </c>
      <c r="T418" t="str">
        <f t="shared" si="138"/>
        <v>"id":"s400","cate":"Capacitor","des":"Capacitor 0,1UF 400V TH","mfg":"KEMET","pn":"R60MF3100AA6AJ","qty":6587</v>
      </c>
      <c r="U418" t="s">
        <v>2503</v>
      </c>
    </row>
    <row r="419" spans="5:21" x14ac:dyDescent="0.25">
      <c r="E419" t="s">
        <v>2193</v>
      </c>
      <c r="F419" t="s">
        <v>584</v>
      </c>
      <c r="G419" t="s">
        <v>13</v>
      </c>
      <c r="H419" t="s">
        <v>585</v>
      </c>
      <c r="I419">
        <v>6317</v>
      </c>
      <c r="K419" t="s">
        <v>2904</v>
      </c>
      <c r="L419" t="str">
        <f t="shared" si="137"/>
        <v>"id":"s401",</v>
      </c>
      <c r="M419" t="str">
        <v>"cate":"Capacitor",</v>
      </c>
      <c r="N419" t="str">
        <v>"des":"Capacitor 0,1UF 400V TH",</v>
      </c>
      <c r="O419" t="str">
        <v>"mfg":"VISHAY",</v>
      </c>
      <c r="P419" t="str">
        <v>"pn":"MKT1820410405",</v>
      </c>
      <c r="Q419" t="str">
        <v>"qty":6587</v>
      </c>
      <c r="S419" t="s">
        <v>2498</v>
      </c>
      <c r="T419" t="str">
        <f t="shared" si="138"/>
        <v>"id":"s401","cate":"Capacitor","des":"Capacitor 0,1UF 400V TH","mfg":"VISHAY","pn":"MKT1820410405","qty":6587</v>
      </c>
      <c r="U419" t="s">
        <v>2503</v>
      </c>
    </row>
    <row r="420" spans="5:21" x14ac:dyDescent="0.25">
      <c r="E420" t="s">
        <v>2194</v>
      </c>
      <c r="F420" t="s">
        <v>2248</v>
      </c>
      <c r="G420" t="s">
        <v>579</v>
      </c>
      <c r="H420" t="s">
        <v>586</v>
      </c>
      <c r="I420">
        <v>6310</v>
      </c>
      <c r="K420" t="s">
        <v>2905</v>
      </c>
      <c r="L420" t="str">
        <f t="shared" si="137"/>
        <v>"id":"s402",</v>
      </c>
      <c r="M420" t="str">
        <v>"cate":"Capacitor",</v>
      </c>
      <c r="N420" t="str">
        <v>"des":"Capacitor 0,1UF 400V TH",</v>
      </c>
      <c r="O420" t="str">
        <v>"mfg":"TDK",</v>
      </c>
      <c r="P420" t="str">
        <v>"pn":"B32521E6104K000",</v>
      </c>
      <c r="Q420" t="str">
        <v>"qty":6587</v>
      </c>
      <c r="S420" t="s">
        <v>2498</v>
      </c>
      <c r="T420" t="str">
        <f t="shared" si="138"/>
        <v>"id":"s402","cate":"Capacitor","des":"Capacitor 0,1UF 400V TH","mfg":"TDK","pn":"B32521E6104K000","qty":6587</v>
      </c>
      <c r="U420" t="s">
        <v>2503</v>
      </c>
    </row>
    <row r="421" spans="5:21" x14ac:dyDescent="0.25">
      <c r="E421" t="s">
        <v>2194</v>
      </c>
      <c r="F421" t="s">
        <v>2248</v>
      </c>
      <c r="G421" t="s">
        <v>581</v>
      </c>
      <c r="H421" t="s">
        <v>586</v>
      </c>
      <c r="I421">
        <v>6310</v>
      </c>
      <c r="K421" t="s">
        <v>2906</v>
      </c>
      <c r="L421" t="str">
        <f t="shared" si="137"/>
        <v>"id":"s403",</v>
      </c>
      <c r="M421" t="str">
        <v>"cate":"Resistor ",</v>
      </c>
      <c r="N421" t="str">
        <v>"des":"RST 1M 0,1W 5% 603",</v>
      </c>
      <c r="O421" t="str">
        <v>"mfg":"YAGEO",</v>
      </c>
      <c r="P421" t="str">
        <v>"pn":"RC0603JR-071ML",</v>
      </c>
      <c r="Q421" t="str">
        <v>"qty":6558</v>
      </c>
      <c r="S421" t="s">
        <v>2498</v>
      </c>
      <c r="T421" t="str">
        <f t="shared" si="138"/>
        <v>"id":"s403","cate":"Resistor ","des":"RST 1M 0,1W 5% 603","mfg":"YAGEO","pn":"RC0603JR-071ML","qty":6558</v>
      </c>
      <c r="U421" t="s">
        <v>2503</v>
      </c>
    </row>
    <row r="422" spans="5:21" x14ac:dyDescent="0.25">
      <c r="E422" t="s">
        <v>2194</v>
      </c>
      <c r="F422" t="s">
        <v>2248</v>
      </c>
      <c r="G422" t="s">
        <v>581</v>
      </c>
      <c r="H422" t="s">
        <v>587</v>
      </c>
      <c r="I422">
        <v>6310</v>
      </c>
      <c r="K422" t="s">
        <v>2907</v>
      </c>
      <c r="L422" t="str">
        <f t="shared" si="137"/>
        <v>"id":"s404",</v>
      </c>
      <c r="M422" t="str">
        <v>"cate":"Resistor ",</v>
      </c>
      <c r="N422" t="str">
        <v>"des":"RST 1M 0,1W 5% 603",</v>
      </c>
      <c r="O422" t="str">
        <v>"mfg":"BOURNS",</v>
      </c>
      <c r="P422" t="str">
        <v>"pn":"CR0603-JW-105ELF",</v>
      </c>
      <c r="Q422" t="str">
        <v>"qty":6558</v>
      </c>
      <c r="S422" t="s">
        <v>2498</v>
      </c>
      <c r="T422" t="str">
        <f t="shared" si="138"/>
        <v>"id":"s404","cate":"Resistor ","des":"RST 1M 0,1W 5% 603","mfg":"BOURNS","pn":"CR0603-JW-105ELF","qty":6558</v>
      </c>
      <c r="U422" t="s">
        <v>2503</v>
      </c>
    </row>
    <row r="423" spans="5:21" x14ac:dyDescent="0.25">
      <c r="E423" t="s">
        <v>2405</v>
      </c>
      <c r="F423" t="s">
        <v>2418</v>
      </c>
      <c r="G423" t="s">
        <v>37</v>
      </c>
      <c r="H423" t="s">
        <v>588</v>
      </c>
      <c r="I423">
        <v>6281</v>
      </c>
      <c r="K423" t="s">
        <v>2908</v>
      </c>
      <c r="L423" t="str">
        <f t="shared" si="137"/>
        <v>"id":"s405",</v>
      </c>
      <c r="M423" t="str">
        <v>"cate":"Capacitor",</v>
      </c>
      <c r="N423" t="str">
        <v>"des":"Capacitor 2,2UF 10V 0603",</v>
      </c>
      <c r="O423" t="str">
        <v>"mfg":"YAGEO",</v>
      </c>
      <c r="P423" t="str">
        <v>"pn":"CC0603KRX5R6BB225",</v>
      </c>
      <c r="Q423" t="str">
        <v>"qty":6544</v>
      </c>
      <c r="S423" t="s">
        <v>2498</v>
      </c>
      <c r="T423" t="str">
        <f t="shared" si="138"/>
        <v>"id":"s405","cate":"Capacitor","des":"Capacitor 2,2UF 10V 0603","mfg":"YAGEO","pn":"CC0603KRX5R6BB225","qty":6544</v>
      </c>
      <c r="U423" t="s">
        <v>2503</v>
      </c>
    </row>
    <row r="424" spans="5:21" x14ac:dyDescent="0.25">
      <c r="E424" t="s">
        <v>2405</v>
      </c>
      <c r="F424" t="s">
        <v>2418</v>
      </c>
      <c r="G424" t="s">
        <v>589</v>
      </c>
      <c r="H424" t="s">
        <v>590</v>
      </c>
      <c r="I424">
        <v>6281</v>
      </c>
      <c r="K424" t="s">
        <v>2909</v>
      </c>
      <c r="L424" t="str">
        <f t="shared" si="137"/>
        <v>"id":"s406",</v>
      </c>
      <c r="M424" t="str">
        <v>"cate":"Resistor ",</v>
      </c>
      <c r="N424" t="str">
        <v>"des":"RST 1M 0,1W 1%0603",</v>
      </c>
      <c r="O424" t="str">
        <v>"mfg":"YAGEO",</v>
      </c>
      <c r="P424" t="str">
        <v>"pn":"RC0603FR-071ML",</v>
      </c>
      <c r="Q424" t="str">
        <v>"qty":6539</v>
      </c>
      <c r="S424" t="s">
        <v>2498</v>
      </c>
      <c r="T424" t="str">
        <f t="shared" si="138"/>
        <v>"id":"s406","cate":"Resistor ","des":"RST 1M 0,1W 1%0603","mfg":"YAGEO","pn":"RC0603FR-071ML","qty":6539</v>
      </c>
      <c r="U424" t="s">
        <v>2503</v>
      </c>
    </row>
    <row r="425" spans="5:21" x14ac:dyDescent="0.25">
      <c r="E425" t="s">
        <v>2405</v>
      </c>
      <c r="F425" t="s">
        <v>2418</v>
      </c>
      <c r="G425" t="s">
        <v>2468</v>
      </c>
      <c r="H425" t="s">
        <v>591</v>
      </c>
      <c r="I425">
        <v>6281</v>
      </c>
      <c r="K425" t="s">
        <v>2910</v>
      </c>
      <c r="L425" t="str">
        <f t="shared" si="137"/>
        <v>"id":"s407",</v>
      </c>
      <c r="M425" t="str">
        <v>"cate":"Resistor ",</v>
      </c>
      <c r="N425" t="str">
        <v>"des":"RST 1M 0,1W 1%0603",</v>
      </c>
      <c r="O425" t="str">
        <v>"mfg":"VISHAY",</v>
      </c>
      <c r="P425" t="str">
        <v>"pn":"CRCW06031M00FKEA",</v>
      </c>
      <c r="Q425" t="str">
        <v>"qty":6539</v>
      </c>
      <c r="S425" t="s">
        <v>2498</v>
      </c>
      <c r="T425" t="str">
        <f t="shared" si="138"/>
        <v>"id":"s407","cate":"Resistor ","des":"RST 1M 0,1W 1%0603","mfg":"VISHAY","pn":"CRCW06031M00FKEA","qty":6539</v>
      </c>
      <c r="U425" t="s">
        <v>2503</v>
      </c>
    </row>
    <row r="426" spans="5:21" x14ac:dyDescent="0.25">
      <c r="E426" t="s">
        <v>2194</v>
      </c>
      <c r="F426" t="s">
        <v>2249</v>
      </c>
      <c r="G426" t="s">
        <v>10</v>
      </c>
      <c r="H426" t="s">
        <v>592</v>
      </c>
      <c r="I426">
        <v>6274</v>
      </c>
      <c r="K426" t="s">
        <v>2911</v>
      </c>
      <c r="L426" t="str">
        <f t="shared" si="137"/>
        <v>"id":"s408",</v>
      </c>
      <c r="M426" t="str">
        <v>"cate":"CG21",</v>
      </c>
      <c r="N426" t="str">
        <v>"des":"CG21000L",</v>
      </c>
      <c r="O426" t="str">
        <v>"mfg":"LITTELFUSE",</v>
      </c>
      <c r="P426" t="str">
        <v>"pn":"CG21000L",</v>
      </c>
      <c r="Q426" t="str">
        <v>"qty":6419</v>
      </c>
      <c r="S426" t="s">
        <v>2498</v>
      </c>
      <c r="T426" t="str">
        <f t="shared" si="138"/>
        <v>"id":"s408","cate":"CG21","des":"CG21000L","mfg":"LITTELFUSE","pn":"CG21000L","qty":6419</v>
      </c>
      <c r="U426" t="s">
        <v>2503</v>
      </c>
    </row>
    <row r="427" spans="5:21" x14ac:dyDescent="0.25">
      <c r="E427" t="s">
        <v>2194</v>
      </c>
      <c r="F427" t="s">
        <v>2250</v>
      </c>
      <c r="G427" t="s">
        <v>184</v>
      </c>
      <c r="H427" t="s">
        <v>593</v>
      </c>
      <c r="I427">
        <v>6255</v>
      </c>
      <c r="K427" t="s">
        <v>2912</v>
      </c>
      <c r="L427" t="str">
        <f t="shared" si="137"/>
        <v>"id":"s409",</v>
      </c>
      <c r="M427" t="str">
        <v>"cate":"CG21",</v>
      </c>
      <c r="N427" t="str">
        <v>"des":"CG21000L",</v>
      </c>
      <c r="O427" t="str">
        <v>"mfg":"LITTELFUSE",</v>
      </c>
      <c r="P427" t="str">
        <v>"pn":"CG21000LTR",</v>
      </c>
      <c r="Q427" t="str">
        <v>"qty":6419</v>
      </c>
      <c r="S427" t="s">
        <v>2498</v>
      </c>
      <c r="T427" t="str">
        <f t="shared" si="138"/>
        <v>"id":"s409","cate":"CG21","des":"CG21000L","mfg":"LITTELFUSE","pn":"CG21000LTR","qty":6419</v>
      </c>
      <c r="U427" t="s">
        <v>2503</v>
      </c>
    </row>
    <row r="428" spans="5:21" x14ac:dyDescent="0.25">
      <c r="E428" t="s">
        <v>2193</v>
      </c>
      <c r="F428" t="s">
        <v>594</v>
      </c>
      <c r="G428" t="s">
        <v>13</v>
      </c>
      <c r="H428" t="s">
        <v>595</v>
      </c>
      <c r="I428">
        <v>6069</v>
      </c>
      <c r="K428" t="s">
        <v>2913</v>
      </c>
      <c r="L428" t="str">
        <f t="shared" si="137"/>
        <v>"id":"s410",</v>
      </c>
      <c r="M428" t="str">
        <v>"cate":"Capacitor",</v>
      </c>
      <c r="N428" t="str">
        <v>"des":"Capacitor Y1 2,2NF/400V",</v>
      </c>
      <c r="O428" t="str">
        <v>"mfg":"Dongguan",</v>
      </c>
      <c r="P428" t="str">
        <v>"pn":"JD222MY5VY1",</v>
      </c>
      <c r="Q428" t="str">
        <v>"qty":6345</v>
      </c>
      <c r="S428" t="s">
        <v>2498</v>
      </c>
      <c r="T428" t="str">
        <f t="shared" si="138"/>
        <v>"id":"s410","cate":"Capacitor","des":"Capacitor Y1 2,2NF/400V","mfg":"Dongguan","pn":"JD222MY5VY1","qty":6345</v>
      </c>
      <c r="U428" t="s">
        <v>2503</v>
      </c>
    </row>
    <row r="429" spans="5:21" x14ac:dyDescent="0.25">
      <c r="E429" t="s">
        <v>2193</v>
      </c>
      <c r="F429" t="s">
        <v>596</v>
      </c>
      <c r="G429" t="s">
        <v>13</v>
      </c>
      <c r="H429" t="s">
        <v>597</v>
      </c>
      <c r="I429">
        <v>6067</v>
      </c>
      <c r="K429" t="s">
        <v>2914</v>
      </c>
      <c r="L429" t="str">
        <f t="shared" si="137"/>
        <v>"id":"s411",</v>
      </c>
      <c r="M429" t="str">
        <v>"cate":"Capacitor",</v>
      </c>
      <c r="N429" t="str">
        <v>"des":"Capacitor Y1 2,2NF/400V",</v>
      </c>
      <c r="O429" t="str">
        <v>"mfg":"KNSCHA ELECTRONICS",</v>
      </c>
      <c r="P429" t="str">
        <v>"pn":"JD222MY5VY1",</v>
      </c>
      <c r="Q429" t="str">
        <v>"qty":6345</v>
      </c>
      <c r="S429" t="s">
        <v>2498</v>
      </c>
      <c r="T429" t="str">
        <f t="shared" si="138"/>
        <v>"id":"s411","cate":"Capacitor","des":"Capacitor Y1 2,2NF/400V","mfg":"KNSCHA ELECTRONICS","pn":"JD222MY5VY1","qty":6345</v>
      </c>
      <c r="U429" t="s">
        <v>2503</v>
      </c>
    </row>
    <row r="430" spans="5:21" x14ac:dyDescent="0.25">
      <c r="E430" t="s">
        <v>2193</v>
      </c>
      <c r="F430" t="s">
        <v>596</v>
      </c>
      <c r="G430" t="s">
        <v>37</v>
      </c>
      <c r="H430" t="s">
        <v>598</v>
      </c>
      <c r="I430">
        <v>6067</v>
      </c>
      <c r="K430" t="s">
        <v>2915</v>
      </c>
      <c r="L430" t="str">
        <f t="shared" si="137"/>
        <v>"id":"s412",</v>
      </c>
      <c r="M430" t="str">
        <v>"cate":"Capacitor",</v>
      </c>
      <c r="N430" t="str">
        <v>"des":"Capacitor Y1 2,2NF/400V",</v>
      </c>
      <c r="O430" t="str">
        <v>"mfg":"KNSCHA ELECTRONICS",</v>
      </c>
      <c r="P430" t="str">
        <v>"pn":"0Y10088",</v>
      </c>
      <c r="Q430" t="str">
        <v>"qty":6345</v>
      </c>
      <c r="S430" t="s">
        <v>2498</v>
      </c>
      <c r="T430" t="str">
        <f t="shared" si="138"/>
        <v>"id":"s412","cate":"Capacitor","des":"Capacitor Y1 2,2NF/400V","mfg":"KNSCHA ELECTRONICS","pn":"0Y10088","qty":6345</v>
      </c>
      <c r="U430" t="s">
        <v>2503</v>
      </c>
    </row>
    <row r="431" spans="5:21" x14ac:dyDescent="0.25">
      <c r="E431" t="s">
        <v>2193</v>
      </c>
      <c r="F431" t="s">
        <v>596</v>
      </c>
      <c r="G431" t="s">
        <v>202</v>
      </c>
      <c r="H431" t="s">
        <v>599</v>
      </c>
      <c r="I431">
        <v>6067</v>
      </c>
      <c r="K431" t="s">
        <v>2916</v>
      </c>
      <c r="L431" t="str">
        <f t="shared" si="137"/>
        <v>"id":"s413",</v>
      </c>
      <c r="M431" t="str">
        <v>"cate":"Resistor ",</v>
      </c>
      <c r="N431" t="str">
        <v>"des":"RST 15K 0,1W5% 603A",</v>
      </c>
      <c r="O431" t="str">
        <v>"mfg":"YAGEO",</v>
      </c>
      <c r="P431" t="str">
        <v>"pn":"RC0603JR-0715KL",</v>
      </c>
      <c r="Q431" t="str">
        <v>"qty":6319</v>
      </c>
      <c r="S431" t="s">
        <v>2498</v>
      </c>
      <c r="T431" t="str">
        <f t="shared" si="138"/>
        <v>"id":"s413","cate":"Resistor ","des":"RST 15K 0,1W5% 603A","mfg":"YAGEO","pn":"RC0603JR-0715KL","qty":6319</v>
      </c>
      <c r="U431" t="s">
        <v>2503</v>
      </c>
    </row>
    <row r="432" spans="5:21" x14ac:dyDescent="0.25">
      <c r="E432" t="s">
        <v>2194</v>
      </c>
      <c r="F432" t="s">
        <v>2251</v>
      </c>
      <c r="G432" t="s">
        <v>13</v>
      </c>
      <c r="H432" t="s">
        <v>600</v>
      </c>
      <c r="I432">
        <v>6046</v>
      </c>
      <c r="K432" t="s">
        <v>2917</v>
      </c>
      <c r="L432" t="str">
        <f t="shared" si="137"/>
        <v>"id":"s414",</v>
      </c>
      <c r="M432" t="str">
        <v>"cate":"Resistor ",</v>
      </c>
      <c r="N432" t="str">
        <v>"des":"RST 113K 1/10W1%603",</v>
      </c>
      <c r="O432" t="str">
        <v>"mfg":"YAGEO",</v>
      </c>
      <c r="P432" t="str">
        <v>"pn":"RC0603FR-07113KL",</v>
      </c>
      <c r="Q432" t="str">
        <v>"qty":6317</v>
      </c>
      <c r="S432" t="s">
        <v>2498</v>
      </c>
      <c r="T432" t="str">
        <f t="shared" si="138"/>
        <v>"id":"s414","cate":"Resistor ","des":"RST 113K 1/10W1%603","mfg":"YAGEO","pn":"RC0603FR-07113KL","qty":6317</v>
      </c>
      <c r="U432" t="s">
        <v>2503</v>
      </c>
    </row>
    <row r="433" spans="5:21" x14ac:dyDescent="0.25">
      <c r="E433" t="s">
        <v>2194</v>
      </c>
      <c r="F433" t="s">
        <v>2251</v>
      </c>
      <c r="G433" t="s">
        <v>47</v>
      </c>
      <c r="H433" t="s">
        <v>601</v>
      </c>
      <c r="I433">
        <v>6046</v>
      </c>
      <c r="K433" t="s">
        <v>2918</v>
      </c>
      <c r="L433" t="str">
        <f t="shared" si="137"/>
        <v>"id":"s415",</v>
      </c>
      <c r="M433" t="str">
        <v>"cate":"Capacitor",</v>
      </c>
      <c r="N433" t="str">
        <v>"des":"Capacitor Y1 100PF/400V",</v>
      </c>
      <c r="O433" t="str">
        <v>"mfg":"Dongguan",</v>
      </c>
      <c r="P433" t="str">
        <v>"pn":"JD101KY5PY1",</v>
      </c>
      <c r="Q433" t="str">
        <v>"qty":6310</v>
      </c>
      <c r="S433" t="s">
        <v>2498</v>
      </c>
      <c r="T433" t="str">
        <f t="shared" si="138"/>
        <v>"id":"s415","cate":"Capacitor","des":"Capacitor Y1 100PF/400V","mfg":"Dongguan","pn":"JD101KY5PY1","qty":6310</v>
      </c>
      <c r="U433" t="s">
        <v>2503</v>
      </c>
    </row>
    <row r="434" spans="5:21" x14ac:dyDescent="0.25">
      <c r="E434" t="s">
        <v>2405</v>
      </c>
      <c r="F434" t="s">
        <v>2419</v>
      </c>
      <c r="G434" t="s">
        <v>28</v>
      </c>
      <c r="H434" t="s">
        <v>602</v>
      </c>
      <c r="I434">
        <v>6038</v>
      </c>
      <c r="K434" t="s">
        <v>2919</v>
      </c>
      <c r="L434" t="str">
        <f t="shared" si="137"/>
        <v>"id":"s416",</v>
      </c>
      <c r="M434" t="str">
        <v>"cate":"Capacitor",</v>
      </c>
      <c r="N434" t="str">
        <v>"des":"Capacitor Y1 100PF/400V",</v>
      </c>
      <c r="O434" t="str">
        <v>"mfg":"KNSCHA ELECTRONICS",</v>
      </c>
      <c r="P434" t="str">
        <v>"pn":"JD101KY5PY1",</v>
      </c>
      <c r="Q434" t="str">
        <v>"qty":6310</v>
      </c>
      <c r="S434" t="s">
        <v>2498</v>
      </c>
      <c r="T434" t="str">
        <f t="shared" si="138"/>
        <v>"id":"s416","cate":"Capacitor","des":"Capacitor Y1 100PF/400V","mfg":"KNSCHA ELECTRONICS","pn":"JD101KY5PY1","qty":6310</v>
      </c>
      <c r="U434" t="s">
        <v>2503</v>
      </c>
    </row>
    <row r="435" spans="5:21" x14ac:dyDescent="0.25">
      <c r="E435" t="s">
        <v>2139</v>
      </c>
      <c r="F435" t="s">
        <v>603</v>
      </c>
      <c r="G435" t="s">
        <v>13</v>
      </c>
      <c r="H435" t="s">
        <v>604</v>
      </c>
      <c r="I435">
        <v>5933</v>
      </c>
      <c r="K435" t="s">
        <v>2920</v>
      </c>
      <c r="L435" t="str">
        <f t="shared" si="137"/>
        <v>"id":"s417",</v>
      </c>
      <c r="M435" t="str">
        <v>"cate":"Capacitor",</v>
      </c>
      <c r="N435" t="str">
        <v>"des":"Capacitor Y1 100PF/400V",</v>
      </c>
      <c r="O435" t="str">
        <v>"mfg":"KNSCHA ELECTRONICS",</v>
      </c>
      <c r="P435" t="str">
        <v>"pn":"70Y10112",</v>
      </c>
      <c r="Q435" t="str">
        <v>"qty":6310</v>
      </c>
      <c r="S435" t="s">
        <v>2498</v>
      </c>
      <c r="T435" t="str">
        <f t="shared" si="138"/>
        <v>"id":"s417","cate":"Capacitor","des":"Capacitor Y1 100PF/400V","mfg":"KNSCHA ELECTRONICS","pn":"70Y10112","qty":6310</v>
      </c>
      <c r="U435" t="s">
        <v>2503</v>
      </c>
    </row>
    <row r="436" spans="5:21" x14ac:dyDescent="0.25">
      <c r="E436" t="s">
        <v>2139</v>
      </c>
      <c r="F436" t="s">
        <v>603</v>
      </c>
      <c r="G436" t="s">
        <v>64</v>
      </c>
      <c r="H436" t="s">
        <v>65</v>
      </c>
      <c r="I436">
        <v>5933</v>
      </c>
      <c r="K436" t="s">
        <v>2921</v>
      </c>
      <c r="L436" t="str">
        <f t="shared" si="137"/>
        <v>"id":"s418",</v>
      </c>
      <c r="M436" t="str">
        <v>"cate":"Diode",</v>
      </c>
      <c r="N436" t="str">
        <v>"des":"DiodeE 1KV 2A 4PIN",</v>
      </c>
      <c r="O436" t="str">
        <v>"mfg":"VISHAY",</v>
      </c>
      <c r="P436" t="str">
        <v>"pn":"2W10G-E4/51",</v>
      </c>
      <c r="Q436" t="str">
        <v>"qty":6281</v>
      </c>
      <c r="S436" t="s">
        <v>2498</v>
      </c>
      <c r="T436" t="str">
        <f t="shared" si="138"/>
        <v>"id":"s418","cate":"Diode","des":"DiodeE 1KV 2A 4PIN","mfg":"VISHAY","pn":"2W10G-E4/51","qty":6281</v>
      </c>
      <c r="U436" t="s">
        <v>2503</v>
      </c>
    </row>
    <row r="437" spans="5:21" x14ac:dyDescent="0.25">
      <c r="E437" t="s">
        <v>2139</v>
      </c>
      <c r="F437" t="s">
        <v>603</v>
      </c>
      <c r="G437" t="s">
        <v>8</v>
      </c>
      <c r="H437" t="s">
        <v>605</v>
      </c>
      <c r="I437">
        <v>5933</v>
      </c>
      <c r="K437" t="s">
        <v>2922</v>
      </c>
      <c r="L437" t="str">
        <f t="shared" si="137"/>
        <v>"id":"s419",</v>
      </c>
      <c r="M437" t="str">
        <v>"cate":"Diode",</v>
      </c>
      <c r="N437" t="str">
        <v>"des":"DiodeE 1KV 2A 4PIN",</v>
      </c>
      <c r="O437" t="str">
        <v>"mfg":"Galaxy Semiconductor",</v>
      </c>
      <c r="P437" t="str">
        <v>"pn":"2W10G",</v>
      </c>
      <c r="Q437" t="str">
        <v>"qty":6281</v>
      </c>
      <c r="S437" t="s">
        <v>2498</v>
      </c>
      <c r="T437" t="str">
        <f t="shared" si="138"/>
        <v>"id":"s419","cate":"Diode","des":"DiodeE 1KV 2A 4PIN","mfg":"Galaxy Semiconductor","pn":"2W10G","qty":6281</v>
      </c>
      <c r="U437" t="s">
        <v>2503</v>
      </c>
    </row>
    <row r="438" spans="5:21" x14ac:dyDescent="0.25">
      <c r="E438" t="s">
        <v>2139</v>
      </c>
      <c r="F438" t="s">
        <v>603</v>
      </c>
      <c r="G438" t="s">
        <v>62</v>
      </c>
      <c r="H438" t="s">
        <v>606</v>
      </c>
      <c r="I438">
        <v>5933</v>
      </c>
      <c r="K438" t="s">
        <v>2923</v>
      </c>
      <c r="L438" t="str">
        <f t="shared" si="137"/>
        <v>"id":"s420",</v>
      </c>
      <c r="M438" t="str">
        <v>"cate":"Diode",</v>
      </c>
      <c r="N438" t="str">
        <v>"des":"DiodeE 1KV 2A 4PIN",</v>
      </c>
      <c r="O438" t="str">
        <v>"mfg":"TOPDiodeE",</v>
      </c>
      <c r="P438" t="str">
        <v>"pn":"2W10",</v>
      </c>
      <c r="Q438" t="str">
        <v>"qty":6281</v>
      </c>
      <c r="S438" t="s">
        <v>2498</v>
      </c>
      <c r="T438" t="str">
        <f t="shared" si="138"/>
        <v>"id":"s420","cate":"Diode","des":"DiodeE 1KV 2A 4PIN","mfg":"TOPDiodeE","pn":"2W10","qty":6281</v>
      </c>
      <c r="U438" t="s">
        <v>2503</v>
      </c>
    </row>
    <row r="439" spans="5:21" x14ac:dyDescent="0.25">
      <c r="E439" t="s">
        <v>2193</v>
      </c>
      <c r="F439" t="s">
        <v>607</v>
      </c>
      <c r="G439" t="s">
        <v>13</v>
      </c>
      <c r="H439" t="s">
        <v>608</v>
      </c>
      <c r="I439">
        <v>5920</v>
      </c>
      <c r="K439" t="s">
        <v>2924</v>
      </c>
      <c r="L439" t="str">
        <f t="shared" si="137"/>
        <v>"id":"s421",</v>
      </c>
      <c r="M439" t="str">
        <v>"cate":"Capacitor",</v>
      </c>
      <c r="N439" t="str">
        <v>"des":"Capacitor 10NF K16V 0402",</v>
      </c>
      <c r="O439" t="str">
        <v>"mfg":"WALSIN",</v>
      </c>
      <c r="P439" t="str">
        <v>"pn":"0402B103K500CT",</v>
      </c>
      <c r="Q439" t="str">
        <v>"qty":6274</v>
      </c>
      <c r="S439" t="s">
        <v>2498</v>
      </c>
      <c r="T439" t="str">
        <f t="shared" si="138"/>
        <v>"id":"s421","cate":"Capacitor","des":"Capacitor 10NF K16V 0402","mfg":"WALSIN","pn":"0402B103K500CT","qty":6274</v>
      </c>
      <c r="U439" t="s">
        <v>2503</v>
      </c>
    </row>
    <row r="440" spans="5:21" x14ac:dyDescent="0.25">
      <c r="E440" t="s">
        <v>2193</v>
      </c>
      <c r="F440" t="s">
        <v>607</v>
      </c>
      <c r="G440" t="s">
        <v>37</v>
      </c>
      <c r="H440" t="s">
        <v>609</v>
      </c>
      <c r="I440">
        <v>5920</v>
      </c>
      <c r="K440" t="s">
        <v>2925</v>
      </c>
      <c r="L440" t="str">
        <f t="shared" si="137"/>
        <v>"id":"s422",</v>
      </c>
      <c r="M440" t="str">
        <v>"cate":"Capacitor",</v>
      </c>
      <c r="N440" t="str">
        <v>"des":"Capacitor 3,3NF/25V10%SM",</v>
      </c>
      <c r="O440" t="str">
        <v>"mfg":"WURTH ELEKTRONIK",</v>
      </c>
      <c r="P440" t="str">
        <v>"pn":"885012207063",</v>
      </c>
      <c r="Q440" t="str">
        <v>"qty":6255</v>
      </c>
      <c r="S440" t="s">
        <v>2498</v>
      </c>
      <c r="T440" t="str">
        <f t="shared" si="138"/>
        <v>"id":"s422","cate":"Capacitor","des":"Capacitor 3,3NF/25V10%SM","mfg":"WURTH ELEKTRONIK","pn":"885012207063","qty":6255</v>
      </c>
      <c r="U440" t="s">
        <v>2503</v>
      </c>
    </row>
    <row r="441" spans="5:21" x14ac:dyDescent="0.25">
      <c r="E441" t="s">
        <v>2193</v>
      </c>
      <c r="F441" t="s">
        <v>607</v>
      </c>
      <c r="G441" t="s">
        <v>466</v>
      </c>
      <c r="H441" t="s">
        <v>610</v>
      </c>
      <c r="I441">
        <v>5920</v>
      </c>
      <c r="K441" t="s">
        <v>2926</v>
      </c>
      <c r="L441" t="str">
        <f t="shared" si="137"/>
        <v>"id":"s423",</v>
      </c>
      <c r="M441" t="str">
        <v>"cate":"Resistor ",</v>
      </c>
      <c r="N441" t="str">
        <v>"des":"RST 47,5 0,1W1%0603",</v>
      </c>
      <c r="O441" t="str">
        <v>"mfg":"YAGEO",</v>
      </c>
      <c r="P441" t="str">
        <v>"pn":"RC0603FR-0747R5L",</v>
      </c>
      <c r="Q441" t="str">
        <v>"qty":6069</v>
      </c>
      <c r="S441" t="s">
        <v>2498</v>
      </c>
      <c r="T441" t="str">
        <f t="shared" si="138"/>
        <v>"id":"s423","cate":"Resistor ","des":"RST 47,5 0,1W1%0603","mfg":"YAGEO","pn":"RC0603FR-0747R5L","qty":6069</v>
      </c>
      <c r="U441" t="s">
        <v>2503</v>
      </c>
    </row>
    <row r="442" spans="5:21" x14ac:dyDescent="0.25">
      <c r="E442" t="s">
        <v>2193</v>
      </c>
      <c r="F442" t="s">
        <v>607</v>
      </c>
      <c r="G442" t="s">
        <v>10</v>
      </c>
      <c r="H442" t="s">
        <v>611</v>
      </c>
      <c r="I442">
        <v>5920</v>
      </c>
      <c r="K442" t="s">
        <v>2927</v>
      </c>
      <c r="L442" t="str">
        <f t="shared" si="137"/>
        <v>"id":"s424",</v>
      </c>
      <c r="M442" t="str">
        <v>"cate":"Resistor ",</v>
      </c>
      <c r="N442" t="str">
        <v>"des":"RST 100K 1/8W 0,1%S",</v>
      </c>
      <c r="O442" t="str">
        <v>"mfg":"YAGEO",</v>
      </c>
      <c r="P442" t="str">
        <v>"pn":"RT0805BRD07100KL",</v>
      </c>
      <c r="Q442" t="str">
        <v>"qty":6067</v>
      </c>
      <c r="S442" t="s">
        <v>2498</v>
      </c>
      <c r="T442" t="str">
        <f t="shared" si="138"/>
        <v>"id":"s424","cate":"Resistor ","des":"RST 100K 1/8W 0,1%S","mfg":"YAGEO","pn":"RT0805BRD07100KL","qty":6067</v>
      </c>
      <c r="U442" t="s">
        <v>2503</v>
      </c>
    </row>
    <row r="443" spans="5:21" x14ac:dyDescent="0.25">
      <c r="E443" t="s">
        <v>2126</v>
      </c>
      <c r="F443" t="s">
        <v>612</v>
      </c>
      <c r="G443" t="s">
        <v>57</v>
      </c>
      <c r="H443" t="s">
        <v>613</v>
      </c>
      <c r="I443">
        <v>5914</v>
      </c>
      <c r="K443" t="s">
        <v>2928</v>
      </c>
      <c r="L443" t="str">
        <f t="shared" si="137"/>
        <v>"id":"s425",</v>
      </c>
      <c r="M443" t="str">
        <v>"cate":"Resistor ",</v>
      </c>
      <c r="N443" t="str">
        <v>"des":"RST 100K 1/8W 0,1%S",</v>
      </c>
      <c r="O443" t="str">
        <v>"mfg":"VISHAY",</v>
      </c>
      <c r="P443" t="str">
        <v>"pn":"MCU08050D1003BP100",</v>
      </c>
      <c r="Q443" t="str">
        <v>"qty":6067</v>
      </c>
      <c r="S443" t="s">
        <v>2498</v>
      </c>
      <c r="T443" t="str">
        <f t="shared" si="138"/>
        <v>"id":"s425","cate":"Resistor ","des":"RST 100K 1/8W 0,1%S","mfg":"VISHAY","pn":"MCU08050D1003BP100","qty":6067</v>
      </c>
      <c r="U443" t="s">
        <v>2503</v>
      </c>
    </row>
    <row r="444" spans="5:21" x14ac:dyDescent="0.25">
      <c r="E444" t="s">
        <v>2126</v>
      </c>
      <c r="F444" t="s">
        <v>612</v>
      </c>
      <c r="G444" t="s">
        <v>57</v>
      </c>
      <c r="H444" t="s">
        <v>614</v>
      </c>
      <c r="I444">
        <v>5914</v>
      </c>
      <c r="K444" t="s">
        <v>2929</v>
      </c>
      <c r="L444" t="str">
        <f t="shared" si="137"/>
        <v>"id":"s426",</v>
      </c>
      <c r="M444" t="str">
        <v>"cate":"Resistor ",</v>
      </c>
      <c r="N444" t="str">
        <v>"des":"RST 100K 1/8W 0,1%S",</v>
      </c>
      <c r="O444" t="str">
        <v>"mfg":"TE CONNECTIVITY",</v>
      </c>
      <c r="P444" t="str">
        <v>"pn":"RP73D2A100KBTDF",</v>
      </c>
      <c r="Q444" t="str">
        <v>"qty":6067</v>
      </c>
      <c r="S444" t="s">
        <v>2498</v>
      </c>
      <c r="T444" t="str">
        <f t="shared" si="138"/>
        <v>"id":"s426","cate":"Resistor ","des":"RST 100K 1/8W 0,1%S","mfg":"TE CONNECTIVITY","pn":"RP73D2A100KBTDF","qty":6067</v>
      </c>
      <c r="U444" t="s">
        <v>2503</v>
      </c>
    </row>
    <row r="445" spans="5:21" x14ac:dyDescent="0.25">
      <c r="E445" t="s">
        <v>2139</v>
      </c>
      <c r="F445" t="s">
        <v>615</v>
      </c>
      <c r="G445" t="s">
        <v>13</v>
      </c>
      <c r="H445" t="s">
        <v>616</v>
      </c>
      <c r="I445">
        <v>5870</v>
      </c>
      <c r="K445" t="s">
        <v>2930</v>
      </c>
      <c r="L445" t="str">
        <f t="shared" si="137"/>
        <v>"id":"s427",</v>
      </c>
      <c r="M445" t="str">
        <v>"cate":"Capacitor",</v>
      </c>
      <c r="N445" t="str">
        <v>"des":"Capacitor 10NF/25V 402",</v>
      </c>
      <c r="O445" t="str">
        <v>"mfg":"YAGEO",</v>
      </c>
      <c r="P445" t="str">
        <v>"pn":"CC0402KRX7R8BB103",</v>
      </c>
      <c r="Q445" t="str">
        <v>"qty":6046</v>
      </c>
      <c r="S445" t="s">
        <v>2498</v>
      </c>
      <c r="T445" t="str">
        <f t="shared" si="138"/>
        <v>"id":"s427","cate":"Capacitor","des":"Capacitor 10NF/25V 402","mfg":"YAGEO","pn":"CC0402KRX7R8BB103","qty":6046</v>
      </c>
      <c r="U445" t="s">
        <v>2503</v>
      </c>
    </row>
    <row r="446" spans="5:21" x14ac:dyDescent="0.25">
      <c r="E446" t="s">
        <v>2139</v>
      </c>
      <c r="F446" t="s">
        <v>615</v>
      </c>
      <c r="G446" t="s">
        <v>320</v>
      </c>
      <c r="H446" t="s">
        <v>617</v>
      </c>
      <c r="I446">
        <v>5870</v>
      </c>
      <c r="K446" t="s">
        <v>2931</v>
      </c>
      <c r="L446" t="str">
        <f t="shared" si="137"/>
        <v>"id":"s428",</v>
      </c>
      <c r="M446" t="str">
        <v>"cate":"Capacitor",</v>
      </c>
      <c r="N446" t="str">
        <v>"des":"Capacitor 10NF/25V 402",</v>
      </c>
      <c r="O446" t="str">
        <v>"mfg":"KEMET",</v>
      </c>
      <c r="P446" t="str">
        <v>"pn":"C0402C103J3RACTU",</v>
      </c>
      <c r="Q446" t="str">
        <v>"qty":6046</v>
      </c>
      <c r="S446" t="s">
        <v>2498</v>
      </c>
      <c r="T446" t="str">
        <f t="shared" si="138"/>
        <v>"id":"s428","cate":"Capacitor","des":"Capacitor 10NF/25V 402","mfg":"KEMET","pn":"C0402C103J3RACTU","qty":6046</v>
      </c>
      <c r="U446" t="s">
        <v>2503</v>
      </c>
    </row>
    <row r="447" spans="5:21" x14ac:dyDescent="0.25">
      <c r="E447" t="s">
        <v>2193</v>
      </c>
      <c r="F447" t="s">
        <v>618</v>
      </c>
      <c r="G447" t="s">
        <v>13</v>
      </c>
      <c r="H447" t="s">
        <v>619</v>
      </c>
      <c r="I447">
        <v>5832</v>
      </c>
      <c r="K447" t="s">
        <v>2932</v>
      </c>
      <c r="L447" t="str">
        <f t="shared" si="137"/>
        <v>"id":"s429",</v>
      </c>
      <c r="M447" t="str">
        <v>"cate":"Diode",</v>
      </c>
      <c r="N447" t="str">
        <v>"des":"DiodeE ZE 3,9V0,5WSM",</v>
      </c>
      <c r="O447" t="str">
        <v>"mfg":"ON SEMICONDUCTOR",</v>
      </c>
      <c r="P447" t="str">
        <v>"pn":"SZMM5Z3V9T1G",</v>
      </c>
      <c r="Q447" t="str">
        <v>"qty":6038</v>
      </c>
      <c r="S447" t="s">
        <v>2498</v>
      </c>
      <c r="T447" t="str">
        <f t="shared" si="138"/>
        <v>"id":"s429","cate":"Diode","des":"DiodeE ZE 3,9V0,5WSM","mfg":"ON SEMICONDUCTOR","pn":"SZMM5Z3V9T1G","qty":6038</v>
      </c>
      <c r="U447" t="s">
        <v>2503</v>
      </c>
    </row>
    <row r="448" spans="5:21" x14ac:dyDescent="0.25">
      <c r="E448" t="s">
        <v>2194</v>
      </c>
      <c r="F448" t="s">
        <v>2252</v>
      </c>
      <c r="G448" t="s">
        <v>64</v>
      </c>
      <c r="H448" t="s">
        <v>620</v>
      </c>
      <c r="I448">
        <v>5708</v>
      </c>
      <c r="K448" t="s">
        <v>2933</v>
      </c>
      <c r="L448" t="str">
        <f t="shared" si="137"/>
        <v>"id":"s430",</v>
      </c>
      <c r="M448" t="str">
        <v>"cate":"MA-1",</v>
      </c>
      <c r="N448" t="str">
        <v>"des":"MA-1150472STG",</v>
      </c>
      <c r="O448" t="str">
        <v>"mfg":"YAGEO",</v>
      </c>
      <c r="P448" t="str">
        <v>"pn":"CC0402KRX5R8BB105",</v>
      </c>
      <c r="Q448" t="str">
        <v>"qty":5933</v>
      </c>
      <c r="S448" t="s">
        <v>2498</v>
      </c>
      <c r="T448" t="str">
        <f t="shared" si="138"/>
        <v>"id":"s430","cate":"MA-1","des":"MA-1150472STG","mfg":"YAGEO","pn":"CC0402KRX5R8BB105","qty":5933</v>
      </c>
      <c r="U448" t="s">
        <v>2503</v>
      </c>
    </row>
    <row r="449" spans="5:21" x14ac:dyDescent="0.25">
      <c r="E449" t="s">
        <v>2194</v>
      </c>
      <c r="F449" t="s">
        <v>2252</v>
      </c>
      <c r="G449" t="s">
        <v>343</v>
      </c>
      <c r="H449" t="s">
        <v>621</v>
      </c>
      <c r="I449">
        <v>5708</v>
      </c>
      <c r="K449" t="s">
        <v>2934</v>
      </c>
      <c r="L449" t="str">
        <f t="shared" si="137"/>
        <v>"id":"s431",</v>
      </c>
      <c r="M449" t="str">
        <v>"cate":"MA-1",</v>
      </c>
      <c r="N449" t="str">
        <v>"des":"MA-1150472STG",</v>
      </c>
      <c r="O449" t="str">
        <v>"mfg":"MURATA MANUFACTURING",</v>
      </c>
      <c r="P449" t="str">
        <v>"pn":"GRM155R61E105KA12D",</v>
      </c>
      <c r="Q449" t="str">
        <v>"qty":5933</v>
      </c>
      <c r="S449" t="s">
        <v>2498</v>
      </c>
      <c r="T449" t="str">
        <f t="shared" si="138"/>
        <v>"id":"s431","cate":"MA-1","des":"MA-1150472STG","mfg":"MURATA MANUFACTURING","pn":"GRM155R61E105KA12D","qty":5933</v>
      </c>
      <c r="U449" t="s">
        <v>2503</v>
      </c>
    </row>
    <row r="450" spans="5:21" x14ac:dyDescent="0.25">
      <c r="E450" t="s">
        <v>2193</v>
      </c>
      <c r="F450" t="s">
        <v>622</v>
      </c>
      <c r="G450" t="s">
        <v>13</v>
      </c>
      <c r="H450" t="s">
        <v>623</v>
      </c>
      <c r="I450">
        <v>5667</v>
      </c>
      <c r="K450" t="s">
        <v>2935</v>
      </c>
      <c r="L450" t="str">
        <f t="shared" si="137"/>
        <v>"id":"s432",</v>
      </c>
      <c r="M450" t="str">
        <v>"cate":"MA-1",</v>
      </c>
      <c r="N450" t="str">
        <v>"des":"MA-1150472STG",</v>
      </c>
      <c r="O450" t="str">
        <v>"mfg":"SAMSUNG",</v>
      </c>
      <c r="P450" t="str">
        <v>"pn":"CL05A105KA5NQNC",</v>
      </c>
      <c r="Q450" t="str">
        <v>"qty":5933</v>
      </c>
      <c r="S450" t="s">
        <v>2498</v>
      </c>
      <c r="T450" t="str">
        <f t="shared" si="138"/>
        <v>"id":"s432","cate":"MA-1","des":"MA-1150472STG","mfg":"SAMSUNG","pn":"CL05A105KA5NQNC","qty":5933</v>
      </c>
      <c r="U450" t="s">
        <v>2503</v>
      </c>
    </row>
    <row r="451" spans="5:21" x14ac:dyDescent="0.25">
      <c r="E451" t="s">
        <v>2194</v>
      </c>
      <c r="F451" t="s">
        <v>2253</v>
      </c>
      <c r="G451" t="s">
        <v>64</v>
      </c>
      <c r="H451" t="s">
        <v>624</v>
      </c>
      <c r="I451">
        <v>5645</v>
      </c>
      <c r="K451" t="s">
        <v>2936</v>
      </c>
      <c r="L451" t="str">
        <f t="shared" si="137"/>
        <v>"id":"s433",</v>
      </c>
      <c r="M451" t="str">
        <v>"cate":"MA-1",</v>
      </c>
      <c r="N451" t="str">
        <v>"des":"MA-1150472STG",</v>
      </c>
      <c r="O451" t="str">
        <v>"mfg":"TDK",</v>
      </c>
      <c r="P451" t="str">
        <v>"pn":"C1005X5R1E105K050BE",</v>
      </c>
      <c r="Q451" t="str">
        <v>"qty":5933</v>
      </c>
      <c r="S451" t="s">
        <v>2498</v>
      </c>
      <c r="T451" t="str">
        <f t="shared" si="138"/>
        <v>"id":"s433","cate":"MA-1","des":"MA-1150472STG","mfg":"TDK","pn":"C1005X5R1E105K050BE","qty":5933</v>
      </c>
      <c r="U451" t="s">
        <v>2503</v>
      </c>
    </row>
    <row r="452" spans="5:21" x14ac:dyDescent="0.25">
      <c r="E452" t="s">
        <v>2194</v>
      </c>
      <c r="F452" t="s">
        <v>2253</v>
      </c>
      <c r="G452" t="s">
        <v>10</v>
      </c>
      <c r="H452" t="s">
        <v>625</v>
      </c>
      <c r="I452">
        <v>5645</v>
      </c>
      <c r="K452" t="s">
        <v>2937</v>
      </c>
      <c r="L452" t="str">
        <f t="shared" si="137"/>
        <v>"id":"s434",</v>
      </c>
      <c r="M452" t="str">
        <v>"cate":"Resistor ",</v>
      </c>
      <c r="N452" t="str">
        <v>"des":"RST 1,02K 1/8W 1%SM",</v>
      </c>
      <c r="O452" t="str">
        <v>"mfg":"YAGEO",</v>
      </c>
      <c r="P452" t="str">
        <v>"pn":"RC0805FR-071K02L",</v>
      </c>
      <c r="Q452" t="str">
        <v>"qty":5920</v>
      </c>
      <c r="S452" t="s">
        <v>2498</v>
      </c>
      <c r="T452" t="str">
        <f t="shared" si="138"/>
        <v>"id":"s434","cate":"Resistor ","des":"RST 1,02K 1/8W 1%SM","mfg":"YAGEO","pn":"RC0805FR-071K02L","qty":5920</v>
      </c>
      <c r="U452" t="s">
        <v>2503</v>
      </c>
    </row>
    <row r="453" spans="5:21" x14ac:dyDescent="0.25">
      <c r="E453" t="s">
        <v>2127</v>
      </c>
      <c r="F453" t="s">
        <v>626</v>
      </c>
      <c r="G453" t="s">
        <v>64</v>
      </c>
      <c r="H453" t="s">
        <v>627</v>
      </c>
      <c r="I453">
        <v>5639</v>
      </c>
      <c r="K453" t="s">
        <v>2938</v>
      </c>
      <c r="L453" t="str">
        <f t="shared" si="137"/>
        <v>"id":"s435",</v>
      </c>
      <c r="M453" t="str">
        <v>"cate":"Resistor ",</v>
      </c>
      <c r="N453" t="str">
        <v>"des":"RST 1,02K 1/8W 1%SM",</v>
      </c>
      <c r="O453" t="str">
        <v>"mfg":"VISHAY",</v>
      </c>
      <c r="P453" t="str">
        <v>"pn":"CRCW08051K02FKEA",</v>
      </c>
      <c r="Q453" t="str">
        <v>"qty":5920</v>
      </c>
      <c r="S453" t="s">
        <v>2498</v>
      </c>
      <c r="T453" t="str">
        <f t="shared" si="138"/>
        <v>"id":"s435","cate":"Resistor ","des":"RST 1,02K 1/8W 1%SM","mfg":"VISHAY","pn":"CRCW08051K02FKEA","qty":5920</v>
      </c>
      <c r="U453" t="s">
        <v>2503</v>
      </c>
    </row>
    <row r="454" spans="5:21" x14ac:dyDescent="0.25">
      <c r="E454" t="s">
        <v>2126</v>
      </c>
      <c r="F454" t="s">
        <v>628</v>
      </c>
      <c r="G454" t="s">
        <v>507</v>
      </c>
      <c r="H454" t="s">
        <v>629</v>
      </c>
      <c r="I454">
        <v>5594</v>
      </c>
      <c r="K454" t="s">
        <v>2939</v>
      </c>
      <c r="L454" t="str">
        <f t="shared" si="137"/>
        <v>"id":"s436",</v>
      </c>
      <c r="M454" t="str">
        <v>"cate":"Resistor ",</v>
      </c>
      <c r="N454" t="str">
        <v>"des":"RST 1,02K 1/8W 1%SM",</v>
      </c>
      <c r="O454" t="str">
        <v>"mfg":"EVER OHMS",</v>
      </c>
      <c r="P454" t="str">
        <v>"pn":"CHIP08051.02KF",</v>
      </c>
      <c r="Q454" t="str">
        <v>"qty":5920</v>
      </c>
      <c r="S454" t="s">
        <v>2498</v>
      </c>
      <c r="T454" t="str">
        <f t="shared" si="138"/>
        <v>"id":"s436","cate":"Resistor ","des":"RST 1,02K 1/8W 1%SM","mfg":"EVER OHMS","pn":"CHIP08051.02KF","qty":5920</v>
      </c>
      <c r="U454" t="s">
        <v>2503</v>
      </c>
    </row>
    <row r="455" spans="5:21" x14ac:dyDescent="0.25">
      <c r="E455" t="s">
        <v>2394</v>
      </c>
      <c r="F455" t="s">
        <v>2400</v>
      </c>
      <c r="G455" t="s">
        <v>184</v>
      </c>
      <c r="H455" t="s">
        <v>630</v>
      </c>
      <c r="I455">
        <v>5534</v>
      </c>
      <c r="K455" t="s">
        <v>2940</v>
      </c>
      <c r="L455" t="str">
        <f t="shared" si="137"/>
        <v>"id":"s437",</v>
      </c>
      <c r="M455" t="str">
        <v>"cate":"Resistor ",</v>
      </c>
      <c r="N455" t="str">
        <v>"des":"RST 1,02K 1/8W 1%SM",</v>
      </c>
      <c r="O455" t="str">
        <v>"mfg":"WALSIN",</v>
      </c>
      <c r="P455" t="str">
        <v>"pn":"WR08X1021FTL",</v>
      </c>
      <c r="Q455" t="str">
        <v>"qty":5920</v>
      </c>
      <c r="S455" t="s">
        <v>2498</v>
      </c>
      <c r="T455" t="str">
        <f t="shared" si="138"/>
        <v>"id":"s437","cate":"Resistor ","des":"RST 1,02K 1/8W 1%SM","mfg":"WALSIN","pn":"WR08X1021FTL","qty":5920</v>
      </c>
      <c r="U455" t="s">
        <v>2503</v>
      </c>
    </row>
    <row r="456" spans="5:21" x14ac:dyDescent="0.25">
      <c r="E456" t="s">
        <v>2405</v>
      </c>
      <c r="F456" t="s">
        <v>2420</v>
      </c>
      <c r="G456" t="s">
        <v>37</v>
      </c>
      <c r="H456" t="s">
        <v>631</v>
      </c>
      <c r="I456">
        <v>5508</v>
      </c>
      <c r="K456" t="s">
        <v>2941</v>
      </c>
      <c r="L456" t="str">
        <f t="shared" si="137"/>
        <v>"id":"s438",</v>
      </c>
      <c r="M456" t="str">
        <v>"cate":"FUSE",</v>
      </c>
      <c r="N456" t="str">
        <v>"des":"FUSE 1,50A 125V SMD",</v>
      </c>
      <c r="O456" t="str">
        <v>"mfg":"LITTELFUSE",</v>
      </c>
      <c r="P456" t="str">
        <v>"pn":"045101.5 MRL",</v>
      </c>
      <c r="Q456" t="str">
        <v>"qty":5914</v>
      </c>
      <c r="S456" t="s">
        <v>2498</v>
      </c>
      <c r="T456" t="str">
        <f t="shared" si="138"/>
        <v>"id":"s438","cate":"FUSE","des":"FUSE 1,50A 125V SMD","mfg":"LITTELFUSE","pn":"045101.5 MRL","qty":5914</v>
      </c>
      <c r="U456" t="s">
        <v>2503</v>
      </c>
    </row>
    <row r="457" spans="5:21" x14ac:dyDescent="0.25">
      <c r="E457" t="s">
        <v>2405</v>
      </c>
      <c r="F457" t="s">
        <v>2420</v>
      </c>
      <c r="G457" t="s">
        <v>37</v>
      </c>
      <c r="H457" t="s">
        <v>632</v>
      </c>
      <c r="I457">
        <v>5508</v>
      </c>
      <c r="K457" t="s">
        <v>2942</v>
      </c>
      <c r="L457" t="str">
        <f t="shared" si="137"/>
        <v>"id":"s439",</v>
      </c>
      <c r="M457" t="str">
        <v>"cate":"FUSE",</v>
      </c>
      <c r="N457" t="str">
        <v>"des":"FUSE 1,50A 125V SMD",</v>
      </c>
      <c r="O457" t="str">
        <v>"mfg":"LITTELFUSE",</v>
      </c>
      <c r="P457" t="str">
        <v>"pn":"045101.5MRL",</v>
      </c>
      <c r="Q457" t="str">
        <v>"qty":5914</v>
      </c>
      <c r="S457" t="s">
        <v>2498</v>
      </c>
      <c r="T457" t="str">
        <f t="shared" si="138"/>
        <v>"id":"s439","cate":"FUSE","des":"FUSE 1,50A 125V SMD","mfg":"LITTELFUSE","pn":"045101.5MRL","qty":5914</v>
      </c>
      <c r="U457" t="s">
        <v>2503</v>
      </c>
    </row>
    <row r="458" spans="5:21" x14ac:dyDescent="0.25">
      <c r="E458" t="s">
        <v>2405</v>
      </c>
      <c r="F458" t="s">
        <v>2420</v>
      </c>
      <c r="G458" t="s">
        <v>297</v>
      </c>
      <c r="H458" t="s">
        <v>633</v>
      </c>
      <c r="I458">
        <v>5508</v>
      </c>
      <c r="K458" t="s">
        <v>2943</v>
      </c>
      <c r="L458" t="str">
        <f t="shared" si="137"/>
        <v>"id":"s440",</v>
      </c>
      <c r="M458" t="str">
        <v>"cate":"MA-1",</v>
      </c>
      <c r="N458" t="str">
        <v>"des":"MA-1121145STG",</v>
      </c>
      <c r="O458" t="str">
        <v>"mfg":"YAGEO",</v>
      </c>
      <c r="P458" t="str">
        <v>"pn":"RC0402FR-0715RL",</v>
      </c>
      <c r="Q458" t="str">
        <v>"qty":5870</v>
      </c>
      <c r="S458" t="s">
        <v>2498</v>
      </c>
      <c r="T458" t="str">
        <f t="shared" si="138"/>
        <v>"id":"s440","cate":"MA-1","des":"MA-1121145STG","mfg":"YAGEO","pn":"RC0402FR-0715RL","qty":5870</v>
      </c>
      <c r="U458" t="s">
        <v>2503</v>
      </c>
    </row>
    <row r="459" spans="5:21" x14ac:dyDescent="0.25">
      <c r="E459" t="s">
        <v>2405</v>
      </c>
      <c r="F459" t="s">
        <v>2420</v>
      </c>
      <c r="G459" t="s">
        <v>297</v>
      </c>
      <c r="H459" t="s">
        <v>634</v>
      </c>
      <c r="I459">
        <v>5508</v>
      </c>
      <c r="K459" t="s">
        <v>2944</v>
      </c>
      <c r="L459" t="str">
        <f t="shared" si="137"/>
        <v>"id":"s441",</v>
      </c>
      <c r="M459" t="str">
        <v>"cate":"MA-1",</v>
      </c>
      <c r="N459" t="str">
        <v>"des":"MA-1121145STG",</v>
      </c>
      <c r="O459" t="str">
        <v>"mfg":"ROYAL OHM",</v>
      </c>
      <c r="P459" t="str">
        <v>"pn":"0402WGF150JTCE",</v>
      </c>
      <c r="Q459" t="str">
        <v>"qty":5870</v>
      </c>
      <c r="S459" t="s">
        <v>2498</v>
      </c>
      <c r="T459" t="str">
        <f t="shared" si="138"/>
        <v>"id":"s441","cate":"MA-1","des":"MA-1121145STG","mfg":"ROYAL OHM","pn":"0402WGF150JTCE","qty":5870</v>
      </c>
      <c r="U459" t="s">
        <v>2503</v>
      </c>
    </row>
    <row r="460" spans="5:21" x14ac:dyDescent="0.25">
      <c r="E460" t="s">
        <v>2405</v>
      </c>
      <c r="F460" t="s">
        <v>2420</v>
      </c>
      <c r="G460" t="s">
        <v>297</v>
      </c>
      <c r="H460" t="s">
        <v>635</v>
      </c>
      <c r="I460">
        <v>5508</v>
      </c>
      <c r="K460" t="s">
        <v>2945</v>
      </c>
      <c r="L460" t="str">
        <f t="shared" si="137"/>
        <v>"id":"s442",</v>
      </c>
      <c r="M460" t="str">
        <v>"cate":"Resistor ",</v>
      </c>
      <c r="N460" t="str">
        <v>"des":"RST 3,32K 1/8W1%805",</v>
      </c>
      <c r="O460" t="str">
        <v>"mfg":"YAGEO",</v>
      </c>
      <c r="P460" t="str">
        <v>"pn":"RC0805FR-073K32L",</v>
      </c>
      <c r="Q460" t="str">
        <v>"qty":5832</v>
      </c>
      <c r="S460" t="s">
        <v>2498</v>
      </c>
      <c r="T460" t="str">
        <f t="shared" si="138"/>
        <v>"id":"s442","cate":"Resistor ","des":"RST 3,32K 1/8W1%805","mfg":"YAGEO","pn":"RC0805FR-073K32L","qty":5832</v>
      </c>
      <c r="U460" t="s">
        <v>2503</v>
      </c>
    </row>
    <row r="461" spans="5:21" x14ac:dyDescent="0.25">
      <c r="E461" t="s">
        <v>2405</v>
      </c>
      <c r="F461" t="s">
        <v>2420</v>
      </c>
      <c r="G461" t="s">
        <v>636</v>
      </c>
      <c r="H461" t="s">
        <v>634</v>
      </c>
      <c r="I461">
        <v>5508</v>
      </c>
      <c r="K461" t="s">
        <v>2946</v>
      </c>
      <c r="L461" t="str">
        <f t="shared" si="137"/>
        <v>"id":"s443",</v>
      </c>
      <c r="M461" t="str">
        <v>"cate":"Capacitor",</v>
      </c>
      <c r="N461" t="str">
        <v>"des":"Capacitor 0,9PF/50V 0402",</v>
      </c>
      <c r="O461" t="str">
        <v>"mfg":"MURATA MANUFACTURING",</v>
      </c>
      <c r="P461" t="str">
        <v>"pn":"GJM1555C1HR90WB01D",</v>
      </c>
      <c r="Q461" t="str">
        <v>"qty":5708</v>
      </c>
      <c r="S461" t="s">
        <v>2498</v>
      </c>
      <c r="T461" t="str">
        <f t="shared" si="138"/>
        <v>"id":"s443","cate":"Capacitor","des":"Capacitor 0,9PF/50V 0402","mfg":"MURATA MANUFACTURING","pn":"GJM1555C1HR90WB01D","qty":5708</v>
      </c>
      <c r="U461" t="s">
        <v>2503</v>
      </c>
    </row>
    <row r="462" spans="5:21" x14ac:dyDescent="0.25">
      <c r="E462" t="s">
        <v>2405</v>
      </c>
      <c r="F462" t="s">
        <v>2420</v>
      </c>
      <c r="G462" t="s">
        <v>637</v>
      </c>
      <c r="H462" t="s">
        <v>635</v>
      </c>
      <c r="I462">
        <v>5508</v>
      </c>
      <c r="K462" t="s">
        <v>2947</v>
      </c>
      <c r="L462" t="str">
        <f t="shared" si="137"/>
        <v>"id":"s444",</v>
      </c>
      <c r="M462" t="str">
        <v>"cate":"Capacitor",</v>
      </c>
      <c r="N462" t="str">
        <v>"des":"Capacitor 0,9PF/50V 0402",</v>
      </c>
      <c r="O462" t="str">
        <v>"mfg":"JOHANSON",</v>
      </c>
      <c r="P462" t="str">
        <v>"pn":"500R07S0R9AV4T",</v>
      </c>
      <c r="Q462" t="str">
        <v>"qty":5708</v>
      </c>
      <c r="S462" t="s">
        <v>2498</v>
      </c>
      <c r="T462" t="str">
        <f t="shared" si="138"/>
        <v>"id":"s444","cate":"Capacitor","des":"Capacitor 0,9PF/50V 0402","mfg":"JOHANSON","pn":"500R07S0R9AV4T","qty":5708</v>
      </c>
      <c r="U462" t="s">
        <v>2503</v>
      </c>
    </row>
    <row r="463" spans="5:21" x14ac:dyDescent="0.25">
      <c r="E463" t="s">
        <v>2193</v>
      </c>
      <c r="F463" t="s">
        <v>638</v>
      </c>
      <c r="G463" t="s">
        <v>13</v>
      </c>
      <c r="H463" t="s">
        <v>639</v>
      </c>
      <c r="I463">
        <v>5454</v>
      </c>
      <c r="K463" t="s">
        <v>2948</v>
      </c>
      <c r="L463" t="str">
        <f t="shared" si="137"/>
        <v>"id":"s445",</v>
      </c>
      <c r="M463" t="str">
        <v>"cate":"Resistor ",</v>
      </c>
      <c r="N463" t="str">
        <v>"des":"RST 2K2 0,1W 5%0603",</v>
      </c>
      <c r="O463" t="str">
        <v>"mfg":"YAGEO",</v>
      </c>
      <c r="P463" t="str">
        <v>"pn":"RC0603JR-072K2L",</v>
      </c>
      <c r="Q463" t="str">
        <v>"qty":5667</v>
      </c>
      <c r="S463" t="s">
        <v>2498</v>
      </c>
      <c r="T463" t="str">
        <f t="shared" si="138"/>
        <v>"id":"s445","cate":"Resistor ","des":"RST 2K2 0,1W 5%0603","mfg":"YAGEO","pn":"RC0603JR-072K2L","qty":5667</v>
      </c>
      <c r="U463" t="s">
        <v>2503</v>
      </c>
    </row>
    <row r="464" spans="5:21" x14ac:dyDescent="0.25">
      <c r="E464" t="s">
        <v>2193</v>
      </c>
      <c r="F464" t="s">
        <v>640</v>
      </c>
      <c r="G464" t="s">
        <v>13</v>
      </c>
      <c r="H464" t="s">
        <v>641</v>
      </c>
      <c r="I464">
        <v>5416</v>
      </c>
      <c r="K464" t="s">
        <v>2949</v>
      </c>
      <c r="L464" t="str">
        <f t="shared" si="137"/>
        <v>"id":"s446",</v>
      </c>
      <c r="M464" t="str">
        <v>"cate":"Capacitor",</v>
      </c>
      <c r="N464" t="str">
        <v>"des":"Capacitor 1NF/100V 0402",</v>
      </c>
      <c r="O464" t="str">
        <v>"mfg":"MURATA MANUFACTURING",</v>
      </c>
      <c r="P464" t="str">
        <v>"pn":"GCM155R72A102KA37D",</v>
      </c>
      <c r="Q464" t="str">
        <v>"qty":5645</v>
      </c>
      <c r="S464" t="s">
        <v>2498</v>
      </c>
      <c r="T464" t="str">
        <f t="shared" si="138"/>
        <v>"id":"s446","cate":"Capacitor","des":"Capacitor 1NF/100V 0402","mfg":"MURATA MANUFACTURING","pn":"GCM155R72A102KA37D","qty":5645</v>
      </c>
      <c r="U464" t="s">
        <v>2503</v>
      </c>
    </row>
    <row r="465" spans="5:21" x14ac:dyDescent="0.25">
      <c r="E465" t="s">
        <v>2193</v>
      </c>
      <c r="F465" t="s">
        <v>642</v>
      </c>
      <c r="G465" t="s">
        <v>13</v>
      </c>
      <c r="H465" t="s">
        <v>643</v>
      </c>
      <c r="I465">
        <v>5406</v>
      </c>
      <c r="K465" t="s">
        <v>2950</v>
      </c>
      <c r="L465" t="str">
        <f t="shared" si="137"/>
        <v>"id":"s447",</v>
      </c>
      <c r="M465" t="str">
        <v>"cate":"Capacitor",</v>
      </c>
      <c r="N465" t="str">
        <v>"des":"Capacitor 1NF/100V 0402",</v>
      </c>
      <c r="O465" t="str">
        <v>"mfg":"WALSIN",</v>
      </c>
      <c r="P465" t="str">
        <v>"pn":"0402B102K101CT",</v>
      </c>
      <c r="Q465" t="str">
        <v>"qty":5645</v>
      </c>
      <c r="S465" t="s">
        <v>2498</v>
      </c>
      <c r="T465" t="str">
        <f t="shared" si="138"/>
        <v>"id":"s447","cate":"Capacitor","des":"Capacitor 1NF/100V 0402","mfg":"WALSIN","pn":"0402B102K101CT","qty":5645</v>
      </c>
      <c r="U465" t="s">
        <v>2503</v>
      </c>
    </row>
    <row r="466" spans="5:21" x14ac:dyDescent="0.25">
      <c r="E466" s="6" t="s">
        <v>2382</v>
      </c>
      <c r="F466" t="s">
        <v>644</v>
      </c>
      <c r="G466" t="s">
        <v>542</v>
      </c>
      <c r="H466" t="s">
        <v>645</v>
      </c>
      <c r="I466">
        <v>5393</v>
      </c>
      <c r="K466" t="s">
        <v>2951</v>
      </c>
      <c r="L466" t="str">
        <f t="shared" si="137"/>
        <v>"id":"s448",</v>
      </c>
      <c r="M466" t="str">
        <v>"cate":"IND ",</v>
      </c>
      <c r="N466" t="str">
        <v>"des":"IND 10NH 0,5A SMD",</v>
      </c>
      <c r="O466" t="str">
        <v>"mfg":"MURATA MANUFACTURING",</v>
      </c>
      <c r="P466" t="str">
        <v>"pn":"LQG15WZ10NJ02D",</v>
      </c>
      <c r="Q466" t="str">
        <v>"qty":5639</v>
      </c>
      <c r="S466" t="s">
        <v>2498</v>
      </c>
      <c r="T466" t="str">
        <f t="shared" si="138"/>
        <v>"id":"s448","cate":"IND ","des":"IND 10NH 0,5A SMD","mfg":"MURATA MANUFACTURING","pn":"LQG15WZ10NJ02D","qty":5639</v>
      </c>
      <c r="U466" t="s">
        <v>2503</v>
      </c>
    </row>
    <row r="467" spans="5:21" x14ac:dyDescent="0.25">
      <c r="E467" t="s">
        <v>2193</v>
      </c>
      <c r="F467" t="s">
        <v>646</v>
      </c>
      <c r="G467" t="s">
        <v>176</v>
      </c>
      <c r="H467" t="s">
        <v>647</v>
      </c>
      <c r="I467">
        <v>5372</v>
      </c>
      <c r="K467" t="s">
        <v>2952</v>
      </c>
      <c r="L467" t="str">
        <f t="shared" si="137"/>
        <v>"id":"s449",</v>
      </c>
      <c r="M467" t="str">
        <v>"cate":"FUSE",</v>
      </c>
      <c r="N467" t="str">
        <v>"des":"FUSE 0,50A 600V",</v>
      </c>
      <c r="O467" t="str">
        <v>"mfg":"EATON",</v>
      </c>
      <c r="P467" t="str">
        <v>"pn":"FNQ-R-1/2",</v>
      </c>
      <c r="Q467" t="str">
        <v>"qty":5594</v>
      </c>
      <c r="S467" t="s">
        <v>2498</v>
      </c>
      <c r="T467" t="str">
        <f t="shared" si="138"/>
        <v>"id":"s449","cate":"FUSE","des":"FUSE 0,50A 600V","mfg":"EATON","pn":"FNQ-R-1/2","qty":5594</v>
      </c>
      <c r="U467" t="s">
        <v>2503</v>
      </c>
    </row>
    <row r="468" spans="5:21" x14ac:dyDescent="0.25">
      <c r="E468" t="s">
        <v>2193</v>
      </c>
      <c r="F468" t="s">
        <v>646</v>
      </c>
      <c r="G468" t="s">
        <v>320</v>
      </c>
      <c r="H468" t="s">
        <v>648</v>
      </c>
      <c r="I468">
        <v>5372</v>
      </c>
      <c r="K468" t="s">
        <v>2953</v>
      </c>
      <c r="L468" t="str">
        <f t="shared" ref="L468:L531" si="139">_xlfn.CONCAT("""","id","""",":","""",K468,"""",",")</f>
        <v>"id":"s450",</v>
      </c>
      <c r="M468" t="str">
        <v>"cate":"Choke Coil",</v>
      </c>
      <c r="N468" t="str">
        <v>"des":"Choke CoilE SMD 90 OHM",</v>
      </c>
      <c r="O468" t="str">
        <v>"mfg":"WURTH ELEKTRONIK",</v>
      </c>
      <c r="P468" t="str">
        <v>"pn":"744 231 091",</v>
      </c>
      <c r="Q468" t="str">
        <v>"qty":5534</v>
      </c>
      <c r="S468" t="s">
        <v>2498</v>
      </c>
      <c r="T468" t="str">
        <f t="shared" ref="T468:T531" si="140">_xlfn.CONCAT(L468:Q468)</f>
        <v>"id":"s450","cate":"Choke Coil","des":"Choke CoilE SMD 90 OHM","mfg":"WURTH ELEKTRONIK","pn":"744 231 091","qty":5534</v>
      </c>
      <c r="U468" t="s">
        <v>2503</v>
      </c>
    </row>
    <row r="469" spans="5:21" x14ac:dyDescent="0.25">
      <c r="E469" t="s">
        <v>2193</v>
      </c>
      <c r="F469" t="s">
        <v>646</v>
      </c>
      <c r="G469" t="s">
        <v>207</v>
      </c>
      <c r="H469" t="s">
        <v>649</v>
      </c>
      <c r="I469">
        <v>5372</v>
      </c>
      <c r="K469" t="s">
        <v>2954</v>
      </c>
      <c r="L469" t="str">
        <f t="shared" si="139"/>
        <v>"id":"s451",</v>
      </c>
      <c r="M469" t="str">
        <v>"cate":"Diode",</v>
      </c>
      <c r="N469" t="str">
        <v>"des":"DiodeE BDG 2A 200V",</v>
      </c>
      <c r="O469" t="str">
        <v>"mfg":"VISHAY",</v>
      </c>
      <c r="P469" t="str">
        <v>"pn":"DF02S-E3",</v>
      </c>
      <c r="Q469" t="str">
        <v>"qty":5508</v>
      </c>
      <c r="S469" t="s">
        <v>2498</v>
      </c>
      <c r="T469" t="str">
        <f t="shared" si="140"/>
        <v>"id":"s451","cate":"Diode","des":"DiodeE BDG 2A 200V","mfg":"VISHAY","pn":"DF02S-E3","qty":5508</v>
      </c>
      <c r="U469" t="s">
        <v>2503</v>
      </c>
    </row>
    <row r="470" spans="5:21" x14ac:dyDescent="0.25">
      <c r="E470" t="s">
        <v>2145</v>
      </c>
      <c r="F470" t="s">
        <v>650</v>
      </c>
      <c r="G470" t="s">
        <v>651</v>
      </c>
      <c r="H470" t="s">
        <v>652</v>
      </c>
      <c r="I470">
        <v>5360</v>
      </c>
      <c r="K470" t="s">
        <v>2955</v>
      </c>
      <c r="L470" t="str">
        <f t="shared" si="139"/>
        <v>"id":"s452",</v>
      </c>
      <c r="M470" t="str">
        <v>"cate":"Diode",</v>
      </c>
      <c r="N470" t="str">
        <v>"des":"DiodeE BDG 2A 200V",</v>
      </c>
      <c r="O470" t="str">
        <v>"mfg":"VISHAY",</v>
      </c>
      <c r="P470" t="str">
        <v>"pn":"DF02S-E3/77",</v>
      </c>
      <c r="Q470" t="str">
        <v>"qty":5508</v>
      </c>
      <c r="S470" t="s">
        <v>2498</v>
      </c>
      <c r="T470" t="str">
        <f t="shared" si="140"/>
        <v>"id":"s452","cate":"Diode","des":"DiodeE BDG 2A 200V","mfg":"VISHAY","pn":"DF02S-E3/77","qty":5508</v>
      </c>
      <c r="U470" t="s">
        <v>2503</v>
      </c>
    </row>
    <row r="471" spans="5:21" x14ac:dyDescent="0.25">
      <c r="E471" t="s">
        <v>2145</v>
      </c>
      <c r="F471" t="s">
        <v>650</v>
      </c>
      <c r="G471" t="s">
        <v>653</v>
      </c>
      <c r="H471" t="s">
        <v>650</v>
      </c>
      <c r="I471">
        <v>5360</v>
      </c>
      <c r="K471" t="s">
        <v>2956</v>
      </c>
      <c r="L471" t="str">
        <f t="shared" si="139"/>
        <v>"id":"s453",</v>
      </c>
      <c r="M471" t="str">
        <v>"cate":"Diode",</v>
      </c>
      <c r="N471" t="str">
        <v>"des":"DiodeE BDG 2A 200V",</v>
      </c>
      <c r="O471" t="str">
        <v>"mfg":"TAIWAN SEMICONDUCTOR",</v>
      </c>
      <c r="P471" t="str">
        <v>"pn":"DBLS203G",</v>
      </c>
      <c r="Q471" t="str">
        <v>"qty":5508</v>
      </c>
      <c r="S471" t="s">
        <v>2498</v>
      </c>
      <c r="T471" t="str">
        <f t="shared" si="140"/>
        <v>"id":"s453","cate":"Diode","des":"DiodeE BDG 2A 200V","mfg":"TAIWAN SEMICONDUCTOR","pn":"DBLS203G","qty":5508</v>
      </c>
      <c r="U471" t="s">
        <v>2503</v>
      </c>
    </row>
    <row r="472" spans="5:21" x14ac:dyDescent="0.25">
      <c r="E472" t="s">
        <v>2133</v>
      </c>
      <c r="F472" t="s">
        <v>654</v>
      </c>
      <c r="G472" t="s">
        <v>202</v>
      </c>
      <c r="H472" t="s">
        <v>655</v>
      </c>
      <c r="I472">
        <v>5330</v>
      </c>
      <c r="K472" t="s">
        <v>2957</v>
      </c>
      <c r="L472" t="str">
        <f t="shared" si="139"/>
        <v>"id":"s454",</v>
      </c>
      <c r="M472" t="str">
        <v>"cate":"Diode",</v>
      </c>
      <c r="N472" t="str">
        <v>"des":"DiodeE BDG 2A 200V",</v>
      </c>
      <c r="O472" t="str">
        <v>"mfg":"TAIWAN SEMICONDUCTOR",</v>
      </c>
      <c r="P472" t="str">
        <v>"pn":"DBLS203G RD",</v>
      </c>
      <c r="Q472" t="str">
        <v>"qty":5508</v>
      </c>
      <c r="S472" t="s">
        <v>2498</v>
      </c>
      <c r="T472" t="str">
        <f t="shared" si="140"/>
        <v>"id":"s454","cate":"Diode","des":"DiodeE BDG 2A 200V","mfg":"TAIWAN SEMICONDUCTOR","pn":"DBLS203G RD","qty":5508</v>
      </c>
      <c r="U472" t="s">
        <v>2503</v>
      </c>
    </row>
    <row r="473" spans="5:21" x14ac:dyDescent="0.25">
      <c r="E473" t="s">
        <v>2405</v>
      </c>
      <c r="F473" t="s">
        <v>2421</v>
      </c>
      <c r="G473" t="s">
        <v>521</v>
      </c>
      <c r="H473" t="s">
        <v>656</v>
      </c>
      <c r="I473">
        <v>5270</v>
      </c>
      <c r="K473" t="s">
        <v>2958</v>
      </c>
      <c r="L473" t="str">
        <f t="shared" si="139"/>
        <v>"id":"s455",</v>
      </c>
      <c r="M473" t="str">
        <v>"cate":"Diode",</v>
      </c>
      <c r="N473" t="str">
        <v>"des":"DiodeE BDG 2A 200V",</v>
      </c>
      <c r="O473" t="str">
        <v>"mfg":"TAIWAN SEMICONDUCTOR",</v>
      </c>
      <c r="P473" t="str">
        <v>"pn":"DBLS203G RDG",</v>
      </c>
      <c r="Q473" t="str">
        <v>"qty":5508</v>
      </c>
      <c r="S473" t="s">
        <v>2498</v>
      </c>
      <c r="T473" t="str">
        <f t="shared" si="140"/>
        <v>"id":"s455","cate":"Diode","des":"DiodeE BDG 2A 200V","mfg":"TAIWAN SEMICONDUCTOR","pn":"DBLS203G RDG","qty":5508</v>
      </c>
      <c r="U473" t="s">
        <v>2503</v>
      </c>
    </row>
    <row r="474" spans="5:21" x14ac:dyDescent="0.25">
      <c r="E474" t="s">
        <v>2193</v>
      </c>
      <c r="F474" t="s">
        <v>657</v>
      </c>
      <c r="G474" t="s">
        <v>13</v>
      </c>
      <c r="H474" t="s">
        <v>658</v>
      </c>
      <c r="I474">
        <v>5260</v>
      </c>
      <c r="K474" t="s">
        <v>2959</v>
      </c>
      <c r="L474" t="str">
        <f t="shared" si="139"/>
        <v>"id":"s456",</v>
      </c>
      <c r="M474" t="str">
        <v>"cate":"Diode",</v>
      </c>
      <c r="N474" t="str">
        <v>"des":"DiodeE BDG 2A 200V",</v>
      </c>
      <c r="O474" t="str">
        <v>"mfg":"TAIWAN SEMICONDUCTOR2",</v>
      </c>
      <c r="P474" t="str">
        <v>"pn":"DBLS203G RD",</v>
      </c>
      <c r="Q474" t="str">
        <v>"qty":5508</v>
      </c>
      <c r="S474" t="s">
        <v>2498</v>
      </c>
      <c r="T474" t="str">
        <f t="shared" si="140"/>
        <v>"id":"s456","cate":"Diode","des":"DiodeE BDG 2A 200V","mfg":"TAIWAN SEMICONDUCTOR2","pn":"DBLS203G RD","qty":5508</v>
      </c>
      <c r="U474" t="s">
        <v>2503</v>
      </c>
    </row>
    <row r="475" spans="5:21" x14ac:dyDescent="0.25">
      <c r="E475" t="s">
        <v>2193</v>
      </c>
      <c r="F475" t="s">
        <v>659</v>
      </c>
      <c r="G475" t="s">
        <v>89</v>
      </c>
      <c r="H475" t="s">
        <v>660</v>
      </c>
      <c r="I475">
        <v>5259</v>
      </c>
      <c r="K475" t="s">
        <v>2960</v>
      </c>
      <c r="L475" t="str">
        <f t="shared" si="139"/>
        <v>"id":"s457",</v>
      </c>
      <c r="M475" t="str">
        <v>"cate":"Diode",</v>
      </c>
      <c r="N475" t="str">
        <v>"des":"DiodeE BDG 2A 200V",</v>
      </c>
      <c r="O475" t="str">
        <v>"mfg":"TAIWAN SEMICONDUCTOR3",</v>
      </c>
      <c r="P475" t="str">
        <v>"pn":"DBLS203G RDG",</v>
      </c>
      <c r="Q475" t="str">
        <v>"qty":5508</v>
      </c>
      <c r="S475" t="s">
        <v>2498</v>
      </c>
      <c r="T475" t="str">
        <f t="shared" si="140"/>
        <v>"id":"s457","cate":"Diode","des":"DiodeE BDG 2A 200V","mfg":"TAIWAN SEMICONDUCTOR3","pn":"DBLS203G RDG","qty":5508</v>
      </c>
      <c r="U475" t="s">
        <v>2503</v>
      </c>
    </row>
    <row r="476" spans="5:21" x14ac:dyDescent="0.25">
      <c r="E476" t="s">
        <v>2193</v>
      </c>
      <c r="F476" t="s">
        <v>659</v>
      </c>
      <c r="G476" t="s">
        <v>89</v>
      </c>
      <c r="H476" t="s">
        <v>661</v>
      </c>
      <c r="I476">
        <v>5259</v>
      </c>
      <c r="K476" t="s">
        <v>2961</v>
      </c>
      <c r="L476" t="str">
        <f t="shared" si="139"/>
        <v>"id":"s458",</v>
      </c>
      <c r="M476" t="str">
        <v>"cate":"Resistor ",</v>
      </c>
      <c r="N476" t="str">
        <v>"des":"RST 3K65 0,1W1%0603",</v>
      </c>
      <c r="O476" t="str">
        <v>"mfg":"YAGEO",</v>
      </c>
      <c r="P476" t="str">
        <v>"pn":"RC0603FR-073K65L",</v>
      </c>
      <c r="Q476" t="str">
        <v>"qty":5454</v>
      </c>
      <c r="S476" t="s">
        <v>2498</v>
      </c>
      <c r="T476" t="str">
        <f t="shared" si="140"/>
        <v>"id":"s458","cate":"Resistor ","des":"RST 3K65 0,1W1%0603","mfg":"YAGEO","pn":"RC0603FR-073K65L","qty":5454</v>
      </c>
      <c r="U476" t="s">
        <v>2503</v>
      </c>
    </row>
    <row r="477" spans="5:21" x14ac:dyDescent="0.25">
      <c r="E477" t="s">
        <v>2130</v>
      </c>
      <c r="F477" t="s">
        <v>662</v>
      </c>
      <c r="G477" t="s">
        <v>235</v>
      </c>
      <c r="H477" t="s">
        <v>663</v>
      </c>
      <c r="I477">
        <v>5226</v>
      </c>
      <c r="K477" t="s">
        <v>2962</v>
      </c>
      <c r="L477" t="str">
        <f t="shared" si="139"/>
        <v>"id":"s459",</v>
      </c>
      <c r="M477" t="str">
        <v>"cate":"Resistor ",</v>
      </c>
      <c r="N477" t="str">
        <v>"des":"RST 5K11 0,1W1%0603",</v>
      </c>
      <c r="O477" t="str">
        <v>"mfg":"YAGEO",</v>
      </c>
      <c r="P477" t="str">
        <v>"pn":"RC0603FR-075K11L",</v>
      </c>
      <c r="Q477" t="str">
        <v>"qty":5416</v>
      </c>
      <c r="S477" t="s">
        <v>2498</v>
      </c>
      <c r="T477" t="str">
        <f t="shared" si="140"/>
        <v>"id":"s459","cate":"Resistor ","des":"RST 5K11 0,1W1%0603","mfg":"YAGEO","pn":"RC0603FR-075K11L","qty":5416</v>
      </c>
      <c r="U477" t="s">
        <v>2503</v>
      </c>
    </row>
    <row r="478" spans="5:21" x14ac:dyDescent="0.25">
      <c r="E478" t="s">
        <v>2193</v>
      </c>
      <c r="F478" t="s">
        <v>664</v>
      </c>
      <c r="G478" t="s">
        <v>13</v>
      </c>
      <c r="H478" t="s">
        <v>665</v>
      </c>
      <c r="I478">
        <v>5225</v>
      </c>
      <c r="K478" t="s">
        <v>2963</v>
      </c>
      <c r="L478" t="str">
        <f t="shared" si="139"/>
        <v>"id":"s460",</v>
      </c>
      <c r="M478" t="str">
        <v>"cate":"Resistor ",</v>
      </c>
      <c r="N478" t="str">
        <v>"des":"RST 182K 0,1W1%0603",</v>
      </c>
      <c r="O478" t="str">
        <v>"mfg":"YAGEO",</v>
      </c>
      <c r="P478" t="str">
        <v>"pn":"RC0603FR-07182KL",</v>
      </c>
      <c r="Q478" t="str">
        <v>"qty":5406</v>
      </c>
      <c r="S478" t="s">
        <v>2498</v>
      </c>
      <c r="T478" t="str">
        <f t="shared" si="140"/>
        <v>"id":"s460","cate":"Resistor ","des":"RST 182K 0,1W1%0603","mfg":"YAGEO","pn":"RC0603FR-07182KL","qty":5406</v>
      </c>
      <c r="U478" t="s">
        <v>2503</v>
      </c>
    </row>
    <row r="479" spans="5:21" x14ac:dyDescent="0.25">
      <c r="E479" t="s">
        <v>2193</v>
      </c>
      <c r="F479" t="s">
        <v>664</v>
      </c>
      <c r="G479" t="s">
        <v>37</v>
      </c>
      <c r="H479" t="s">
        <v>666</v>
      </c>
      <c r="I479">
        <v>5225</v>
      </c>
      <c r="K479" t="s">
        <v>2964</v>
      </c>
      <c r="L479" t="str">
        <f t="shared" si="139"/>
        <v>"id":"s461",</v>
      </c>
      <c r="M479" t="str">
        <v>"cate":"IC",</v>
      </c>
      <c r="N479" t="str">
        <v>"des":"IC MIC2039AY",</v>
      </c>
      <c r="O479" t="str">
        <v>"mfg":"MICROCHIP",</v>
      </c>
      <c r="P479" t="str">
        <v>"pn":"MIC2039AYM6-TR",</v>
      </c>
      <c r="Q479" t="str">
        <v>"qty":5393</v>
      </c>
      <c r="S479" t="s">
        <v>2498</v>
      </c>
      <c r="T479" t="str">
        <f t="shared" si="140"/>
        <v>"id":"s461","cate":"IC","des":"IC MIC2039AY","mfg":"MICROCHIP","pn":"MIC2039AYM6-TR","qty":5393</v>
      </c>
      <c r="U479" t="s">
        <v>2503</v>
      </c>
    </row>
    <row r="480" spans="5:21" x14ac:dyDescent="0.25">
      <c r="E480" t="s">
        <v>2193</v>
      </c>
      <c r="F480" t="s">
        <v>667</v>
      </c>
      <c r="G480" t="s">
        <v>13</v>
      </c>
      <c r="H480" t="s">
        <v>668</v>
      </c>
      <c r="I480">
        <v>5214</v>
      </c>
      <c r="K480" t="s">
        <v>2965</v>
      </c>
      <c r="L480" t="str">
        <f t="shared" si="139"/>
        <v>"id":"s462",</v>
      </c>
      <c r="M480" t="str">
        <v>"cate":"Resistor ",</v>
      </c>
      <c r="N480" t="str">
        <v>"des":"RST 10K 1/8W 1% 805",</v>
      </c>
      <c r="O480" t="str">
        <v>"mfg":"PANASONIC",</v>
      </c>
      <c r="P480" t="str">
        <v>"pn":"ERJ-6ENF1002V",</v>
      </c>
      <c r="Q480" t="str">
        <v>"qty":5372</v>
      </c>
      <c r="S480" t="s">
        <v>2498</v>
      </c>
      <c r="T480" t="str">
        <f t="shared" si="140"/>
        <v>"id":"s462","cate":"Resistor ","des":"RST 10K 1/8W 1% 805","mfg":"PANASONIC","pn":"ERJ-6ENF1002V","qty":5372</v>
      </c>
      <c r="U480" t="s">
        <v>2503</v>
      </c>
    </row>
    <row r="481" spans="5:21" x14ac:dyDescent="0.25">
      <c r="E481" t="s">
        <v>2146</v>
      </c>
      <c r="F481" t="s">
        <v>669</v>
      </c>
      <c r="G481" t="s">
        <v>64</v>
      </c>
      <c r="H481" t="s">
        <v>670</v>
      </c>
      <c r="I481">
        <v>5210</v>
      </c>
      <c r="K481" t="s">
        <v>2966</v>
      </c>
      <c r="L481" t="str">
        <f t="shared" si="139"/>
        <v>"id":"s463",</v>
      </c>
      <c r="M481" t="str">
        <v>"cate":"Resistor ",</v>
      </c>
      <c r="N481" t="str">
        <v>"des":"RST 10K 1/8W 1% 805",</v>
      </c>
      <c r="O481" t="str">
        <v>"mfg":"ROYAL OHM",</v>
      </c>
      <c r="P481" t="str">
        <v>"pn":"CQ05W8F1002T5E",</v>
      </c>
      <c r="Q481" t="str">
        <v>"qty":5372</v>
      </c>
      <c r="S481" t="s">
        <v>2498</v>
      </c>
      <c r="T481" t="str">
        <f t="shared" si="140"/>
        <v>"id":"s463","cate":"Resistor ","des":"RST 10K 1/8W 1% 805","mfg":"ROYAL OHM","pn":"CQ05W8F1002T5E","qty":5372</v>
      </c>
      <c r="U481" t="s">
        <v>2503</v>
      </c>
    </row>
    <row r="482" spans="5:21" x14ac:dyDescent="0.25">
      <c r="E482" t="s">
        <v>2193</v>
      </c>
      <c r="F482" t="s">
        <v>671</v>
      </c>
      <c r="G482" t="s">
        <v>37</v>
      </c>
      <c r="H482" t="s">
        <v>672</v>
      </c>
      <c r="I482">
        <v>5208</v>
      </c>
      <c r="K482" t="s">
        <v>2967</v>
      </c>
      <c r="L482" t="str">
        <f t="shared" si="139"/>
        <v>"id":"s464",</v>
      </c>
      <c r="M482" t="str">
        <v>"cate":"Resistor ",</v>
      </c>
      <c r="N482" t="str">
        <v>"des":"RST 10K 1/8W 1% 805",</v>
      </c>
      <c r="O482" t="str">
        <v>"mfg":"STACKPOLE ELECTRONICS INC",</v>
      </c>
      <c r="P482" t="str">
        <v>"pn":"RMCF0805FT10K0",</v>
      </c>
      <c r="Q482" t="str">
        <v>"qty":5372</v>
      </c>
      <c r="S482" t="s">
        <v>2498</v>
      </c>
      <c r="T482" t="str">
        <f t="shared" si="140"/>
        <v>"id":"s464","cate":"Resistor ","des":"RST 10K 1/8W 1% 805","mfg":"STACKPOLE ELECTRONICS INC","pn":"RMCF0805FT10K0","qty":5372</v>
      </c>
      <c r="U482" t="s">
        <v>2503</v>
      </c>
    </row>
    <row r="483" spans="5:21" x14ac:dyDescent="0.25">
      <c r="E483" t="s">
        <v>2193</v>
      </c>
      <c r="F483" t="s">
        <v>671</v>
      </c>
      <c r="G483" t="s">
        <v>37</v>
      </c>
      <c r="H483" t="s">
        <v>673</v>
      </c>
      <c r="I483">
        <v>5208</v>
      </c>
      <c r="K483" t="s">
        <v>2968</v>
      </c>
      <c r="L483" t="str">
        <f t="shared" si="139"/>
        <v>"id":"s465",</v>
      </c>
      <c r="M483" t="str">
        <v>"cate":"0043",</v>
      </c>
      <c r="N483" t="str">
        <v>"des":"0043 N S F G2",</v>
      </c>
      <c r="O483" t="str">
        <v>"mfg":"ACIME TECHNOLOGY",</v>
      </c>
      <c r="P483" t="str">
        <v>"pn":"0043 N S H G2",</v>
      </c>
      <c r="Q483" t="str">
        <v>"qty":5360</v>
      </c>
      <c r="S483" t="s">
        <v>2498</v>
      </c>
      <c r="T483" t="str">
        <f t="shared" si="140"/>
        <v>"id":"s465","cate":"0043","des":"0043 N S F G2","mfg":"ACIME TECHNOLOGY","pn":"0043 N S H G2","qty":5360</v>
      </c>
      <c r="U483" t="s">
        <v>2503</v>
      </c>
    </row>
    <row r="484" spans="5:21" x14ac:dyDescent="0.25">
      <c r="E484" t="s">
        <v>2193</v>
      </c>
      <c r="F484" t="s">
        <v>671</v>
      </c>
      <c r="G484" t="s">
        <v>10</v>
      </c>
      <c r="H484" t="s">
        <v>674</v>
      </c>
      <c r="I484">
        <v>5208</v>
      </c>
      <c r="K484" t="s">
        <v>2969</v>
      </c>
      <c r="L484" t="str">
        <f t="shared" si="139"/>
        <v>"id":"s466",</v>
      </c>
      <c r="M484" t="str">
        <v>"cate":"0043",</v>
      </c>
      <c r="N484" t="str">
        <v>"des":"0043 N S F G2",</v>
      </c>
      <c r="O484" t="str">
        <v>"mfg":"ELEKTRISOLA",</v>
      </c>
      <c r="P484" t="str">
        <v>"pn":"0043 N S F G2",</v>
      </c>
      <c r="Q484" t="str">
        <v>"qty":5360</v>
      </c>
      <c r="S484" t="s">
        <v>2498</v>
      </c>
      <c r="T484" t="str">
        <f t="shared" si="140"/>
        <v>"id":"s466","cate":"0043","des":"0043 N S F G2","mfg":"ELEKTRISOLA","pn":"0043 N S F G2","qty":5360</v>
      </c>
      <c r="U484" t="s">
        <v>2503</v>
      </c>
    </row>
    <row r="485" spans="5:21" x14ac:dyDescent="0.25">
      <c r="E485" t="s">
        <v>2193</v>
      </c>
      <c r="F485" t="s">
        <v>675</v>
      </c>
      <c r="G485" t="s">
        <v>13</v>
      </c>
      <c r="H485" t="s">
        <v>676</v>
      </c>
      <c r="I485">
        <v>5176</v>
      </c>
      <c r="K485" t="s">
        <v>2970</v>
      </c>
      <c r="L485" t="str">
        <f t="shared" si="139"/>
        <v>"id":"s467",</v>
      </c>
      <c r="M485" t="str">
        <v>"cate":"CTM ",</v>
      </c>
      <c r="N485" t="str">
        <v>"des":"CTM 926887-1",</v>
      </c>
      <c r="O485" t="str">
        <v>"mfg":"TE CONNECTIVITY",</v>
      </c>
      <c r="P485" t="str">
        <v>"pn":"926887-1",</v>
      </c>
      <c r="Q485" t="str">
        <v>"qty":5330</v>
      </c>
      <c r="S485" t="s">
        <v>2498</v>
      </c>
      <c r="T485" t="str">
        <f t="shared" si="140"/>
        <v>"id":"s467","cate":"CTM ","des":"CTM 926887-1","mfg":"TE CONNECTIVITY","pn":"926887-1","qty":5330</v>
      </c>
      <c r="U485" t="s">
        <v>2503</v>
      </c>
    </row>
    <row r="486" spans="5:21" x14ac:dyDescent="0.25">
      <c r="E486" s="6" t="s">
        <v>2495</v>
      </c>
      <c r="F486" t="s">
        <v>677</v>
      </c>
      <c r="G486" t="s">
        <v>678</v>
      </c>
      <c r="H486" t="s">
        <v>679</v>
      </c>
      <c r="I486">
        <v>5169</v>
      </c>
      <c r="K486" t="s">
        <v>2971</v>
      </c>
      <c r="L486" t="str">
        <f t="shared" si="139"/>
        <v>"id":"s468",</v>
      </c>
      <c r="M486" t="str">
        <v>"cate":"Diode",</v>
      </c>
      <c r="N486" t="str">
        <v>"des":"DiodeE 60A 200V",</v>
      </c>
      <c r="O486" t="str">
        <v>"mfg":"IXYS",</v>
      </c>
      <c r="P486" t="str">
        <v>"pn":"DSEI60-02A",</v>
      </c>
      <c r="Q486" t="str">
        <v>"qty":5270</v>
      </c>
      <c r="S486" t="s">
        <v>2498</v>
      </c>
      <c r="T486" t="str">
        <f t="shared" si="140"/>
        <v>"id":"s468","cate":"Diode","des":"DiodeE 60A 200V","mfg":"IXYS","pn":"DSEI60-02A","qty":5270</v>
      </c>
      <c r="U486" t="s">
        <v>2503</v>
      </c>
    </row>
    <row r="487" spans="5:21" x14ac:dyDescent="0.25">
      <c r="E487" s="6" t="s">
        <v>2495</v>
      </c>
      <c r="F487" t="s">
        <v>677</v>
      </c>
      <c r="G487" t="s">
        <v>678</v>
      </c>
      <c r="H487" t="s">
        <v>680</v>
      </c>
      <c r="I487">
        <v>5169</v>
      </c>
      <c r="K487" t="s">
        <v>2972</v>
      </c>
      <c r="L487" t="str">
        <f t="shared" si="139"/>
        <v>"id":"s469",</v>
      </c>
      <c r="M487" t="str">
        <v>"cate":"Resistor ",</v>
      </c>
      <c r="N487" t="str">
        <v>"des":"RST 1R5 2W 5% 2512",</v>
      </c>
      <c r="O487" t="str">
        <v>"mfg":"YAGEO",</v>
      </c>
      <c r="P487" t="str">
        <v>"pn":"RC2512JK-7W1R5L",</v>
      </c>
      <c r="Q487" t="str">
        <v>"qty":5260</v>
      </c>
      <c r="S487" t="s">
        <v>2498</v>
      </c>
      <c r="T487" t="str">
        <f t="shared" si="140"/>
        <v>"id":"s469","cate":"Resistor ","des":"RST 1R5 2W 5% 2512","mfg":"YAGEO","pn":"RC2512JK-7W1R5L","qty":5260</v>
      </c>
      <c r="U487" t="s">
        <v>2503</v>
      </c>
    </row>
    <row r="488" spans="5:21" x14ac:dyDescent="0.25">
      <c r="E488" s="6" t="s">
        <v>2495</v>
      </c>
      <c r="F488" t="s">
        <v>677</v>
      </c>
      <c r="G488" t="s">
        <v>678</v>
      </c>
      <c r="H488" s="6" t="s">
        <v>681</v>
      </c>
      <c r="I488">
        <v>5169</v>
      </c>
      <c r="K488" t="s">
        <v>2973</v>
      </c>
      <c r="L488" t="str">
        <f t="shared" si="139"/>
        <v>"id":"s470",</v>
      </c>
      <c r="M488" t="str">
        <v>"cate":"Resistor ",</v>
      </c>
      <c r="N488" t="str">
        <v>"des":"RST 2 2W 5% 2512",</v>
      </c>
      <c r="O488" t="str">
        <v>"mfg":"BOURNS",</v>
      </c>
      <c r="P488" t="str">
        <v>"pn":"CRM2512-FX-2R00ELF",</v>
      </c>
      <c r="Q488" t="str">
        <v>"qty":5259</v>
      </c>
      <c r="S488" t="s">
        <v>2498</v>
      </c>
      <c r="T488" t="str">
        <f t="shared" si="140"/>
        <v>"id":"s470","cate":"Resistor ","des":"RST 2 2W 5% 2512","mfg":"BOURNS","pn":"CRM2512-FX-2R00ELF","qty":5259</v>
      </c>
      <c r="U488" t="s">
        <v>2503</v>
      </c>
    </row>
    <row r="489" spans="5:21" x14ac:dyDescent="0.25">
      <c r="E489" t="s">
        <v>2148</v>
      </c>
      <c r="F489" t="s">
        <v>682</v>
      </c>
      <c r="G489" t="s">
        <v>379</v>
      </c>
      <c r="H489" t="s">
        <v>683</v>
      </c>
      <c r="I489">
        <v>5169</v>
      </c>
      <c r="K489" t="s">
        <v>2974</v>
      </c>
      <c r="L489" t="str">
        <f t="shared" si="139"/>
        <v>"id":"s471",</v>
      </c>
      <c r="M489" t="str">
        <v>"cate":"Resistor ",</v>
      </c>
      <c r="N489" t="str">
        <v>"des":"RST 2 2W 5% 2512",</v>
      </c>
      <c r="O489" t="str">
        <v>"mfg":"BOURNS",</v>
      </c>
      <c r="P489" t="str">
        <v>"pn":"CRM2512-JW-2R0ELF",</v>
      </c>
      <c r="Q489" t="str">
        <v>"qty":5259</v>
      </c>
      <c r="S489" t="s">
        <v>2498</v>
      </c>
      <c r="T489" t="str">
        <f t="shared" si="140"/>
        <v>"id":"s471","cate":"Resistor ","des":"RST 2 2W 5% 2512","mfg":"BOURNS","pn":"CRM2512-JW-2R0ELF","qty":5259</v>
      </c>
      <c r="U489" t="s">
        <v>2503</v>
      </c>
    </row>
    <row r="490" spans="5:21" x14ac:dyDescent="0.25">
      <c r="E490" t="s">
        <v>2405</v>
      </c>
      <c r="F490" t="s">
        <v>2422</v>
      </c>
      <c r="G490" t="s">
        <v>28</v>
      </c>
      <c r="H490" t="s">
        <v>684</v>
      </c>
      <c r="I490">
        <v>5133</v>
      </c>
      <c r="K490" t="s">
        <v>2975</v>
      </c>
      <c r="L490" t="str">
        <f t="shared" si="139"/>
        <v>"id":"s472",</v>
      </c>
      <c r="M490" t="str">
        <v>"cate":"PIN ",</v>
      </c>
      <c r="N490" t="str">
        <v>"des":"PIN 0,5X0,5 MM",</v>
      </c>
      <c r="O490" t="str">
        <v>"mfg":"WELL FORE SPECIAL WIRE",</v>
      </c>
      <c r="P490" t="str">
        <v>"pn":"CPW 0.5X0.5MM 3/4H",</v>
      </c>
      <c r="Q490" t="str">
        <v>"qty":5226</v>
      </c>
      <c r="S490" t="s">
        <v>2498</v>
      </c>
      <c r="T490" t="str">
        <f t="shared" si="140"/>
        <v>"id":"s472","cate":"PIN ","des":"PIN 0,5X0,5 MM","mfg":"WELL FORE SPECIAL WIRE","pn":"CPW 0.5X0.5MM 3/4H","qty":5226</v>
      </c>
      <c r="U490" t="s">
        <v>2503</v>
      </c>
    </row>
    <row r="491" spans="5:21" x14ac:dyDescent="0.25">
      <c r="E491" t="s">
        <v>2405</v>
      </c>
      <c r="F491" t="s">
        <v>2422</v>
      </c>
      <c r="G491" t="s">
        <v>28</v>
      </c>
      <c r="H491" t="s">
        <v>685</v>
      </c>
      <c r="I491">
        <v>5133</v>
      </c>
      <c r="K491" t="s">
        <v>2976</v>
      </c>
      <c r="L491" t="str">
        <f t="shared" si="139"/>
        <v>"id":"s473",</v>
      </c>
      <c r="M491" t="str">
        <v>"cate":"Resistor ",</v>
      </c>
      <c r="N491" t="str">
        <v>"des":"RST 1 1/2W 1% 1206",</v>
      </c>
      <c r="O491" t="str">
        <v>"mfg":"YAGEO",</v>
      </c>
      <c r="P491" t="str">
        <v>"pn":"RC1206FR-071RL",</v>
      </c>
      <c r="Q491" t="str">
        <v>"qty":5225</v>
      </c>
      <c r="S491" t="s">
        <v>2498</v>
      </c>
      <c r="T491" t="str">
        <f t="shared" si="140"/>
        <v>"id":"s473","cate":"Resistor ","des":"RST 1 1/2W 1% 1206","mfg":"YAGEO","pn":"RC1206FR-071RL","qty":5225</v>
      </c>
      <c r="U491" t="s">
        <v>2503</v>
      </c>
    </row>
    <row r="492" spans="5:21" x14ac:dyDescent="0.25">
      <c r="E492" t="s">
        <v>2405</v>
      </c>
      <c r="F492" t="s">
        <v>2422</v>
      </c>
      <c r="G492" t="s">
        <v>30</v>
      </c>
      <c r="H492" t="s">
        <v>686</v>
      </c>
      <c r="I492">
        <v>5133</v>
      </c>
      <c r="K492" t="s">
        <v>2977</v>
      </c>
      <c r="L492" t="str">
        <f t="shared" si="139"/>
        <v>"id":"s474",</v>
      </c>
      <c r="M492" t="str">
        <v>"cate":"Resistor ",</v>
      </c>
      <c r="N492" t="str">
        <v>"des":"RST 1 1/2W 1% 1206",</v>
      </c>
      <c r="O492" t="str">
        <v>"mfg":"VISHAY",</v>
      </c>
      <c r="P492" t="str">
        <v>"pn":"RCS12061R00FKEA",</v>
      </c>
      <c r="Q492" t="str">
        <v>"qty":5225</v>
      </c>
      <c r="S492" t="s">
        <v>2498</v>
      </c>
      <c r="T492" t="str">
        <f t="shared" si="140"/>
        <v>"id":"s474","cate":"Resistor ","des":"RST 1 1/2W 1% 1206","mfg":"VISHAY","pn":"RCS12061R00FKEA","qty":5225</v>
      </c>
      <c r="U492" t="s">
        <v>2503</v>
      </c>
    </row>
    <row r="493" spans="5:21" x14ac:dyDescent="0.25">
      <c r="E493" t="s">
        <v>2193</v>
      </c>
      <c r="F493" t="s">
        <v>687</v>
      </c>
      <c r="G493" t="s">
        <v>207</v>
      </c>
      <c r="H493" t="s">
        <v>688</v>
      </c>
      <c r="I493">
        <v>5118</v>
      </c>
      <c r="K493" t="s">
        <v>2978</v>
      </c>
      <c r="L493" t="str">
        <f t="shared" si="139"/>
        <v>"id":"s475",</v>
      </c>
      <c r="M493" t="str">
        <v>"cate":"Resistor ",</v>
      </c>
      <c r="N493" t="str">
        <v>"des":"RST 49K9 1/4W1%1206",</v>
      </c>
      <c r="O493" t="str">
        <v>"mfg":"YAGEO",</v>
      </c>
      <c r="P493" t="str">
        <v>"pn":"RC1206FR-0749K9L",</v>
      </c>
      <c r="Q493" t="str">
        <v>"qty":5214</v>
      </c>
      <c r="S493" t="s">
        <v>2498</v>
      </c>
      <c r="T493" t="str">
        <f t="shared" si="140"/>
        <v>"id":"s475","cate":"Resistor ","des":"RST 49K9 1/4W1%1206","mfg":"YAGEO","pn":"RC1206FR-0749K9L","qty":5214</v>
      </c>
      <c r="U493" t="s">
        <v>2503</v>
      </c>
    </row>
    <row r="494" spans="5:21" x14ac:dyDescent="0.25">
      <c r="E494" t="s">
        <v>2193</v>
      </c>
      <c r="F494" t="s">
        <v>689</v>
      </c>
      <c r="G494" t="s">
        <v>13</v>
      </c>
      <c r="H494" t="s">
        <v>690</v>
      </c>
      <c r="I494">
        <v>5104</v>
      </c>
      <c r="K494" t="s">
        <v>2979</v>
      </c>
      <c r="L494" t="str">
        <f t="shared" si="139"/>
        <v>"id":"s476",</v>
      </c>
      <c r="M494" t="str">
        <v>"cate":"EMI ",</v>
      </c>
      <c r="N494" t="str">
        <v>"des":"EMI FIL 2200PF/25V",</v>
      </c>
      <c r="O494" t="str">
        <v>"mfg":"MURATA MANUFACTURING",</v>
      </c>
      <c r="P494" t="str">
        <v>"pn":"NFE31PT222Z1E9L",</v>
      </c>
      <c r="Q494" t="str">
        <v>"qty":5210</v>
      </c>
      <c r="S494" t="s">
        <v>2498</v>
      </c>
      <c r="T494" t="str">
        <f t="shared" si="140"/>
        <v>"id":"s476","cate":"EMI ","des":"EMI FIL 2200PF/25V","mfg":"MURATA MANUFACTURING","pn":"NFE31PT222Z1E9L","qty":5210</v>
      </c>
      <c r="U494" t="s">
        <v>2503</v>
      </c>
    </row>
    <row r="495" spans="5:21" x14ac:dyDescent="0.25">
      <c r="E495" t="s">
        <v>2193</v>
      </c>
      <c r="F495" t="s">
        <v>689</v>
      </c>
      <c r="G495" t="s">
        <v>37</v>
      </c>
      <c r="H495" t="s">
        <v>691</v>
      </c>
      <c r="I495">
        <v>5104</v>
      </c>
      <c r="K495" t="s">
        <v>2980</v>
      </c>
      <c r="L495" t="str">
        <f t="shared" si="139"/>
        <v>"id":"s477",</v>
      </c>
      <c r="M495" t="str">
        <v>"cate":"Resistor ",</v>
      </c>
      <c r="N495" t="str">
        <v>"des":"RST 100K 1W 5% 2512",</v>
      </c>
      <c r="O495" t="str">
        <v>"mfg":"VISHAY",</v>
      </c>
      <c r="P495" t="str">
        <v>"pn":"CRCW2512100KFKEH",</v>
      </c>
      <c r="Q495" t="str">
        <v>"qty":5208</v>
      </c>
      <c r="S495" t="s">
        <v>2498</v>
      </c>
      <c r="T495" t="str">
        <f t="shared" si="140"/>
        <v>"id":"s477","cate":"Resistor ","des":"RST 100K 1W 5% 2512","mfg":"VISHAY","pn":"CRCW2512100KFKEH","qty":5208</v>
      </c>
      <c r="U495" t="s">
        <v>2503</v>
      </c>
    </row>
    <row r="496" spans="5:21" x14ac:dyDescent="0.25">
      <c r="E496" t="s">
        <v>2149</v>
      </c>
      <c r="F496" t="s">
        <v>692</v>
      </c>
      <c r="G496" t="s">
        <v>693</v>
      </c>
      <c r="H496" t="s">
        <v>694</v>
      </c>
      <c r="I496">
        <v>5099</v>
      </c>
      <c r="K496" t="s">
        <v>2981</v>
      </c>
      <c r="L496" t="str">
        <f t="shared" si="139"/>
        <v>"id":"s478",</v>
      </c>
      <c r="M496" t="str">
        <v>"cate":"Resistor ",</v>
      </c>
      <c r="N496" t="str">
        <v>"des":"RST 100K 1W 5% 2512",</v>
      </c>
      <c r="O496" t="str">
        <v>"mfg":"VISHAY",</v>
      </c>
      <c r="P496" t="str">
        <v>"pn":"CRCW2512100KJNEH",</v>
      </c>
      <c r="Q496" t="str">
        <v>"qty":5208</v>
      </c>
      <c r="S496" t="s">
        <v>2498</v>
      </c>
      <c r="T496" t="str">
        <f t="shared" si="140"/>
        <v>"id":"s478","cate":"Resistor ","des":"RST 100K 1W 5% 2512","mfg":"VISHAY","pn":"CRCW2512100KJNEH","qty":5208</v>
      </c>
      <c r="U496" t="s">
        <v>2503</v>
      </c>
    </row>
    <row r="497" spans="5:21" x14ac:dyDescent="0.25">
      <c r="E497" t="s">
        <v>2193</v>
      </c>
      <c r="F497" t="s">
        <v>695</v>
      </c>
      <c r="G497" t="s">
        <v>13</v>
      </c>
      <c r="H497" t="s">
        <v>696</v>
      </c>
      <c r="I497">
        <v>5086</v>
      </c>
      <c r="K497" t="s">
        <v>2982</v>
      </c>
      <c r="L497" t="str">
        <f t="shared" si="139"/>
        <v>"id":"s479",</v>
      </c>
      <c r="M497" t="str">
        <v>"cate":"Resistor ",</v>
      </c>
      <c r="N497" t="str">
        <v>"des":"RST 100K 1W 5% 2512",</v>
      </c>
      <c r="O497" t="str">
        <v>"mfg":"WALSIN",</v>
      </c>
      <c r="P497" t="str">
        <v>"pn":"WK25V104JTL",</v>
      </c>
      <c r="Q497" t="str">
        <v>"qty":5208</v>
      </c>
      <c r="S497" t="s">
        <v>2498</v>
      </c>
      <c r="T497" t="str">
        <f t="shared" si="140"/>
        <v>"id":"s479","cate":"Resistor ","des":"RST 100K 1W 5% 2512","mfg":"WALSIN","pn":"WK25V104JTL","qty":5208</v>
      </c>
      <c r="U497" t="s">
        <v>2503</v>
      </c>
    </row>
    <row r="498" spans="5:21" x14ac:dyDescent="0.25">
      <c r="E498" t="s">
        <v>2193</v>
      </c>
      <c r="F498" t="s">
        <v>697</v>
      </c>
      <c r="G498" t="s">
        <v>13</v>
      </c>
      <c r="H498" t="s">
        <v>698</v>
      </c>
      <c r="I498">
        <v>5076</v>
      </c>
      <c r="K498" t="s">
        <v>2983</v>
      </c>
      <c r="L498" t="str">
        <f t="shared" si="139"/>
        <v>"id":"s480",</v>
      </c>
      <c r="M498" t="str">
        <v>"cate":"Resistor ",</v>
      </c>
      <c r="N498" t="str">
        <v>"des":"RST 120 0,5W 1% MF",</v>
      </c>
      <c r="O498" t="str">
        <v>"mfg":"YAGEO",</v>
      </c>
      <c r="P498" t="str">
        <v>"pn":"MFR50SFTE52-120R",</v>
      </c>
      <c r="Q498" t="str">
        <v>"qty":5176</v>
      </c>
      <c r="S498" t="s">
        <v>2498</v>
      </c>
      <c r="T498" t="str">
        <f t="shared" si="140"/>
        <v>"id":"s480","cate":"Resistor ","des":"RST 120 0,5W 1% MF","mfg":"YAGEO","pn":"MFR50SFTE52-120R","qty":5176</v>
      </c>
      <c r="U498" t="s">
        <v>2503</v>
      </c>
    </row>
    <row r="499" spans="5:21" x14ac:dyDescent="0.25">
      <c r="E499" t="s">
        <v>2193</v>
      </c>
      <c r="F499" t="s">
        <v>697</v>
      </c>
      <c r="G499" t="s">
        <v>37</v>
      </c>
      <c r="H499" t="s">
        <v>699</v>
      </c>
      <c r="I499">
        <v>5076</v>
      </c>
      <c r="K499" t="s">
        <v>2984</v>
      </c>
      <c r="L499" t="str">
        <f t="shared" si="139"/>
        <v>"id":"s481",</v>
      </c>
      <c r="M499" t="str">
        <v>"cate":"Terminal",</v>
      </c>
      <c r="N499" t="str">
        <v>"des":"CNT 1902547",</v>
      </c>
      <c r="O499" t="str">
        <v>"mfg":"PHOENIX CONTACT",</v>
      </c>
      <c r="P499" t="str">
        <v>"pn":"MKDS 5 HV/ 2-9,52",</v>
      </c>
      <c r="Q499" t="str">
        <v>"qty":5169</v>
      </c>
      <c r="S499" t="s">
        <v>2498</v>
      </c>
      <c r="T499" t="str">
        <f t="shared" si="140"/>
        <v>"id":"s481","cate":"Terminal","des":"CNT 1902547","mfg":"PHOENIX CONTACT","pn":"MKDS 5 HV/ 2-9,52","qty":5169</v>
      </c>
      <c r="U499" t="s">
        <v>2503</v>
      </c>
    </row>
    <row r="500" spans="5:21" x14ac:dyDescent="0.25">
      <c r="E500" t="s">
        <v>2194</v>
      </c>
      <c r="F500" t="s">
        <v>2254</v>
      </c>
      <c r="G500" t="s">
        <v>49</v>
      </c>
      <c r="H500" t="s">
        <v>700</v>
      </c>
      <c r="I500">
        <v>5068</v>
      </c>
      <c r="K500" t="s">
        <v>2985</v>
      </c>
      <c r="L500" t="str">
        <f t="shared" si="139"/>
        <v>"id":"s482",</v>
      </c>
      <c r="M500" t="str">
        <v>"cate":"Terminal",</v>
      </c>
      <c r="N500" t="str">
        <v>"des":"CNT 1902547",</v>
      </c>
      <c r="O500" t="str">
        <v>"mfg":"PHOENIX CONTACT",</v>
      </c>
      <c r="P500" t="str">
        <v>"pn":"MKDS 5 HV/2-9,52",</v>
      </c>
      <c r="Q500" t="str">
        <v>"qty":5169</v>
      </c>
      <c r="S500" t="s">
        <v>2498</v>
      </c>
      <c r="T500" t="str">
        <f t="shared" si="140"/>
        <v>"id":"s482","cate":"Terminal","des":"CNT 1902547","mfg":"PHOENIX CONTACT","pn":"MKDS 5 HV/2-9,52","qty":5169</v>
      </c>
      <c r="U500" t="s">
        <v>2503</v>
      </c>
    </row>
    <row r="501" spans="5:21" x14ac:dyDescent="0.25">
      <c r="E501" t="s">
        <v>2139</v>
      </c>
      <c r="F501" t="s">
        <v>701</v>
      </c>
      <c r="G501" t="s">
        <v>13</v>
      </c>
      <c r="H501" t="s">
        <v>702</v>
      </c>
      <c r="I501">
        <v>5065</v>
      </c>
      <c r="K501" t="s">
        <v>2986</v>
      </c>
      <c r="L501" t="str">
        <f t="shared" si="139"/>
        <v>"id":"s483",</v>
      </c>
      <c r="M501" t="str">
        <v>"cate":"Terminal",</v>
      </c>
      <c r="N501" t="str">
        <v>"des":"CNT 1902547",</v>
      </c>
      <c r="O501" t="str">
        <v>"mfg":"PHOENIX CONTACT",</v>
      </c>
      <c r="P501" t="str">
        <v>"pn":"MKDS5HV/2-9.52",</v>
      </c>
      <c r="Q501" t="str">
        <v>"qty":5169</v>
      </c>
      <c r="S501" t="s">
        <v>2498</v>
      </c>
      <c r="T501" t="str">
        <f t="shared" si="140"/>
        <v>"id":"s483","cate":"Terminal","des":"CNT 1902547","mfg":"PHOENIX CONTACT","pn":"MKDS5HV/2-9.52","qty":5169</v>
      </c>
      <c r="U501" t="s">
        <v>2503</v>
      </c>
    </row>
    <row r="502" spans="5:21" x14ac:dyDescent="0.25">
      <c r="E502" t="s">
        <v>2139</v>
      </c>
      <c r="F502" t="s">
        <v>701</v>
      </c>
      <c r="G502" t="s">
        <v>64</v>
      </c>
      <c r="H502" t="s">
        <v>703</v>
      </c>
      <c r="I502">
        <v>5065</v>
      </c>
      <c r="K502" t="s">
        <v>2987</v>
      </c>
      <c r="L502" t="str">
        <f t="shared" si="139"/>
        <v>"id":"s484",</v>
      </c>
      <c r="M502" t="str">
        <v>"cate":"CONT",</v>
      </c>
      <c r="N502" t="str">
        <v>"des":"CONTACT 1017-1",</v>
      </c>
      <c r="O502" t="str">
        <v>"mfg":"KEYSTONE ELECTRONICS",</v>
      </c>
      <c r="P502" t="str">
        <v>"pn":"1017-1",</v>
      </c>
      <c r="Q502" t="str">
        <v>"qty":5169</v>
      </c>
      <c r="S502" t="s">
        <v>2498</v>
      </c>
      <c r="T502" t="str">
        <f t="shared" si="140"/>
        <v>"id":"s484","cate":"CONT","des":"CONTACT 1017-1","mfg":"KEYSTONE ELECTRONICS","pn":"1017-1","qty":5169</v>
      </c>
      <c r="U502" t="s">
        <v>2503</v>
      </c>
    </row>
    <row r="503" spans="5:21" x14ac:dyDescent="0.25">
      <c r="E503" t="s">
        <v>2139</v>
      </c>
      <c r="F503" t="s">
        <v>701</v>
      </c>
      <c r="G503" t="s">
        <v>64</v>
      </c>
      <c r="H503" t="s">
        <v>704</v>
      </c>
      <c r="I503">
        <v>5065</v>
      </c>
      <c r="K503" t="s">
        <v>2988</v>
      </c>
      <c r="L503" t="str">
        <f t="shared" si="139"/>
        <v>"id":"s485",</v>
      </c>
      <c r="M503" t="str">
        <v>"cate":"Diode",</v>
      </c>
      <c r="N503" t="str">
        <v>"des":"DiodeE 0,03A 30V",</v>
      </c>
      <c r="O503" t="str">
        <v>"mfg":"ON SEMICONDUCTOR",</v>
      </c>
      <c r="P503" t="str">
        <v>"pn":"RB751S40T1G",</v>
      </c>
      <c r="Q503" t="str">
        <v>"qty":5133</v>
      </c>
      <c r="S503" t="s">
        <v>2498</v>
      </c>
      <c r="T503" t="str">
        <f t="shared" si="140"/>
        <v>"id":"s485","cate":"Diode","des":"DiodeE 0,03A 30V","mfg":"ON SEMICONDUCTOR","pn":"RB751S40T1G","qty":5133</v>
      </c>
      <c r="U503" t="s">
        <v>2503</v>
      </c>
    </row>
    <row r="504" spans="5:21" x14ac:dyDescent="0.25">
      <c r="E504" t="s">
        <v>2139</v>
      </c>
      <c r="F504" t="s">
        <v>701</v>
      </c>
      <c r="G504" t="s">
        <v>49</v>
      </c>
      <c r="H504" t="s">
        <v>705</v>
      </c>
      <c r="I504">
        <v>5065</v>
      </c>
      <c r="K504" t="s">
        <v>2989</v>
      </c>
      <c r="L504" t="str">
        <f t="shared" si="139"/>
        <v>"id":"s486",</v>
      </c>
      <c r="M504" t="str">
        <v>"cate":"Diode",</v>
      </c>
      <c r="N504" t="str">
        <v>"des":"DiodeE 0,03A 30V",</v>
      </c>
      <c r="O504" t="str">
        <v>"mfg":"ON SEMICONDUCTOR",</v>
      </c>
      <c r="P504" t="str">
        <v>"pn":"RB751S40T5G",</v>
      </c>
      <c r="Q504" t="str">
        <v>"qty":5133</v>
      </c>
      <c r="S504" t="s">
        <v>2498</v>
      </c>
      <c r="T504" t="str">
        <f t="shared" si="140"/>
        <v>"id":"s486","cate":"Diode","des":"DiodeE 0,03A 30V","mfg":"ON SEMICONDUCTOR","pn":"RB751S40T5G","qty":5133</v>
      </c>
      <c r="U504" t="s">
        <v>2503</v>
      </c>
    </row>
    <row r="505" spans="5:21" x14ac:dyDescent="0.25">
      <c r="E505" t="s">
        <v>2139</v>
      </c>
      <c r="F505" t="s">
        <v>701</v>
      </c>
      <c r="G505" t="s">
        <v>8</v>
      </c>
      <c r="H505" t="s">
        <v>706</v>
      </c>
      <c r="I505">
        <v>5065</v>
      </c>
      <c r="K505" t="s">
        <v>2990</v>
      </c>
      <c r="L505" t="str">
        <f t="shared" si="139"/>
        <v>"id":"s487",</v>
      </c>
      <c r="M505" t="str">
        <v>"cate":"Diode",</v>
      </c>
      <c r="N505" t="str">
        <v>"des":"DiodeE 0,03A 30V",</v>
      </c>
      <c r="O505" t="str">
        <v>"mfg":"NEXPERIA",</v>
      </c>
      <c r="P505" t="str">
        <v>"pn":"RB751S40,115",</v>
      </c>
      <c r="Q505" t="str">
        <v>"qty":5133</v>
      </c>
      <c r="S505" t="s">
        <v>2498</v>
      </c>
      <c r="T505" t="str">
        <f t="shared" si="140"/>
        <v>"id":"s487","cate":"Diode","des":"DiodeE 0,03A 30V","mfg":"NEXPERIA","pn":"RB751S40,115","qty":5133</v>
      </c>
      <c r="U505" t="s">
        <v>2503</v>
      </c>
    </row>
    <row r="506" spans="5:21" x14ac:dyDescent="0.25">
      <c r="E506" t="s">
        <v>2194</v>
      </c>
      <c r="F506" t="s">
        <v>2255</v>
      </c>
      <c r="G506" t="s">
        <v>13</v>
      </c>
      <c r="H506" t="s">
        <v>707</v>
      </c>
      <c r="I506">
        <v>5058</v>
      </c>
      <c r="K506" t="s">
        <v>2991</v>
      </c>
      <c r="L506" t="str">
        <f t="shared" si="139"/>
        <v>"id":"s488",</v>
      </c>
      <c r="M506" t="str">
        <v>"cate":"Resistor ",</v>
      </c>
      <c r="N506" t="str">
        <v>"des":"RST 1K 1/4 1%1206-T",</v>
      </c>
      <c r="O506" t="str">
        <v>"mfg":"STACKPOLE ELECTRONICS INC",</v>
      </c>
      <c r="P506" t="str">
        <v>"pn":"RMCF1206FT1K00",</v>
      </c>
      <c r="Q506" t="str">
        <v>"qty":5118</v>
      </c>
      <c r="S506" t="s">
        <v>2498</v>
      </c>
      <c r="T506" t="str">
        <f t="shared" si="140"/>
        <v>"id":"s488","cate":"Resistor ","des":"RST 1K 1/4 1%1206-T","mfg":"STACKPOLE ELECTRONICS INC","pn":"RMCF1206FT1K00","qty":5118</v>
      </c>
      <c r="U506" t="s">
        <v>2503</v>
      </c>
    </row>
    <row r="507" spans="5:21" x14ac:dyDescent="0.25">
      <c r="E507" t="s">
        <v>2126</v>
      </c>
      <c r="F507" t="s">
        <v>708</v>
      </c>
      <c r="G507" t="s">
        <v>57</v>
      </c>
      <c r="H507" t="s">
        <v>709</v>
      </c>
      <c r="I507">
        <v>5025</v>
      </c>
      <c r="K507" t="s">
        <v>2992</v>
      </c>
      <c r="L507" t="str">
        <f t="shared" si="139"/>
        <v>"id":"s489",</v>
      </c>
      <c r="M507" t="str">
        <v>"cate":"Resistor ",</v>
      </c>
      <c r="N507" t="str">
        <v>"des":"RST 680 0,1W 1%0603",</v>
      </c>
      <c r="O507" t="str">
        <v>"mfg":"YAGEO",</v>
      </c>
      <c r="P507" t="str">
        <v>"pn":"RC0603FR-07680RL",</v>
      </c>
      <c r="Q507" t="str">
        <v>"qty":5104</v>
      </c>
      <c r="S507" t="s">
        <v>2498</v>
      </c>
      <c r="T507" t="str">
        <f t="shared" si="140"/>
        <v>"id":"s489","cate":"Resistor ","des":"RST 680 0,1W 1%0603","mfg":"YAGEO","pn":"RC0603FR-07680RL","qty":5104</v>
      </c>
      <c r="U507" t="s">
        <v>2503</v>
      </c>
    </row>
    <row r="508" spans="5:21" x14ac:dyDescent="0.25">
      <c r="E508" t="s">
        <v>2193</v>
      </c>
      <c r="F508" t="s">
        <v>710</v>
      </c>
      <c r="G508" t="s">
        <v>5</v>
      </c>
      <c r="H508" t="s">
        <v>711</v>
      </c>
      <c r="I508">
        <v>5014</v>
      </c>
      <c r="K508" t="s">
        <v>2993</v>
      </c>
      <c r="L508" t="str">
        <f t="shared" si="139"/>
        <v>"id":"s490",</v>
      </c>
      <c r="M508" t="str">
        <v>"cate":"Resistor ",</v>
      </c>
      <c r="N508" t="str">
        <v>"des":"RST 680 0,1W 1%0603",</v>
      </c>
      <c r="O508" t="str">
        <v>"mfg":"VISHAY",</v>
      </c>
      <c r="P508" t="str">
        <v>"pn":"CRCW0603680RFKEA",</v>
      </c>
      <c r="Q508" t="str">
        <v>"qty":5104</v>
      </c>
      <c r="S508" t="s">
        <v>2498</v>
      </c>
      <c r="T508" t="str">
        <f t="shared" si="140"/>
        <v>"id":"s490","cate":"Resistor ","des":"RST 680 0,1W 1%0603","mfg":"VISHAY","pn":"CRCW0603680RFKEA","qty":5104</v>
      </c>
      <c r="U508" t="s">
        <v>2503</v>
      </c>
    </row>
    <row r="509" spans="5:21" x14ac:dyDescent="0.25">
      <c r="E509" t="s">
        <v>2193</v>
      </c>
      <c r="F509" t="s">
        <v>710</v>
      </c>
      <c r="G509" t="s">
        <v>5</v>
      </c>
      <c r="H509" t="s">
        <v>712</v>
      </c>
      <c r="I509">
        <v>5014</v>
      </c>
      <c r="K509" t="s">
        <v>2994</v>
      </c>
      <c r="L509" t="str">
        <f t="shared" si="139"/>
        <v>"id":"s491",</v>
      </c>
      <c r="M509" t="str">
        <v>"cate":"XTAL",</v>
      </c>
      <c r="N509" t="str">
        <v>"des":"XTAL 32,768KHZ 7PF",</v>
      </c>
      <c r="O509" t="str">
        <v>"mfg":"NDK",</v>
      </c>
      <c r="P509" t="str">
        <v>"pn":"MU00389-32.768K",</v>
      </c>
      <c r="Q509" t="str">
        <v>"qty":5099</v>
      </c>
      <c r="S509" t="s">
        <v>2498</v>
      </c>
      <c r="T509" t="str">
        <f t="shared" si="140"/>
        <v>"id":"s491","cate":"XTAL","des":"XTAL 32,768KHZ 7PF","mfg":"NDK","pn":"MU00389-32.768K","qty":5099</v>
      </c>
      <c r="U509" t="s">
        <v>2503</v>
      </c>
    </row>
    <row r="510" spans="5:21" x14ac:dyDescent="0.25">
      <c r="E510" t="s">
        <v>2193</v>
      </c>
      <c r="F510" t="s">
        <v>713</v>
      </c>
      <c r="G510" t="s">
        <v>207</v>
      </c>
      <c r="H510" t="s">
        <v>714</v>
      </c>
      <c r="I510">
        <v>4989</v>
      </c>
      <c r="K510" t="s">
        <v>2995</v>
      </c>
      <c r="L510" t="str">
        <f t="shared" si="139"/>
        <v>"id":"s492",</v>
      </c>
      <c r="M510" t="str">
        <v>"cate":"Resistor ",</v>
      </c>
      <c r="N510" t="str">
        <v>"des":"RST 3K3 1W 5% 2512",</v>
      </c>
      <c r="O510" t="str">
        <v>"mfg":"YAGEO",</v>
      </c>
      <c r="P510" t="str">
        <v>"pn":"RC2512JK-073K3L",</v>
      </c>
      <c r="Q510" t="str">
        <v>"qty":5086</v>
      </c>
      <c r="S510" t="s">
        <v>2498</v>
      </c>
      <c r="T510" t="str">
        <f t="shared" si="140"/>
        <v>"id":"s492","cate":"Resistor ","des":"RST 3K3 1W 5% 2512","mfg":"YAGEO","pn":"RC2512JK-073K3L","qty":5086</v>
      </c>
      <c r="U510" t="s">
        <v>2503</v>
      </c>
    </row>
    <row r="511" spans="5:21" x14ac:dyDescent="0.25">
      <c r="E511" t="s">
        <v>2194</v>
      </c>
      <c r="F511" t="s">
        <v>2256</v>
      </c>
      <c r="G511" t="s">
        <v>13</v>
      </c>
      <c r="H511" t="s">
        <v>715</v>
      </c>
      <c r="I511">
        <v>4976</v>
      </c>
      <c r="K511" t="s">
        <v>2996</v>
      </c>
      <c r="L511" t="str">
        <f t="shared" si="139"/>
        <v>"id":"s493",</v>
      </c>
      <c r="M511" t="str">
        <v>"cate":"Resistor ",</v>
      </c>
      <c r="N511" t="str">
        <v>"des":"RST 23,7K 1/8W1%805",</v>
      </c>
      <c r="O511" t="str">
        <v>"mfg":"YAGEO",</v>
      </c>
      <c r="P511" t="str">
        <v>"pn":"RT0805FRE0723K7L",</v>
      </c>
      <c r="Q511" t="str">
        <v>"qty":5076</v>
      </c>
      <c r="S511" t="s">
        <v>2498</v>
      </c>
      <c r="T511" t="str">
        <f t="shared" si="140"/>
        <v>"id":"s493","cate":"Resistor ","des":"RST 23,7K 1/8W1%805","mfg":"YAGEO","pn":"RT0805FRE0723K7L","qty":5076</v>
      </c>
      <c r="U511" t="s">
        <v>2503</v>
      </c>
    </row>
    <row r="512" spans="5:21" x14ac:dyDescent="0.25">
      <c r="E512" t="s">
        <v>2194</v>
      </c>
      <c r="F512" t="s">
        <v>2256</v>
      </c>
      <c r="G512" t="s">
        <v>47</v>
      </c>
      <c r="H512" t="s">
        <v>716</v>
      </c>
      <c r="I512">
        <v>4976</v>
      </c>
      <c r="K512" t="s">
        <v>2997</v>
      </c>
      <c r="L512" t="str">
        <f t="shared" si="139"/>
        <v>"id":"s494",</v>
      </c>
      <c r="M512" t="str">
        <v>"cate":"Resistor ",</v>
      </c>
      <c r="N512" t="str">
        <v>"des":"RST 23,7K 1/8W1%805",</v>
      </c>
      <c r="O512" t="str">
        <v>"mfg":"VISHAY",</v>
      </c>
      <c r="P512" t="str">
        <v>"pn":"CRCW080523K7FKEA",</v>
      </c>
      <c r="Q512" t="str">
        <v>"qty":5076</v>
      </c>
      <c r="S512" t="s">
        <v>2498</v>
      </c>
      <c r="T512" t="str">
        <f t="shared" si="140"/>
        <v>"id":"s494","cate":"Resistor ","des":"RST 23,7K 1/8W1%805","mfg":"VISHAY","pn":"CRCW080523K7FKEA","qty":5076</v>
      </c>
      <c r="U512" t="s">
        <v>2503</v>
      </c>
    </row>
    <row r="513" spans="5:21" x14ac:dyDescent="0.25">
      <c r="E513" t="s">
        <v>2193</v>
      </c>
      <c r="F513" t="s">
        <v>717</v>
      </c>
      <c r="G513" t="s">
        <v>207</v>
      </c>
      <c r="H513" t="s">
        <v>718</v>
      </c>
      <c r="I513">
        <v>4970</v>
      </c>
      <c r="K513" t="s">
        <v>2998</v>
      </c>
      <c r="L513" t="str">
        <f t="shared" si="139"/>
        <v>"id":"s495",</v>
      </c>
      <c r="M513" t="str">
        <v>"cate":"Capacitor",</v>
      </c>
      <c r="N513" t="str">
        <v>"des":"Capacitor 1000PF/50V 603",</v>
      </c>
      <c r="O513" t="str">
        <v>"mfg":"AVX",</v>
      </c>
      <c r="P513" t="str">
        <v>"pn":"06035C102KAT2A",</v>
      </c>
      <c r="Q513" t="str">
        <v>"qty":5068</v>
      </c>
      <c r="S513" t="s">
        <v>2498</v>
      </c>
      <c r="T513" t="str">
        <f t="shared" si="140"/>
        <v>"id":"s495","cate":"Capacitor","des":"Capacitor 1000PF/50V 603","mfg":"AVX","pn":"06035C102KAT2A","qty":5068</v>
      </c>
      <c r="U513" t="s">
        <v>2503</v>
      </c>
    </row>
    <row r="514" spans="5:21" x14ac:dyDescent="0.25">
      <c r="E514" t="s">
        <v>2193</v>
      </c>
      <c r="F514" t="s">
        <v>719</v>
      </c>
      <c r="G514" t="s">
        <v>37</v>
      </c>
      <c r="H514" t="s">
        <v>720</v>
      </c>
      <c r="I514">
        <v>4966</v>
      </c>
      <c r="K514" t="s">
        <v>2999</v>
      </c>
      <c r="L514" t="str">
        <f t="shared" si="139"/>
        <v>"id":"s496",</v>
      </c>
      <c r="M514" t="str">
        <v>"cate":"MA-1",</v>
      </c>
      <c r="N514" t="str">
        <v>"des":"MA-1150475STG",</v>
      </c>
      <c r="O514" t="str">
        <v>"mfg":"YAGEO",</v>
      </c>
      <c r="P514" t="str">
        <v>"pn":"CC0402MRX5R6BB106",</v>
      </c>
      <c r="Q514" t="str">
        <v>"qty":5065</v>
      </c>
      <c r="S514" t="s">
        <v>2498</v>
      </c>
      <c r="T514" t="str">
        <f t="shared" si="140"/>
        <v>"id":"s496","cate":"MA-1","des":"MA-1150475STG","mfg":"YAGEO","pn":"CC0402MRX5R6BB106","qty":5065</v>
      </c>
      <c r="U514" t="s">
        <v>2503</v>
      </c>
    </row>
    <row r="515" spans="5:21" x14ac:dyDescent="0.25">
      <c r="E515" t="s">
        <v>2193</v>
      </c>
      <c r="F515" t="s">
        <v>721</v>
      </c>
      <c r="G515" t="s">
        <v>13</v>
      </c>
      <c r="H515" t="s">
        <v>722</v>
      </c>
      <c r="I515">
        <v>4965</v>
      </c>
      <c r="K515" t="s">
        <v>3000</v>
      </c>
      <c r="L515" t="str">
        <f t="shared" si="139"/>
        <v>"id":"s497",</v>
      </c>
      <c r="M515" t="str">
        <v>"cate":"MA-1",</v>
      </c>
      <c r="N515" t="str">
        <v>"des":"MA-1150475STG",</v>
      </c>
      <c r="O515" t="str">
        <v>"mfg":"MURATA MANUFACTURING",</v>
      </c>
      <c r="P515" t="str">
        <v>"pn":"GRM155R61A106ME11D",</v>
      </c>
      <c r="Q515" t="str">
        <v>"qty":5065</v>
      </c>
      <c r="S515" t="s">
        <v>2498</v>
      </c>
      <c r="T515" t="str">
        <f t="shared" si="140"/>
        <v>"id":"s497","cate":"MA-1","des":"MA-1150475STG","mfg":"MURATA MANUFACTURING","pn":"GRM155R61A106ME11D","qty":5065</v>
      </c>
      <c r="U515" t="s">
        <v>2503</v>
      </c>
    </row>
    <row r="516" spans="5:21" x14ac:dyDescent="0.25">
      <c r="E516" t="s">
        <v>2193</v>
      </c>
      <c r="F516" t="s">
        <v>723</v>
      </c>
      <c r="G516" t="s">
        <v>176</v>
      </c>
      <c r="H516" t="s">
        <v>724</v>
      </c>
      <c r="I516">
        <v>4965</v>
      </c>
      <c r="K516" t="s">
        <v>3001</v>
      </c>
      <c r="L516" t="str">
        <f t="shared" si="139"/>
        <v>"id":"s498",</v>
      </c>
      <c r="M516" t="str">
        <v>"cate":"MA-1",</v>
      </c>
      <c r="N516" t="str">
        <v>"des":"MA-1150475STG",</v>
      </c>
      <c r="O516" t="str">
        <v>"mfg":"MURATA MANUFACTURING",</v>
      </c>
      <c r="P516" t="str">
        <v>"pn":"ZRB15XR61A106ME01D",</v>
      </c>
      <c r="Q516" t="str">
        <v>"qty":5065</v>
      </c>
      <c r="S516" t="s">
        <v>2498</v>
      </c>
      <c r="T516" t="str">
        <f t="shared" si="140"/>
        <v>"id":"s498","cate":"MA-1","des":"MA-1150475STG","mfg":"MURATA MANUFACTURING","pn":"ZRB15XR61A106ME01D","qty":5065</v>
      </c>
      <c r="U516" t="s">
        <v>2503</v>
      </c>
    </row>
    <row r="517" spans="5:21" x14ac:dyDescent="0.25">
      <c r="E517" t="s">
        <v>2193</v>
      </c>
      <c r="F517" t="s">
        <v>725</v>
      </c>
      <c r="G517" t="s">
        <v>207</v>
      </c>
      <c r="H517" t="s">
        <v>726</v>
      </c>
      <c r="I517">
        <v>4962</v>
      </c>
      <c r="K517" t="s">
        <v>3002</v>
      </c>
      <c r="L517" t="str">
        <f t="shared" si="139"/>
        <v>"id":"s499",</v>
      </c>
      <c r="M517" t="str">
        <v>"cate":"MA-1",</v>
      </c>
      <c r="N517" t="str">
        <v>"des":"MA-1150475STG",</v>
      </c>
      <c r="O517" t="str">
        <v>"mfg":"AVX",</v>
      </c>
      <c r="P517" t="str">
        <v>"pn":"0402ZD106MAT2A",</v>
      </c>
      <c r="Q517" t="str">
        <v>"qty":5065</v>
      </c>
      <c r="S517" t="s">
        <v>2498</v>
      </c>
      <c r="T517" t="str">
        <f t="shared" si="140"/>
        <v>"id":"s499","cate":"MA-1","des":"MA-1150475STG","mfg":"AVX","pn":"0402ZD106MAT2A","qty":5065</v>
      </c>
      <c r="U517" t="s">
        <v>2503</v>
      </c>
    </row>
    <row r="518" spans="5:21" x14ac:dyDescent="0.25">
      <c r="E518" t="s">
        <v>2193</v>
      </c>
      <c r="F518" t="s">
        <v>727</v>
      </c>
      <c r="G518" t="s">
        <v>37</v>
      </c>
      <c r="H518" t="s">
        <v>728</v>
      </c>
      <c r="I518">
        <v>4959</v>
      </c>
      <c r="K518" t="s">
        <v>3003</v>
      </c>
      <c r="L518" t="str">
        <f t="shared" si="139"/>
        <v>"id":"s500",</v>
      </c>
      <c r="M518" t="str">
        <v>"cate":"MA-1",</v>
      </c>
      <c r="N518" t="str">
        <v>"des":"MA-1150475STG",</v>
      </c>
      <c r="O518" t="str">
        <v>"mfg":"SAMSUNG",</v>
      </c>
      <c r="P518" t="str">
        <v>"pn":"CL05A106MP5NUNC",</v>
      </c>
      <c r="Q518" t="str">
        <v>"qty":5065</v>
      </c>
      <c r="S518" t="s">
        <v>2498</v>
      </c>
      <c r="T518" t="str">
        <f t="shared" si="140"/>
        <v>"id":"s500","cate":"MA-1","des":"MA-1150475STG","mfg":"SAMSUNG","pn":"CL05A106MP5NUNC","qty":5065</v>
      </c>
      <c r="U518" t="s">
        <v>2503</v>
      </c>
    </row>
    <row r="519" spans="5:21" x14ac:dyDescent="0.25">
      <c r="E519" t="s">
        <v>2193</v>
      </c>
      <c r="F519" t="s">
        <v>727</v>
      </c>
      <c r="G519" t="s">
        <v>207</v>
      </c>
      <c r="H519" t="s">
        <v>729</v>
      </c>
      <c r="I519">
        <v>4959</v>
      </c>
      <c r="K519" t="s">
        <v>3004</v>
      </c>
      <c r="L519" t="str">
        <f t="shared" si="139"/>
        <v>"id":"s501",</v>
      </c>
      <c r="M519" t="str">
        <v>"cate":"Capacitor",</v>
      </c>
      <c r="N519" t="str">
        <v>"des":"Capacitor 100PF 200V1206",</v>
      </c>
      <c r="O519" t="str">
        <v>"mfg":"YAGEO",</v>
      </c>
      <c r="P519" t="str">
        <v>"pn":"CC1206JRNPOABN101",</v>
      </c>
      <c r="Q519" t="str">
        <v>"qty":5058</v>
      </c>
      <c r="S519" t="s">
        <v>2498</v>
      </c>
      <c r="T519" t="str">
        <f t="shared" si="140"/>
        <v>"id":"s501","cate":"Capacitor","des":"Capacitor 100PF 200V1206","mfg":"YAGEO","pn":"CC1206JRNPOABN101","qty":5058</v>
      </c>
      <c r="U519" t="s">
        <v>2503</v>
      </c>
    </row>
    <row r="520" spans="5:21" x14ac:dyDescent="0.25">
      <c r="E520" t="s">
        <v>2193</v>
      </c>
      <c r="F520" t="s">
        <v>730</v>
      </c>
      <c r="G520" t="s">
        <v>207</v>
      </c>
      <c r="H520" t="s">
        <v>731</v>
      </c>
      <c r="I520">
        <v>4947</v>
      </c>
      <c r="K520" t="s">
        <v>3005</v>
      </c>
      <c r="L520" t="str">
        <f t="shared" si="139"/>
        <v>"id":"s502",</v>
      </c>
      <c r="M520" t="str">
        <v>"cate":"FUSE",</v>
      </c>
      <c r="N520" t="str">
        <v>"des":"FUSE CLIP 10A",</v>
      </c>
      <c r="O520" t="str">
        <v>"mfg":"LITTELFUSE",</v>
      </c>
      <c r="P520" t="str">
        <v>"pn":"10207101009",</v>
      </c>
      <c r="Q520" t="str">
        <v>"qty":5025</v>
      </c>
      <c r="S520" t="s">
        <v>2498</v>
      </c>
      <c r="T520" t="str">
        <f t="shared" si="140"/>
        <v>"id":"s502","cate":"FUSE","des":"FUSE CLIP 10A","mfg":"LITTELFUSE","pn":"10207101009","qty":5025</v>
      </c>
      <c r="U520" t="s">
        <v>2503</v>
      </c>
    </row>
    <row r="521" spans="5:21" x14ac:dyDescent="0.25">
      <c r="E521" t="s">
        <v>2193</v>
      </c>
      <c r="F521" t="s">
        <v>732</v>
      </c>
      <c r="G521" t="s">
        <v>13</v>
      </c>
      <c r="H521" t="s">
        <v>733</v>
      </c>
      <c r="I521">
        <v>4936</v>
      </c>
      <c r="K521" t="s">
        <v>3006</v>
      </c>
      <c r="L521" t="str">
        <f t="shared" si="139"/>
        <v>"id":"s503",</v>
      </c>
      <c r="M521" t="str">
        <v>"cate":"Resistor ",</v>
      </c>
      <c r="N521" t="str">
        <v>"des":"RST 470K 1/8W 0,1%S",</v>
      </c>
      <c r="O521" t="str">
        <v>"mfg":"KOA",</v>
      </c>
      <c r="P521" t="str">
        <v>"pn":"RN73R2ATTD4703B25",</v>
      </c>
      <c r="Q521" t="str">
        <v>"qty":5014</v>
      </c>
      <c r="S521" t="s">
        <v>2498</v>
      </c>
      <c r="T521" t="str">
        <f t="shared" si="140"/>
        <v>"id":"s503","cate":"Resistor ","des":"RST 470K 1/8W 0,1%S","mfg":"KOA","pn":"RN73R2ATTD4703B25","qty":5014</v>
      </c>
      <c r="U521" t="s">
        <v>2503</v>
      </c>
    </row>
    <row r="522" spans="5:21" x14ac:dyDescent="0.25">
      <c r="E522" t="s">
        <v>2127</v>
      </c>
      <c r="F522" t="s">
        <v>734</v>
      </c>
      <c r="G522" t="s">
        <v>64</v>
      </c>
      <c r="H522" t="s">
        <v>735</v>
      </c>
      <c r="I522">
        <v>4929</v>
      </c>
      <c r="K522" t="s">
        <v>3007</v>
      </c>
      <c r="L522" t="str">
        <f t="shared" si="139"/>
        <v>"id":"s504",</v>
      </c>
      <c r="M522" t="str">
        <v>"cate":"Resistor ",</v>
      </c>
      <c r="N522" t="str">
        <v>"des":"RST 470K 1/8W 0,1%S",</v>
      </c>
      <c r="O522" t="str">
        <v>"mfg":"KOA",</v>
      </c>
      <c r="P522" t="str">
        <v>"pn":"RN732ATTD4703B25",</v>
      </c>
      <c r="Q522" t="str">
        <v>"qty":5014</v>
      </c>
      <c r="S522" t="s">
        <v>2498</v>
      </c>
      <c r="T522" t="str">
        <f t="shared" si="140"/>
        <v>"id":"s504","cate":"Resistor ","des":"RST 470K 1/8W 0,1%S","mfg":"KOA","pn":"RN732ATTD4703B25","qty":5014</v>
      </c>
      <c r="U522" t="s">
        <v>2503</v>
      </c>
    </row>
    <row r="523" spans="5:21" x14ac:dyDescent="0.25">
      <c r="E523" t="s">
        <v>2193</v>
      </c>
      <c r="F523" t="s">
        <v>736</v>
      </c>
      <c r="G523" t="s">
        <v>13</v>
      </c>
      <c r="H523" t="s">
        <v>737</v>
      </c>
      <c r="I523">
        <v>4929</v>
      </c>
      <c r="K523" t="s">
        <v>3008</v>
      </c>
      <c r="L523" t="str">
        <f t="shared" si="139"/>
        <v>"id":"s505",</v>
      </c>
      <c r="M523" t="str">
        <v>"cate":"Resistor ",</v>
      </c>
      <c r="N523" t="str">
        <v>"des":"RST 200K 1/10W1%603",</v>
      </c>
      <c r="O523" t="str">
        <v>"mfg":"STACKPOLE ELECTRONICS INC",</v>
      </c>
      <c r="P523" t="str">
        <v>"pn":"RMCF0603FT200K",</v>
      </c>
      <c r="Q523" t="str">
        <v>"qty":4989</v>
      </c>
      <c r="S523" t="s">
        <v>2498</v>
      </c>
      <c r="T523" t="str">
        <f t="shared" si="140"/>
        <v>"id":"s505","cate":"Resistor ","des":"RST 200K 1/10W1%603","mfg":"STACKPOLE ELECTRONICS INC","pn":"RMCF0603FT200K","qty":4989</v>
      </c>
      <c r="U523" t="s">
        <v>2503</v>
      </c>
    </row>
    <row r="524" spans="5:21" x14ac:dyDescent="0.25">
      <c r="E524" t="s">
        <v>2193</v>
      </c>
      <c r="F524" t="s">
        <v>736</v>
      </c>
      <c r="G524" t="s">
        <v>320</v>
      </c>
      <c r="H524" t="s">
        <v>738</v>
      </c>
      <c r="I524">
        <v>4929</v>
      </c>
      <c r="K524" t="s">
        <v>3009</v>
      </c>
      <c r="L524" t="str">
        <f t="shared" si="139"/>
        <v>"id":"s506",</v>
      </c>
      <c r="M524" t="str">
        <v>"cate":"Capacitor",</v>
      </c>
      <c r="N524" t="str">
        <v>"des":"Capacitor 1UF/10V 10%402",</v>
      </c>
      <c r="O524" t="str">
        <v>"mfg":"YAGEO",</v>
      </c>
      <c r="P524" t="str">
        <v>"pn":"CC0402KRX5R6BB105",</v>
      </c>
      <c r="Q524" t="str">
        <v>"qty":4976</v>
      </c>
      <c r="S524" t="s">
        <v>2498</v>
      </c>
      <c r="T524" t="str">
        <f t="shared" si="140"/>
        <v>"id":"s506","cate":"Capacitor","des":"Capacitor 1UF/10V 10%402","mfg":"YAGEO","pn":"CC0402KRX5R6BB105","qty":4976</v>
      </c>
      <c r="U524" t="s">
        <v>2503</v>
      </c>
    </row>
    <row r="525" spans="5:21" x14ac:dyDescent="0.25">
      <c r="E525" t="s">
        <v>2193</v>
      </c>
      <c r="F525" t="s">
        <v>739</v>
      </c>
      <c r="G525" t="s">
        <v>37</v>
      </c>
      <c r="H525" t="s">
        <v>740</v>
      </c>
      <c r="I525">
        <v>4921</v>
      </c>
      <c r="K525" t="s">
        <v>3010</v>
      </c>
      <c r="L525" t="str">
        <f t="shared" si="139"/>
        <v>"id":"s507",</v>
      </c>
      <c r="M525" t="str">
        <v>"cate":"Capacitor",</v>
      </c>
      <c r="N525" t="str">
        <v>"des":"Capacitor 1UF/10V 10%402",</v>
      </c>
      <c r="O525" t="str">
        <v>"mfg":"KEMET",</v>
      </c>
      <c r="P525" t="str">
        <v>"pn":"C0402C105K8PAC",</v>
      </c>
      <c r="Q525" t="str">
        <v>"qty":4976</v>
      </c>
      <c r="S525" t="s">
        <v>2498</v>
      </c>
      <c r="T525" t="str">
        <f t="shared" si="140"/>
        <v>"id":"s507","cate":"Capacitor","des":"Capacitor 1UF/10V 10%402","mfg":"KEMET","pn":"C0402C105K8PAC","qty":4976</v>
      </c>
      <c r="U525" t="s">
        <v>2503</v>
      </c>
    </row>
    <row r="526" spans="5:21" x14ac:dyDescent="0.25">
      <c r="E526" t="s">
        <v>2193</v>
      </c>
      <c r="F526" t="s">
        <v>741</v>
      </c>
      <c r="G526" t="s">
        <v>320</v>
      </c>
      <c r="H526" t="s">
        <v>742</v>
      </c>
      <c r="I526">
        <v>4921</v>
      </c>
      <c r="K526" t="s">
        <v>3011</v>
      </c>
      <c r="L526" t="str">
        <f t="shared" si="139"/>
        <v>"id":"s508",</v>
      </c>
      <c r="M526" t="str">
        <v>"cate":"Resistor ",</v>
      </c>
      <c r="N526" t="str">
        <v>"des":"RST 4,7K 0,1W5%603B",</v>
      </c>
      <c r="O526" t="str">
        <v>"mfg":"STACKPOLE ELECTRONICS INC",</v>
      </c>
      <c r="P526" t="str">
        <v>"pn":"RMCF0603JT4K70",</v>
      </c>
      <c r="Q526" t="str">
        <v>"qty":4970</v>
      </c>
      <c r="S526" t="s">
        <v>2498</v>
      </c>
      <c r="T526" t="str">
        <f t="shared" si="140"/>
        <v>"id":"s508","cate":"Resistor ","des":"RST 4,7K 0,1W5%603B","mfg":"STACKPOLE ELECTRONICS INC","pn":"RMCF0603JT4K70","qty":4970</v>
      </c>
      <c r="U526" t="s">
        <v>2503</v>
      </c>
    </row>
    <row r="527" spans="5:21" x14ac:dyDescent="0.25">
      <c r="E527" t="s">
        <v>2193</v>
      </c>
      <c r="F527" t="s">
        <v>741</v>
      </c>
      <c r="G527" t="s">
        <v>207</v>
      </c>
      <c r="H527" t="s">
        <v>743</v>
      </c>
      <c r="I527">
        <v>4921</v>
      </c>
      <c r="K527" t="s">
        <v>3012</v>
      </c>
      <c r="L527" t="str">
        <f t="shared" si="139"/>
        <v>"id":"s509",</v>
      </c>
      <c r="M527" t="str">
        <v>"cate":"Resistor ",</v>
      </c>
      <c r="N527" t="str">
        <v>"des":"RST 1K 1/16W 1%402",</v>
      </c>
      <c r="O527" t="str">
        <v>"mfg":"VISHAY",</v>
      </c>
      <c r="P527" t="str">
        <v>"pn":"CRCW04021K00FKEDC",</v>
      </c>
      <c r="Q527" t="str">
        <v>"qty":4966</v>
      </c>
      <c r="S527" t="s">
        <v>2498</v>
      </c>
      <c r="T527" t="str">
        <f t="shared" si="140"/>
        <v>"id":"s509","cate":"Resistor ","des":"RST 1K 1/16W 1%402","mfg":"VISHAY","pn":"CRCW04021K00FKEDC","qty":4966</v>
      </c>
      <c r="U527" t="s">
        <v>2503</v>
      </c>
    </row>
    <row r="528" spans="5:21" x14ac:dyDescent="0.25">
      <c r="E528" t="s">
        <v>2193</v>
      </c>
      <c r="F528" t="s">
        <v>744</v>
      </c>
      <c r="G528" t="s">
        <v>13</v>
      </c>
      <c r="H528" t="s">
        <v>745</v>
      </c>
      <c r="I528">
        <v>4919</v>
      </c>
      <c r="K528" t="s">
        <v>3013</v>
      </c>
      <c r="L528" t="str">
        <f t="shared" si="139"/>
        <v>"id":"s510",</v>
      </c>
      <c r="M528" t="str">
        <v>"cate":"Resistor ",</v>
      </c>
      <c r="N528" t="str">
        <v>"des":"RST 22 0,1W 1%603",</v>
      </c>
      <c r="O528" t="str">
        <v>"mfg":"YAGEO",</v>
      </c>
      <c r="P528" t="str">
        <v>"pn":"RC0603FR-0722RL",</v>
      </c>
      <c r="Q528" t="str">
        <v>"qty":4965</v>
      </c>
      <c r="S528" t="s">
        <v>2498</v>
      </c>
      <c r="T528" t="str">
        <f t="shared" si="140"/>
        <v>"id":"s510","cate":"Resistor ","des":"RST 22 0,1W 1%603","mfg":"YAGEO","pn":"RC0603FR-0722RL","qty":4965</v>
      </c>
      <c r="U528" t="s">
        <v>2503</v>
      </c>
    </row>
    <row r="529" spans="5:21" x14ac:dyDescent="0.25">
      <c r="E529" t="s">
        <v>2193</v>
      </c>
      <c r="F529" t="s">
        <v>744</v>
      </c>
      <c r="G529" t="s">
        <v>356</v>
      </c>
      <c r="H529" t="s">
        <v>746</v>
      </c>
      <c r="I529">
        <v>4919</v>
      </c>
      <c r="K529" t="s">
        <v>3014</v>
      </c>
      <c r="L529" t="str">
        <f t="shared" si="139"/>
        <v>"id":"s511",</v>
      </c>
      <c r="M529" t="str">
        <v>"cate":"Resistor ",</v>
      </c>
      <c r="N529" t="str">
        <v>"des":"RST 220 1/10W1%0603",</v>
      </c>
      <c r="O529" t="str">
        <v>"mfg":"PANASONIC",</v>
      </c>
      <c r="P529" t="str">
        <v>"pn":"ERJ-3EKF2200V",</v>
      </c>
      <c r="Q529" t="str">
        <v>"qty":4965</v>
      </c>
      <c r="S529" t="s">
        <v>2498</v>
      </c>
      <c r="T529" t="str">
        <f t="shared" si="140"/>
        <v>"id":"s511","cate":"Resistor ","des":"RST 220 1/10W1%0603","mfg":"PANASONIC","pn":"ERJ-3EKF2200V","qty":4965</v>
      </c>
      <c r="U529" t="s">
        <v>2503</v>
      </c>
    </row>
    <row r="530" spans="5:21" x14ac:dyDescent="0.25">
      <c r="E530" t="s">
        <v>2193</v>
      </c>
      <c r="F530" t="s">
        <v>744</v>
      </c>
      <c r="G530" t="s">
        <v>89</v>
      </c>
      <c r="H530" t="s">
        <v>747</v>
      </c>
      <c r="I530">
        <v>4919</v>
      </c>
      <c r="K530" t="s">
        <v>3015</v>
      </c>
      <c r="L530" t="str">
        <f t="shared" si="139"/>
        <v>"id":"s512",</v>
      </c>
      <c r="M530" t="str">
        <v>"cate":"Resistor ",</v>
      </c>
      <c r="N530" t="str">
        <v>"des":"RST 10 1/8W 1%805B",</v>
      </c>
      <c r="O530" t="str">
        <v>"mfg":"STACKPOLE ELECTRONICS INC",</v>
      </c>
      <c r="P530" t="str">
        <v>"pn":"RMCF0805FT10R0",</v>
      </c>
      <c r="Q530" t="str">
        <v>"qty":4962</v>
      </c>
      <c r="S530" t="s">
        <v>2498</v>
      </c>
      <c r="T530" t="str">
        <f t="shared" si="140"/>
        <v>"id":"s512","cate":"Resistor ","des":"RST 10 1/8W 1%805B","mfg":"STACKPOLE ELECTRONICS INC","pn":"RMCF0805FT10R0","qty":4962</v>
      </c>
      <c r="U530" t="s">
        <v>2503</v>
      </c>
    </row>
    <row r="531" spans="5:21" x14ac:dyDescent="0.25">
      <c r="E531" t="s">
        <v>2193</v>
      </c>
      <c r="F531" t="s">
        <v>748</v>
      </c>
      <c r="G531" t="s">
        <v>5</v>
      </c>
      <c r="H531" t="s">
        <v>749</v>
      </c>
      <c r="I531">
        <v>4917</v>
      </c>
      <c r="K531" t="s">
        <v>3016</v>
      </c>
      <c r="L531" t="str">
        <f t="shared" si="139"/>
        <v>"id":"s513",</v>
      </c>
      <c r="M531" t="str">
        <v>"cate":"Resistor ",</v>
      </c>
      <c r="N531" t="str">
        <v>"des":"RST 1K5 0,1W 1%603A",</v>
      </c>
      <c r="O531" t="str">
        <v>"mfg":"VISHAY",</v>
      </c>
      <c r="P531" t="str">
        <v>"pn":"CRCW06031K50FKEA",</v>
      </c>
      <c r="Q531" t="str">
        <v>"qty":4959</v>
      </c>
      <c r="S531" t="s">
        <v>2498</v>
      </c>
      <c r="T531" t="str">
        <f t="shared" si="140"/>
        <v>"id":"s513","cate":"Resistor ","des":"RST 1K5 0,1W 1%603A","mfg":"VISHAY","pn":"CRCW06031K50FKEA","qty":4959</v>
      </c>
      <c r="U531" t="s">
        <v>2503</v>
      </c>
    </row>
    <row r="532" spans="5:21" x14ac:dyDescent="0.25">
      <c r="E532" t="s">
        <v>2193</v>
      </c>
      <c r="F532" t="s">
        <v>750</v>
      </c>
      <c r="G532" t="s">
        <v>207</v>
      </c>
      <c r="H532" t="s">
        <v>751</v>
      </c>
      <c r="I532">
        <v>4915</v>
      </c>
      <c r="K532" t="s">
        <v>3017</v>
      </c>
      <c r="L532" t="str">
        <f t="shared" ref="L532:L595" si="141">_xlfn.CONCAT("""","id","""",":","""",K532,"""",",")</f>
        <v>"id":"s514",</v>
      </c>
      <c r="M532" t="str">
        <v>"cate":"Resistor ",</v>
      </c>
      <c r="N532" t="str">
        <v>"des":"RST 1K5 0,1W 1%603A",</v>
      </c>
      <c r="O532" t="str">
        <v>"mfg":"STACKPOLE ELECTRONICS INC",</v>
      </c>
      <c r="P532" t="str">
        <v>"pn":"RMCF0603FT1K50",</v>
      </c>
      <c r="Q532" t="str">
        <v>"qty":4959</v>
      </c>
      <c r="S532" t="s">
        <v>2498</v>
      </c>
      <c r="T532" t="str">
        <f t="shared" ref="T532:T595" si="142">_xlfn.CONCAT(L532:Q532)</f>
        <v>"id":"s514","cate":"Resistor ","des":"RST 1K5 0,1W 1%603A","mfg":"STACKPOLE ELECTRONICS INC","pn":"RMCF0603FT1K50","qty":4959</v>
      </c>
      <c r="U532" t="s">
        <v>2503</v>
      </c>
    </row>
    <row r="533" spans="5:21" x14ac:dyDescent="0.25">
      <c r="E533" t="s">
        <v>2194</v>
      </c>
      <c r="F533" t="s">
        <v>2257</v>
      </c>
      <c r="G533" t="s">
        <v>13</v>
      </c>
      <c r="H533" t="s">
        <v>752</v>
      </c>
      <c r="I533">
        <v>4910</v>
      </c>
      <c r="K533" t="s">
        <v>3018</v>
      </c>
      <c r="L533" t="str">
        <f t="shared" si="141"/>
        <v>"id":"s515",</v>
      </c>
      <c r="M533" t="str">
        <v>"cate":"Resistor ",</v>
      </c>
      <c r="N533" t="str">
        <v>"des":"RST 100K 0,1W1%603C",</v>
      </c>
      <c r="O533" t="str">
        <v>"mfg":"STACKPOLE ELECTRONICS INC",</v>
      </c>
      <c r="P533" t="str">
        <v>"pn":"RMCF0603FT100K",</v>
      </c>
      <c r="Q533" t="str">
        <v>"qty":4947</v>
      </c>
      <c r="S533" t="s">
        <v>2498</v>
      </c>
      <c r="T533" t="str">
        <f t="shared" si="142"/>
        <v>"id":"s515","cate":"Resistor ","des":"RST 100K 0,1W1%603C","mfg":"STACKPOLE ELECTRONICS INC","pn":"RMCF0603FT100K","qty":4947</v>
      </c>
      <c r="U533" t="s">
        <v>2503</v>
      </c>
    </row>
    <row r="534" spans="5:21" x14ac:dyDescent="0.25">
      <c r="E534" t="s">
        <v>2193</v>
      </c>
      <c r="F534" t="s">
        <v>753</v>
      </c>
      <c r="G534" t="s">
        <v>13</v>
      </c>
      <c r="H534" t="s">
        <v>754</v>
      </c>
      <c r="I534">
        <v>4904</v>
      </c>
      <c r="K534" t="s">
        <v>3019</v>
      </c>
      <c r="L534" t="str">
        <f t="shared" si="141"/>
        <v>"id":"s516",</v>
      </c>
      <c r="M534" t="str">
        <v>"cate":"Resistor ",</v>
      </c>
      <c r="N534" t="str">
        <v>"des":"RST 3,3K 1/8W 5%-A",</v>
      </c>
      <c r="O534" t="str">
        <v>"mfg":"YAGEO",</v>
      </c>
      <c r="P534" t="str">
        <v>"pn":"RC0805JR-073K3L",</v>
      </c>
      <c r="Q534" t="str">
        <v>"qty":4936</v>
      </c>
      <c r="S534" t="s">
        <v>2498</v>
      </c>
      <c r="T534" t="str">
        <f t="shared" si="142"/>
        <v>"id":"s516","cate":"Resistor ","des":"RST 3,3K 1/8W 5%-A","mfg":"YAGEO","pn":"RC0805JR-073K3L","qty":4936</v>
      </c>
      <c r="U534" t="s">
        <v>2503</v>
      </c>
    </row>
    <row r="535" spans="5:21" x14ac:dyDescent="0.25">
      <c r="E535" t="s">
        <v>2193</v>
      </c>
      <c r="F535" t="s">
        <v>755</v>
      </c>
      <c r="G535" t="s">
        <v>176</v>
      </c>
      <c r="H535" t="s">
        <v>756</v>
      </c>
      <c r="I535">
        <v>4892</v>
      </c>
      <c r="K535" t="s">
        <v>3020</v>
      </c>
      <c r="L535" t="str">
        <f t="shared" si="141"/>
        <v>"id":"s517",</v>
      </c>
      <c r="M535" t="str">
        <v>"cate":"IND ",</v>
      </c>
      <c r="N535" t="str">
        <v>"des":"IND 3,3NH 30MR 2A",</v>
      </c>
      <c r="O535" t="str">
        <v>"mfg":"MURATA MANUFACTURING",</v>
      </c>
      <c r="P535" t="str">
        <v>"pn":"LQW15AN3N3B80D",</v>
      </c>
      <c r="Q535" t="str">
        <v>"qty":4929</v>
      </c>
      <c r="S535" t="s">
        <v>2498</v>
      </c>
      <c r="T535" t="str">
        <f t="shared" si="142"/>
        <v>"id":"s517","cate":"IND ","des":"IND 3,3NH 30MR 2A","mfg":"MURATA MANUFACTURING","pn":"LQW15AN3N3B80D","qty":4929</v>
      </c>
      <c r="U535" t="s">
        <v>2503</v>
      </c>
    </row>
    <row r="536" spans="5:21" x14ac:dyDescent="0.25">
      <c r="E536" t="s">
        <v>2193</v>
      </c>
      <c r="F536" t="s">
        <v>757</v>
      </c>
      <c r="G536" t="s">
        <v>37</v>
      </c>
      <c r="H536" t="s">
        <v>758</v>
      </c>
      <c r="I536">
        <v>4891</v>
      </c>
      <c r="K536" t="s">
        <v>3021</v>
      </c>
      <c r="L536" t="str">
        <f t="shared" si="141"/>
        <v>"id":"s518",</v>
      </c>
      <c r="M536" t="str">
        <v>"cate":"Resistor ",</v>
      </c>
      <c r="N536" t="str">
        <v>"des":"RST 3,9K 0,1W 1%603",</v>
      </c>
      <c r="O536" t="str">
        <v>"mfg":"YAGEO",</v>
      </c>
      <c r="P536" t="str">
        <v>"pn":"RC0603FR-073K9L",</v>
      </c>
      <c r="Q536" t="str">
        <v>"qty":4929</v>
      </c>
      <c r="S536" t="s">
        <v>2498</v>
      </c>
      <c r="T536" t="str">
        <f t="shared" si="142"/>
        <v>"id":"s518","cate":"Resistor ","des":"RST 3,9K 0,1W 1%603","mfg":"YAGEO","pn":"RC0603FR-073K9L","qty":4929</v>
      </c>
      <c r="U536" t="s">
        <v>2503</v>
      </c>
    </row>
    <row r="537" spans="5:21" x14ac:dyDescent="0.25">
      <c r="E537" t="s">
        <v>2193</v>
      </c>
      <c r="F537" t="s">
        <v>759</v>
      </c>
      <c r="G537" t="s">
        <v>207</v>
      </c>
      <c r="H537" t="s">
        <v>760</v>
      </c>
      <c r="I537">
        <v>4881</v>
      </c>
      <c r="K537" t="s">
        <v>3022</v>
      </c>
      <c r="L537" t="str">
        <f t="shared" si="141"/>
        <v>"id":"s519",</v>
      </c>
      <c r="M537" t="str">
        <v>"cate":"Resistor ",</v>
      </c>
      <c r="N537" t="str">
        <v>"des":"RST 3,9K 0,1W 1%603",</v>
      </c>
      <c r="O537" t="str">
        <v>"mfg":"ROYAL OHM",</v>
      </c>
      <c r="P537" t="str">
        <v>"pn":"0603WAF3901T5E",</v>
      </c>
      <c r="Q537" t="str">
        <v>"qty":4929</v>
      </c>
      <c r="S537" t="s">
        <v>2498</v>
      </c>
      <c r="T537" t="str">
        <f t="shared" si="142"/>
        <v>"id":"s519","cate":"Resistor ","des":"RST 3,9K 0,1W 1%603","mfg":"ROYAL OHM","pn":"0603WAF3901T5E","qty":4929</v>
      </c>
      <c r="U537" t="s">
        <v>2503</v>
      </c>
    </row>
    <row r="538" spans="5:21" x14ac:dyDescent="0.25">
      <c r="E538" t="s">
        <v>2123</v>
      </c>
      <c r="F538" t="s">
        <v>761</v>
      </c>
      <c r="G538" t="s">
        <v>762</v>
      </c>
      <c r="H538" t="s">
        <v>763</v>
      </c>
      <c r="I538">
        <v>4880</v>
      </c>
      <c r="K538" t="s">
        <v>3023</v>
      </c>
      <c r="L538" t="str">
        <f t="shared" si="141"/>
        <v>"id":"s520",</v>
      </c>
      <c r="M538" t="str">
        <v>"cate":"Resistor ",</v>
      </c>
      <c r="N538" t="str">
        <v>"des":"RST 0 1/2W 5% 1206",</v>
      </c>
      <c r="O538" t="str">
        <v>"mfg":"VISHAY",</v>
      </c>
      <c r="P538" t="str">
        <v>"pn":"RCS12060000Z0EA",</v>
      </c>
      <c r="Q538" t="str">
        <v>"qty":4921</v>
      </c>
      <c r="S538" t="s">
        <v>2498</v>
      </c>
      <c r="T538" t="str">
        <f t="shared" si="142"/>
        <v>"id":"s520","cate":"Resistor ","des":"RST 0 1/2W 5% 1206","mfg":"VISHAY","pn":"RCS12060000Z0EA","qty":4921</v>
      </c>
      <c r="U538" t="s">
        <v>2503</v>
      </c>
    </row>
    <row r="539" spans="5:21" x14ac:dyDescent="0.25">
      <c r="E539" t="s">
        <v>2123</v>
      </c>
      <c r="F539" t="s">
        <v>764</v>
      </c>
      <c r="G539" t="s">
        <v>762</v>
      </c>
      <c r="H539" t="s">
        <v>765</v>
      </c>
      <c r="I539">
        <v>4876</v>
      </c>
      <c r="K539" t="s">
        <v>3024</v>
      </c>
      <c r="L539" t="str">
        <f t="shared" si="141"/>
        <v>"id":"s521",</v>
      </c>
      <c r="M539" t="str">
        <v>"cate":"Resistor ",</v>
      </c>
      <c r="N539" t="str">
        <v>"des":"RST 20K 0,1W1% 0603",</v>
      </c>
      <c r="O539" t="str">
        <v>"mfg":"ROYAL OHM",</v>
      </c>
      <c r="P539" t="str">
        <v>"pn":"0603WAF2002T5E",</v>
      </c>
      <c r="Q539" t="str">
        <v>"qty":4921</v>
      </c>
      <c r="S539" t="s">
        <v>2498</v>
      </c>
      <c r="T539" t="str">
        <f t="shared" si="142"/>
        <v>"id":"s521","cate":"Resistor ","des":"RST 20K 0,1W1% 0603","mfg":"ROYAL OHM","pn":"0603WAF2002T5E","qty":4921</v>
      </c>
      <c r="U539" t="s">
        <v>2503</v>
      </c>
    </row>
    <row r="540" spans="5:21" x14ac:dyDescent="0.25">
      <c r="E540" t="s">
        <v>2127</v>
      </c>
      <c r="F540" t="s">
        <v>766</v>
      </c>
      <c r="G540" t="s">
        <v>64</v>
      </c>
      <c r="H540" t="s">
        <v>767</v>
      </c>
      <c r="I540">
        <v>4857</v>
      </c>
      <c r="K540" t="s">
        <v>3025</v>
      </c>
      <c r="L540" t="str">
        <f t="shared" si="141"/>
        <v>"id":"s522",</v>
      </c>
      <c r="M540" t="str">
        <v>"cate":"Resistor ",</v>
      </c>
      <c r="N540" t="str">
        <v>"des":"RST 20K 0,1W1% 0603",</v>
      </c>
      <c r="O540" t="str">
        <v>"mfg":"STACKPOLE ELECTRONICS INC",</v>
      </c>
      <c r="P540" t="str">
        <v>"pn":"RMCF0603FT20K0",</v>
      </c>
      <c r="Q540" t="str">
        <v>"qty":4921</v>
      </c>
      <c r="S540" t="s">
        <v>2498</v>
      </c>
      <c r="T540" t="str">
        <f t="shared" si="142"/>
        <v>"id":"s522","cate":"Resistor ","des":"RST 20K 0,1W1% 0603","mfg":"STACKPOLE ELECTRONICS INC","pn":"RMCF0603FT20K0","qty":4921</v>
      </c>
      <c r="U540" t="s">
        <v>2503</v>
      </c>
    </row>
    <row r="541" spans="5:21" x14ac:dyDescent="0.25">
      <c r="E541" t="s">
        <v>2193</v>
      </c>
      <c r="F541" t="s">
        <v>768</v>
      </c>
      <c r="G541" t="s">
        <v>320</v>
      </c>
      <c r="H541" t="s">
        <v>769</v>
      </c>
      <c r="I541">
        <v>4840</v>
      </c>
      <c r="K541" t="s">
        <v>3026</v>
      </c>
      <c r="L541" t="str">
        <f t="shared" si="141"/>
        <v>"id":"s523",</v>
      </c>
      <c r="M541" t="str">
        <v>"cate":"Resistor ",</v>
      </c>
      <c r="N541" t="str">
        <v>"des":"RST 100R 1/4W5%206A",</v>
      </c>
      <c r="O541" t="str">
        <v>"mfg":"YAGEO",</v>
      </c>
      <c r="P541" t="str">
        <v>"pn":"YC164-JR-07100RL",</v>
      </c>
      <c r="Q541" t="str">
        <v>"qty":4919</v>
      </c>
      <c r="S541" t="s">
        <v>2498</v>
      </c>
      <c r="T541" t="str">
        <f t="shared" si="142"/>
        <v>"id":"s523","cate":"Resistor ","des":"RST 100R 1/4W5%206A","mfg":"YAGEO","pn":"YC164-JR-07100RL","qty":4919</v>
      </c>
      <c r="U541" t="s">
        <v>2503</v>
      </c>
    </row>
    <row r="542" spans="5:21" x14ac:dyDescent="0.25">
      <c r="E542" t="s">
        <v>2193</v>
      </c>
      <c r="F542" t="s">
        <v>768</v>
      </c>
      <c r="G542" t="s">
        <v>320</v>
      </c>
      <c r="H542" t="s">
        <v>770</v>
      </c>
      <c r="I542">
        <v>4840</v>
      </c>
      <c r="K542" t="s">
        <v>3027</v>
      </c>
      <c r="L542" t="str">
        <f t="shared" si="141"/>
        <v>"id":"s524",</v>
      </c>
      <c r="M542" t="str">
        <v>"cate":"Resistor ",</v>
      </c>
      <c r="N542" t="str">
        <v>"des":"RST 100R 1/4W5%206A",</v>
      </c>
      <c r="O542" t="str">
        <v>"mfg":"BI TECHNOLOGIES",</v>
      </c>
      <c r="P542" t="str">
        <v>"pn":"BCN164AB101J7",</v>
      </c>
      <c r="Q542" t="str">
        <v>"qty":4919</v>
      </c>
      <c r="S542" t="s">
        <v>2498</v>
      </c>
      <c r="T542" t="str">
        <f t="shared" si="142"/>
        <v>"id":"s524","cate":"Resistor ","des":"RST 100R 1/4W5%206A","mfg":"BI TECHNOLOGIES","pn":"BCN164AB101J7","qty":4919</v>
      </c>
      <c r="U542" t="s">
        <v>2503</v>
      </c>
    </row>
    <row r="543" spans="5:21" x14ac:dyDescent="0.25">
      <c r="E543" t="s">
        <v>2193</v>
      </c>
      <c r="F543" t="s">
        <v>768</v>
      </c>
      <c r="G543" t="s">
        <v>207</v>
      </c>
      <c r="H543" t="s">
        <v>771</v>
      </c>
      <c r="I543">
        <v>4840</v>
      </c>
      <c r="K543" t="s">
        <v>3028</v>
      </c>
      <c r="L543" t="str">
        <f t="shared" si="141"/>
        <v>"id":"s525",</v>
      </c>
      <c r="M543" t="str">
        <v>"cate":"Resistor ",</v>
      </c>
      <c r="N543" t="str">
        <v>"des":"RST 100R 1/4W5%206A",</v>
      </c>
      <c r="O543" t="str">
        <v>"mfg":"BOURNS",</v>
      </c>
      <c r="P543" t="str">
        <v>"pn":"CAY16-101J4LF",</v>
      </c>
      <c r="Q543" t="str">
        <v>"qty":4919</v>
      </c>
      <c r="S543" t="s">
        <v>2498</v>
      </c>
      <c r="T543" t="str">
        <f t="shared" si="142"/>
        <v>"id":"s525","cate":"Resistor ","des":"RST 100R 1/4W5%206A","mfg":"BOURNS","pn":"CAY16-101J4LF","qty":4919</v>
      </c>
      <c r="U543" t="s">
        <v>2503</v>
      </c>
    </row>
    <row r="544" spans="5:21" x14ac:dyDescent="0.25">
      <c r="E544" t="s">
        <v>2193</v>
      </c>
      <c r="F544" t="s">
        <v>772</v>
      </c>
      <c r="G544" t="s">
        <v>13</v>
      </c>
      <c r="H544" t="s">
        <v>773</v>
      </c>
      <c r="I544">
        <v>4840</v>
      </c>
      <c r="K544" t="s">
        <v>3029</v>
      </c>
      <c r="L544" t="str">
        <f t="shared" si="141"/>
        <v>"id":"s526",</v>
      </c>
      <c r="M544" t="str">
        <v>"cate":"Resistor ",</v>
      </c>
      <c r="N544" t="str">
        <v>"des":"RST 10K 1/10W 603-A",</v>
      </c>
      <c r="O544" t="str">
        <v>"mfg":"KOA",</v>
      </c>
      <c r="P544" t="str">
        <v>"pn":"RK73B1JTTD103J",</v>
      </c>
      <c r="Q544" t="str">
        <v>"qty":4917</v>
      </c>
      <c r="S544" t="s">
        <v>2498</v>
      </c>
      <c r="T544" t="str">
        <f t="shared" si="142"/>
        <v>"id":"s526","cate":"Resistor ","des":"RST 10K 1/10W 603-A","mfg":"KOA","pn":"RK73B1JTTD103J","qty":4917</v>
      </c>
      <c r="U544" t="s">
        <v>2503</v>
      </c>
    </row>
    <row r="545" spans="5:21" x14ac:dyDescent="0.25">
      <c r="E545" t="s">
        <v>2193</v>
      </c>
      <c r="F545" t="s">
        <v>772</v>
      </c>
      <c r="G545" t="s">
        <v>320</v>
      </c>
      <c r="H545" t="s">
        <v>774</v>
      </c>
      <c r="I545">
        <v>4840</v>
      </c>
      <c r="K545" t="s">
        <v>3030</v>
      </c>
      <c r="L545" t="str">
        <f t="shared" si="141"/>
        <v>"id":"s527",</v>
      </c>
      <c r="M545" t="str">
        <v>"cate":"Resistor ",</v>
      </c>
      <c r="N545" t="str">
        <v>"des":"RST 2K 1/8W 1% 0805",</v>
      </c>
      <c r="O545" t="str">
        <v>"mfg":"STACKPOLE ELECTRONICS INC",</v>
      </c>
      <c r="P545" t="str">
        <v>"pn":"RMCF0805FT2K00",</v>
      </c>
      <c r="Q545" t="str">
        <v>"qty":4915</v>
      </c>
      <c r="S545" t="s">
        <v>2498</v>
      </c>
      <c r="T545" t="str">
        <f t="shared" si="142"/>
        <v>"id":"s527","cate":"Resistor ","des":"RST 2K 1/8W 1% 0805","mfg":"STACKPOLE ELECTRONICS INC","pn":"RMCF0805FT2K00","qty":4915</v>
      </c>
      <c r="U545" t="s">
        <v>2503</v>
      </c>
    </row>
    <row r="546" spans="5:21" x14ac:dyDescent="0.25">
      <c r="E546" t="s">
        <v>2193</v>
      </c>
      <c r="F546" t="s">
        <v>775</v>
      </c>
      <c r="G546" t="s">
        <v>13</v>
      </c>
      <c r="H546" t="s">
        <v>776</v>
      </c>
      <c r="I546">
        <v>4822</v>
      </c>
      <c r="K546" t="s">
        <v>3031</v>
      </c>
      <c r="L546" t="str">
        <f t="shared" si="141"/>
        <v>"id":"s528",</v>
      </c>
      <c r="M546" t="str">
        <v>"cate":"Capacitor",</v>
      </c>
      <c r="N546" t="str">
        <v>"des":"Capacitor 470PF 500V1206",</v>
      </c>
      <c r="O546" t="str">
        <v>"mfg":"YAGEO",</v>
      </c>
      <c r="P546" t="str">
        <v>"pn":"CC1206JRNPOBBN471",</v>
      </c>
      <c r="Q546" t="str">
        <v>"qty":4910</v>
      </c>
      <c r="S546" t="s">
        <v>2498</v>
      </c>
      <c r="T546" t="str">
        <f t="shared" si="142"/>
        <v>"id":"s528","cate":"Capacitor","des":"Capacitor 470PF 500V1206","mfg":"YAGEO","pn":"CC1206JRNPOBBN471","qty":4910</v>
      </c>
      <c r="U546" t="s">
        <v>2503</v>
      </c>
    </row>
    <row r="547" spans="5:21" x14ac:dyDescent="0.25">
      <c r="E547" t="s">
        <v>2193</v>
      </c>
      <c r="F547" t="s">
        <v>777</v>
      </c>
      <c r="G547" t="s">
        <v>320</v>
      </c>
      <c r="H547" t="s">
        <v>778</v>
      </c>
      <c r="I547">
        <v>4815</v>
      </c>
      <c r="K547" t="s">
        <v>3032</v>
      </c>
      <c r="L547" t="str">
        <f t="shared" si="141"/>
        <v>"id":"s529",</v>
      </c>
      <c r="M547" t="str">
        <v>"cate":"Resistor ",</v>
      </c>
      <c r="N547" t="str">
        <v>"des":"RST 110K 1/8W1%805",</v>
      </c>
      <c r="O547" t="str">
        <v>"mfg":"YAGEO",</v>
      </c>
      <c r="P547" t="str">
        <v>"pn":"RC0805FR-07110KL",</v>
      </c>
      <c r="Q547" t="str">
        <v>"qty":4904</v>
      </c>
      <c r="S547" t="s">
        <v>2498</v>
      </c>
      <c r="T547" t="str">
        <f t="shared" si="142"/>
        <v>"id":"s529","cate":"Resistor ","des":"RST 110K 1/8W1%805","mfg":"YAGEO","pn":"RC0805FR-07110KL","qty":4904</v>
      </c>
      <c r="U547" t="s">
        <v>2503</v>
      </c>
    </row>
    <row r="548" spans="5:21" x14ac:dyDescent="0.25">
      <c r="E548" t="s">
        <v>2193</v>
      </c>
      <c r="F548" t="s">
        <v>777</v>
      </c>
      <c r="G548" t="s">
        <v>89</v>
      </c>
      <c r="H548" t="s">
        <v>779</v>
      </c>
      <c r="I548">
        <v>4815</v>
      </c>
      <c r="K548" t="s">
        <v>3033</v>
      </c>
      <c r="L548" t="str">
        <f t="shared" si="141"/>
        <v>"id":"s530",</v>
      </c>
      <c r="M548" t="str">
        <v>"cate":"Resistor ",</v>
      </c>
      <c r="N548" t="str">
        <v>"des":"RST 4K7 0,1W 1%0402",</v>
      </c>
      <c r="O548" t="str">
        <v>"mfg":"PANASONIC",</v>
      </c>
      <c r="P548" t="str">
        <v>"pn":"ERJ-2RKF4701X",</v>
      </c>
      <c r="Q548" t="str">
        <v>"qty":4892</v>
      </c>
      <c r="S548" t="s">
        <v>2498</v>
      </c>
      <c r="T548" t="str">
        <f t="shared" si="142"/>
        <v>"id":"s530","cate":"Resistor ","des":"RST 4K7 0,1W 1%0402","mfg":"PANASONIC","pn":"ERJ-2RKF4701X","qty":4892</v>
      </c>
      <c r="U548" t="s">
        <v>2503</v>
      </c>
    </row>
    <row r="549" spans="5:21" x14ac:dyDescent="0.25">
      <c r="E549" t="s">
        <v>2194</v>
      </c>
      <c r="F549" t="s">
        <v>2258</v>
      </c>
      <c r="G549" t="s">
        <v>13</v>
      </c>
      <c r="H549" t="s">
        <v>780</v>
      </c>
      <c r="I549">
        <v>4807</v>
      </c>
      <c r="K549" t="s">
        <v>3034</v>
      </c>
      <c r="L549" t="str">
        <f t="shared" si="141"/>
        <v>"id":"s531",</v>
      </c>
      <c r="M549" t="str">
        <v>"cate":"Resistor ",</v>
      </c>
      <c r="N549" t="str">
        <v>"des":"RST 390 0,1W 1%603",</v>
      </c>
      <c r="O549" t="str">
        <v>"mfg":"VISHAY",</v>
      </c>
      <c r="P549" t="str">
        <v>"pn":"CRCW0603390RFKEA",</v>
      </c>
      <c r="Q549" t="str">
        <v>"qty":4891</v>
      </c>
      <c r="S549" t="s">
        <v>2498</v>
      </c>
      <c r="T549" t="str">
        <f t="shared" si="142"/>
        <v>"id":"s531","cate":"Resistor ","des":"RST 390 0,1W 1%603","mfg":"VISHAY","pn":"CRCW0603390RFKEA","qty":4891</v>
      </c>
      <c r="U549" t="s">
        <v>2503</v>
      </c>
    </row>
    <row r="550" spans="5:21" x14ac:dyDescent="0.25">
      <c r="E550" t="s">
        <v>2193</v>
      </c>
      <c r="F550" t="s">
        <v>781</v>
      </c>
      <c r="G550" t="s">
        <v>5</v>
      </c>
      <c r="H550" t="s">
        <v>782</v>
      </c>
      <c r="I550">
        <v>4807</v>
      </c>
      <c r="K550" t="s">
        <v>3035</v>
      </c>
      <c r="L550" t="str">
        <f t="shared" si="141"/>
        <v>"id":"s532",</v>
      </c>
      <c r="M550" t="str">
        <v>"cate":"Resistor ",</v>
      </c>
      <c r="N550" t="str">
        <v>"des":"RST 10K 1/8W 5%805B",</v>
      </c>
      <c r="O550" t="str">
        <v>"mfg":"STACKPOLE ELECTRONICS INC",</v>
      </c>
      <c r="P550" t="str">
        <v>"pn":"RMCF0805JT10K0",</v>
      </c>
      <c r="Q550" t="str">
        <v>"qty":4881</v>
      </c>
      <c r="S550" t="s">
        <v>2498</v>
      </c>
      <c r="T550" t="str">
        <f t="shared" si="142"/>
        <v>"id":"s532","cate":"Resistor ","des":"RST 10K 1/8W 5%805B","mfg":"STACKPOLE ELECTRONICS INC","pn":"RMCF0805JT10K0","qty":4881</v>
      </c>
      <c r="U550" t="s">
        <v>2503</v>
      </c>
    </row>
    <row r="551" spans="5:21" x14ac:dyDescent="0.25">
      <c r="E551" t="s">
        <v>2193</v>
      </c>
      <c r="F551" t="s">
        <v>783</v>
      </c>
      <c r="G551" t="s">
        <v>176</v>
      </c>
      <c r="H551" t="s">
        <v>784</v>
      </c>
      <c r="I551">
        <v>4788</v>
      </c>
      <c r="K551" t="s">
        <v>3036</v>
      </c>
      <c r="L551" t="str">
        <f t="shared" si="141"/>
        <v>"id":"s533",</v>
      </c>
      <c r="M551" t="str">
        <v>"cate":"LED ",</v>
      </c>
      <c r="N551" t="str">
        <v>"des":"LED DIA 5 MM CL-RED",</v>
      </c>
      <c r="O551" t="str">
        <v>"mfg":"NICHIA CORPORATION",</v>
      </c>
      <c r="P551" t="str">
        <v>"pn":"NSPR510GS",</v>
      </c>
      <c r="Q551" t="str">
        <v>"qty":4880</v>
      </c>
      <c r="S551" t="s">
        <v>2498</v>
      </c>
      <c r="T551" t="str">
        <f t="shared" si="142"/>
        <v>"id":"s533","cate":"LED ","des":"LED DIA 5 MM CL-RED","mfg":"NICHIA CORPORATION","pn":"NSPR510GS","qty":4880</v>
      </c>
      <c r="U551" t="s">
        <v>2503</v>
      </c>
    </row>
    <row r="552" spans="5:21" x14ac:dyDescent="0.25">
      <c r="E552" t="s">
        <v>2193</v>
      </c>
      <c r="F552" t="s">
        <v>783</v>
      </c>
      <c r="G552" t="s">
        <v>320</v>
      </c>
      <c r="H552" t="s">
        <v>785</v>
      </c>
      <c r="I552">
        <v>4788</v>
      </c>
      <c r="K552" t="s">
        <v>3037</v>
      </c>
      <c r="L552" t="str">
        <f t="shared" si="141"/>
        <v>"id":"s534",</v>
      </c>
      <c r="M552" t="str">
        <v>"cate":"LED ",</v>
      </c>
      <c r="N552" t="str">
        <v>"des":"LED DIA 5 MM CL-ORG",</v>
      </c>
      <c r="O552" t="str">
        <v>"mfg":"NICHIA CORPORATION",</v>
      </c>
      <c r="P552" t="str">
        <v>"pn":"NSPA510BS",</v>
      </c>
      <c r="Q552" t="str">
        <v>"qty":4876</v>
      </c>
      <c r="S552" t="s">
        <v>2498</v>
      </c>
      <c r="T552" t="str">
        <f t="shared" si="142"/>
        <v>"id":"s534","cate":"LED ","des":"LED DIA 5 MM CL-ORG","mfg":"NICHIA CORPORATION","pn":"NSPA510BS","qty":4876</v>
      </c>
      <c r="U552" t="s">
        <v>2503</v>
      </c>
    </row>
    <row r="553" spans="5:21" x14ac:dyDescent="0.25">
      <c r="E553" t="s">
        <v>2405</v>
      </c>
      <c r="F553" t="s">
        <v>2423</v>
      </c>
      <c r="G553" t="s">
        <v>2467</v>
      </c>
      <c r="H553" t="s">
        <v>786</v>
      </c>
      <c r="I553">
        <v>4786</v>
      </c>
      <c r="K553" t="s">
        <v>3038</v>
      </c>
      <c r="L553" t="str">
        <f t="shared" si="141"/>
        <v>"id":"s535",</v>
      </c>
      <c r="M553" t="str">
        <v>"cate":"IND ",</v>
      </c>
      <c r="N553" t="str">
        <v>"des":"IND 2,7NH 50MR850MA",</v>
      </c>
      <c r="O553" t="str">
        <v>"mfg":"MURATA MANUFACTURING",</v>
      </c>
      <c r="P553" t="str">
        <v>"pn":"LQW15AN2N7C00D",</v>
      </c>
      <c r="Q553" t="str">
        <v>"qty":4857</v>
      </c>
      <c r="S553" t="s">
        <v>2498</v>
      </c>
      <c r="T553" t="str">
        <f t="shared" si="142"/>
        <v>"id":"s535","cate":"IND ","des":"IND 2,7NH 50MR850MA","mfg":"MURATA MANUFACTURING","pn":"LQW15AN2N7C00D","qty":4857</v>
      </c>
      <c r="U553" t="s">
        <v>2503</v>
      </c>
    </row>
    <row r="554" spans="5:21" x14ac:dyDescent="0.25">
      <c r="E554" t="s">
        <v>2193</v>
      </c>
      <c r="F554" t="s">
        <v>787</v>
      </c>
      <c r="G554" t="s">
        <v>13</v>
      </c>
      <c r="H554" t="s">
        <v>788</v>
      </c>
      <c r="I554">
        <v>4785</v>
      </c>
      <c r="K554" t="s">
        <v>3039</v>
      </c>
      <c r="L554" t="str">
        <f t="shared" si="141"/>
        <v>"id":"s536",</v>
      </c>
      <c r="M554" t="str">
        <v>"cate":"Resistor ",</v>
      </c>
      <c r="N554" t="str">
        <v>"des":"RST 1 1/8W 1% 0805",</v>
      </c>
      <c r="O554" t="str">
        <v>"mfg":"ROYAL OHM",</v>
      </c>
      <c r="P554" t="str">
        <v>"pn":"CQ05W8F100KT5E",</v>
      </c>
      <c r="Q554" t="str">
        <v>"qty":4840</v>
      </c>
      <c r="S554" t="s">
        <v>2498</v>
      </c>
      <c r="T554" t="str">
        <f t="shared" si="142"/>
        <v>"id":"s536","cate":"Resistor ","des":"RST 1 1/8W 1% 0805","mfg":"ROYAL OHM","pn":"CQ05W8F100KT5E","qty":4840</v>
      </c>
      <c r="U554" t="s">
        <v>2503</v>
      </c>
    </row>
    <row r="555" spans="5:21" x14ac:dyDescent="0.25">
      <c r="E555" s="6" t="s">
        <v>2382</v>
      </c>
      <c r="F555" t="s">
        <v>789</v>
      </c>
      <c r="G555" t="s">
        <v>26</v>
      </c>
      <c r="H555" t="s">
        <v>790</v>
      </c>
      <c r="I555">
        <v>4767</v>
      </c>
      <c r="K555" t="s">
        <v>3040</v>
      </c>
      <c r="L555" t="str">
        <f t="shared" si="141"/>
        <v>"id":"s537",</v>
      </c>
      <c r="M555" t="str">
        <v>"cate":"Resistor ",</v>
      </c>
      <c r="N555" t="str">
        <v>"des":"RST 1 1/8W 1% 0805",</v>
      </c>
      <c r="O555" t="str">
        <v>"mfg":"ROYAL OHM",</v>
      </c>
      <c r="P555" t="str">
        <v>"pn":"0805W8F100KT5E",</v>
      </c>
      <c r="Q555" t="str">
        <v>"qty":4840</v>
      </c>
      <c r="S555" t="s">
        <v>2498</v>
      </c>
      <c r="T555" t="str">
        <f t="shared" si="142"/>
        <v>"id":"s537","cate":"Resistor ","des":"RST 1 1/8W 1% 0805","mfg":"ROYAL OHM","pn":"0805W8F100KT5E","qty":4840</v>
      </c>
      <c r="U555" t="s">
        <v>2503</v>
      </c>
    </row>
    <row r="556" spans="5:21" x14ac:dyDescent="0.25">
      <c r="E556" s="6" t="s">
        <v>2382</v>
      </c>
      <c r="F556" t="s">
        <v>789</v>
      </c>
      <c r="G556" t="s">
        <v>30</v>
      </c>
      <c r="H556" t="s">
        <v>790</v>
      </c>
      <c r="I556">
        <v>4767</v>
      </c>
      <c r="K556" t="s">
        <v>3041</v>
      </c>
      <c r="L556" t="str">
        <f t="shared" si="141"/>
        <v>"id":"s538",</v>
      </c>
      <c r="M556" t="str">
        <v>"cate":"Resistor ",</v>
      </c>
      <c r="N556" t="str">
        <v>"des":"RST 1 1/8W 1% 0805",</v>
      </c>
      <c r="O556" t="str">
        <v>"mfg":"STACKPOLE ELECTRONICS INC",</v>
      </c>
      <c r="P556" t="str">
        <v>"pn":"RMCF0805FT1R00",</v>
      </c>
      <c r="Q556" t="str">
        <v>"qty":4840</v>
      </c>
      <c r="S556" t="s">
        <v>2498</v>
      </c>
      <c r="T556" t="str">
        <f t="shared" si="142"/>
        <v>"id":"s538","cate":"Resistor ","des":"RST 1 1/8W 1% 0805","mfg":"STACKPOLE ELECTRONICS INC","pn":"RMCF0805FT1R00","qty":4840</v>
      </c>
      <c r="U556" t="s">
        <v>2503</v>
      </c>
    </row>
    <row r="557" spans="5:21" x14ac:dyDescent="0.25">
      <c r="E557" t="s">
        <v>2194</v>
      </c>
      <c r="F557" t="s">
        <v>2259</v>
      </c>
      <c r="G557" t="s">
        <v>49</v>
      </c>
      <c r="H557" t="s">
        <v>791</v>
      </c>
      <c r="I557">
        <v>4765</v>
      </c>
      <c r="K557" t="s">
        <v>3042</v>
      </c>
      <c r="L557" t="str">
        <f t="shared" si="141"/>
        <v>"id":"s539",</v>
      </c>
      <c r="M557" t="str">
        <v>"cate":"Resistor ",</v>
      </c>
      <c r="N557" t="str">
        <v>"des":"RST 1,2K 1/8W 1%805",</v>
      </c>
      <c r="O557" t="str">
        <v>"mfg":"YAGEO",</v>
      </c>
      <c r="P557" t="str">
        <v>"pn":"RC0805FR-071K2L",</v>
      </c>
      <c r="Q557" t="str">
        <v>"qty":4840</v>
      </c>
      <c r="S557" t="s">
        <v>2498</v>
      </c>
      <c r="T557" t="str">
        <f t="shared" si="142"/>
        <v>"id":"s539","cate":"Resistor ","des":"RST 1,2K 1/8W 1%805","mfg":"YAGEO","pn":"RC0805FR-071K2L","qty":4840</v>
      </c>
      <c r="U557" t="s">
        <v>2503</v>
      </c>
    </row>
    <row r="558" spans="5:21" x14ac:dyDescent="0.25">
      <c r="E558" t="s">
        <v>2474</v>
      </c>
      <c r="F558" t="s">
        <v>2478</v>
      </c>
      <c r="G558" t="s">
        <v>37</v>
      </c>
      <c r="H558" t="s">
        <v>792</v>
      </c>
      <c r="I558">
        <v>4752</v>
      </c>
      <c r="K558" t="s">
        <v>3043</v>
      </c>
      <c r="L558" t="str">
        <f t="shared" si="141"/>
        <v>"id":"s540",</v>
      </c>
      <c r="M558" t="str">
        <v>"cate":"Resistor ",</v>
      </c>
      <c r="N558" t="str">
        <v>"des":"RST 1,2K 1/8W 1%805",</v>
      </c>
      <c r="O558" t="str">
        <v>"mfg":"ROYAL OHM",</v>
      </c>
      <c r="P558" t="str">
        <v>"pn":"0805W8F1201T5E",</v>
      </c>
      <c r="Q558" t="str">
        <v>"qty":4840</v>
      </c>
      <c r="S558" t="s">
        <v>2498</v>
      </c>
      <c r="T558" t="str">
        <f t="shared" si="142"/>
        <v>"id":"s540","cate":"Resistor ","des":"RST 1,2K 1/8W 1%805","mfg":"ROYAL OHM","pn":"0805W8F1201T5E","qty":4840</v>
      </c>
      <c r="U558" t="s">
        <v>2503</v>
      </c>
    </row>
    <row r="559" spans="5:21" x14ac:dyDescent="0.25">
      <c r="E559" t="s">
        <v>2474</v>
      </c>
      <c r="F559" t="s">
        <v>2478</v>
      </c>
      <c r="G559" t="s">
        <v>37</v>
      </c>
      <c r="H559" t="s">
        <v>793</v>
      </c>
      <c r="I559">
        <v>4752</v>
      </c>
      <c r="K559" t="s">
        <v>3044</v>
      </c>
      <c r="L559" t="str">
        <f t="shared" si="141"/>
        <v>"id":"s541",</v>
      </c>
      <c r="M559" t="str">
        <v>"cate":"Resistor ",</v>
      </c>
      <c r="N559" t="str">
        <v>"des":"RST 2,7K 1/8W 1%805",</v>
      </c>
      <c r="O559" t="str">
        <v>"mfg":"YAGEO",</v>
      </c>
      <c r="P559" t="str">
        <v>"pn":"RC0805FR-072K7L",</v>
      </c>
      <c r="Q559" t="str">
        <v>"qty":4822</v>
      </c>
      <c r="S559" t="s">
        <v>2498</v>
      </c>
      <c r="T559" t="str">
        <f t="shared" si="142"/>
        <v>"id":"s541","cate":"Resistor ","des":"RST 2,7K 1/8W 1%805","mfg":"YAGEO","pn":"RC0805FR-072K7L","qty":4822</v>
      </c>
      <c r="U559" t="s">
        <v>2503</v>
      </c>
    </row>
    <row r="560" spans="5:21" x14ac:dyDescent="0.25">
      <c r="E560" t="s">
        <v>2474</v>
      </c>
      <c r="F560" t="s">
        <v>2478</v>
      </c>
      <c r="G560" t="s">
        <v>37</v>
      </c>
      <c r="H560" t="s">
        <v>794</v>
      </c>
      <c r="I560">
        <v>4752</v>
      </c>
      <c r="K560" t="s">
        <v>3045</v>
      </c>
      <c r="L560" t="str">
        <f t="shared" si="141"/>
        <v>"id":"s542",</v>
      </c>
      <c r="M560" t="str">
        <v>"cate":"Resistor ",</v>
      </c>
      <c r="N560" t="str">
        <v>"des":"RST 22K 1/4W 1%1206",</v>
      </c>
      <c r="O560" t="str">
        <v>"mfg":"ROYAL OHM",</v>
      </c>
      <c r="P560" t="str">
        <v>"pn":"1206W4F2202T5E",</v>
      </c>
      <c r="Q560" t="str">
        <v>"qty":4815</v>
      </c>
      <c r="S560" t="s">
        <v>2498</v>
      </c>
      <c r="T560" t="str">
        <f t="shared" si="142"/>
        <v>"id":"s542","cate":"Resistor ","des":"RST 22K 1/4W 1%1206","mfg":"ROYAL OHM","pn":"1206W4F2202T5E","qty":4815</v>
      </c>
      <c r="U560" t="s">
        <v>2503</v>
      </c>
    </row>
    <row r="561" spans="5:21" x14ac:dyDescent="0.25">
      <c r="E561" t="s">
        <v>2141</v>
      </c>
      <c r="F561" t="s">
        <v>795</v>
      </c>
      <c r="G561" t="s">
        <v>202</v>
      </c>
      <c r="H561" t="s">
        <v>796</v>
      </c>
      <c r="I561">
        <v>4743</v>
      </c>
      <c r="K561" t="s">
        <v>3046</v>
      </c>
      <c r="L561" t="str">
        <f t="shared" si="141"/>
        <v>"id":"s543",</v>
      </c>
      <c r="M561" t="str">
        <v>"cate":"Resistor ",</v>
      </c>
      <c r="N561" t="str">
        <v>"des":"RST 22K 1/4W 1%1206",</v>
      </c>
      <c r="O561" t="str">
        <v>"mfg":"BOURNS",</v>
      </c>
      <c r="P561" t="str">
        <v>"pn":"CR1206-FX-2202ELF",</v>
      </c>
      <c r="Q561" t="str">
        <v>"qty":4815</v>
      </c>
      <c r="S561" t="s">
        <v>2498</v>
      </c>
      <c r="T561" t="str">
        <f t="shared" si="142"/>
        <v>"id":"s543","cate":"Resistor ","des":"RST 22K 1/4W 1%1206","mfg":"BOURNS","pn":"CR1206-FX-2202ELF","qty":4815</v>
      </c>
      <c r="U561" t="s">
        <v>2503</v>
      </c>
    </row>
    <row r="562" spans="5:21" x14ac:dyDescent="0.25">
      <c r="E562" t="s">
        <v>2123</v>
      </c>
      <c r="F562" t="s">
        <v>797</v>
      </c>
      <c r="G562" t="s">
        <v>130</v>
      </c>
      <c r="H562" t="s">
        <v>798</v>
      </c>
      <c r="I562">
        <v>4743</v>
      </c>
      <c r="K562" t="s">
        <v>3047</v>
      </c>
      <c r="L562" t="str">
        <f t="shared" si="141"/>
        <v>"id":"s544",</v>
      </c>
      <c r="M562" t="str">
        <v>"cate":"Capacitor",</v>
      </c>
      <c r="N562" t="str">
        <v>"des":"Capacitor 10NF/25V 0402",</v>
      </c>
      <c r="O562" t="str">
        <v>"mfg":"YAGEO",</v>
      </c>
      <c r="P562" t="str">
        <v>"pn":"CC0402JRX7R8BB103",</v>
      </c>
      <c r="Q562" t="str">
        <v>"qty":4807</v>
      </c>
      <c r="S562" t="s">
        <v>2498</v>
      </c>
      <c r="T562" t="str">
        <f t="shared" si="142"/>
        <v>"id":"s544","cate":"Capacitor","des":"Capacitor 10NF/25V 0402","mfg":"YAGEO","pn":"CC0402JRX7R8BB103","qty":4807</v>
      </c>
      <c r="U562" t="s">
        <v>2503</v>
      </c>
    </row>
    <row r="563" spans="5:21" x14ac:dyDescent="0.25">
      <c r="E563" t="s">
        <v>2123</v>
      </c>
      <c r="F563" t="s">
        <v>797</v>
      </c>
      <c r="G563" t="s">
        <v>130</v>
      </c>
      <c r="H563" t="s">
        <v>799</v>
      </c>
      <c r="I563">
        <v>4743</v>
      </c>
      <c r="K563" t="s">
        <v>3048</v>
      </c>
      <c r="L563" t="str">
        <f t="shared" si="141"/>
        <v>"id":"s545",</v>
      </c>
      <c r="M563" t="str">
        <v>"cate":"Resistor ",</v>
      </c>
      <c r="N563" t="str">
        <v>"des":"RST 75K 1/8W 5% 805",</v>
      </c>
      <c r="O563" t="str">
        <v>"mfg":"KOA",</v>
      </c>
      <c r="P563" t="str">
        <v>"pn":"RK73B2ATTD753J",</v>
      </c>
      <c r="Q563" t="str">
        <v>"qty":4807</v>
      </c>
      <c r="S563" t="s">
        <v>2498</v>
      </c>
      <c r="T563" t="str">
        <f t="shared" si="142"/>
        <v>"id":"s545","cate":"Resistor ","des":"RST 75K 1/8W 5% 805","mfg":"KOA","pn":"RK73B2ATTD753J","qty":4807</v>
      </c>
      <c r="U563" t="s">
        <v>2503</v>
      </c>
    </row>
    <row r="564" spans="5:21" x14ac:dyDescent="0.25">
      <c r="E564" t="s">
        <v>2193</v>
      </c>
      <c r="F564" t="s">
        <v>800</v>
      </c>
      <c r="G564" t="s">
        <v>10</v>
      </c>
      <c r="H564" t="s">
        <v>801</v>
      </c>
      <c r="I564">
        <v>4732</v>
      </c>
      <c r="K564" t="s">
        <v>3049</v>
      </c>
      <c r="L564" t="str">
        <f t="shared" si="141"/>
        <v>"id":"s546",</v>
      </c>
      <c r="M564" t="str">
        <v>"cate":"Resistor ",</v>
      </c>
      <c r="N564" t="str">
        <v>"des":"RST 0R 1/8W 0805 B",</v>
      </c>
      <c r="O564" t="str">
        <v>"mfg":"PANASONIC",</v>
      </c>
      <c r="P564" t="str">
        <v>"pn":"ERJ-6GEY0R00V",</v>
      </c>
      <c r="Q564" t="str">
        <v>"qty":4788</v>
      </c>
      <c r="S564" t="s">
        <v>2498</v>
      </c>
      <c r="T564" t="str">
        <f t="shared" si="142"/>
        <v>"id":"s546","cate":"Resistor ","des":"RST 0R 1/8W 0805 B","mfg":"PANASONIC","pn":"ERJ-6GEY0R00V","qty":4788</v>
      </c>
      <c r="U564" t="s">
        <v>2503</v>
      </c>
    </row>
    <row r="565" spans="5:21" x14ac:dyDescent="0.25">
      <c r="E565" t="s">
        <v>2194</v>
      </c>
      <c r="F565" t="s">
        <v>2260</v>
      </c>
      <c r="G565" t="s">
        <v>47</v>
      </c>
      <c r="H565" t="s">
        <v>802</v>
      </c>
      <c r="I565">
        <v>4722</v>
      </c>
      <c r="K565" t="s">
        <v>3050</v>
      </c>
      <c r="L565" t="str">
        <f t="shared" si="141"/>
        <v>"id":"s547",</v>
      </c>
      <c r="M565" t="str">
        <v>"cate":"Resistor ",</v>
      </c>
      <c r="N565" t="str">
        <v>"des":"RST 0R 1/8W 0805 B",</v>
      </c>
      <c r="O565" t="str">
        <v>"mfg":"ROYAL OHM",</v>
      </c>
      <c r="P565" t="str">
        <v>"pn":"0805W8J0000T5E",</v>
      </c>
      <c r="Q565" t="str">
        <v>"qty":4788</v>
      </c>
      <c r="S565" t="s">
        <v>2498</v>
      </c>
      <c r="T565" t="str">
        <f t="shared" si="142"/>
        <v>"id":"s547","cate":"Resistor ","des":"RST 0R 1/8W 0805 B","mfg":"ROYAL OHM","pn":"0805W8J0000T5E","qty":4788</v>
      </c>
      <c r="U565" t="s">
        <v>2503</v>
      </c>
    </row>
    <row r="566" spans="5:21" x14ac:dyDescent="0.25">
      <c r="E566" s="6" t="s">
        <v>2474</v>
      </c>
      <c r="F566" t="s">
        <v>803</v>
      </c>
      <c r="G566" t="s">
        <v>556</v>
      </c>
      <c r="H566" t="s">
        <v>804</v>
      </c>
      <c r="I566">
        <v>4713</v>
      </c>
      <c r="K566" t="s">
        <v>3051</v>
      </c>
      <c r="L566" t="str">
        <f t="shared" si="141"/>
        <v>"id":"s548",</v>
      </c>
      <c r="M566" t="str">
        <v>"cate":"Diode",</v>
      </c>
      <c r="N566" t="str">
        <v>"des":"DiodeE ZE 5,6V SMD",</v>
      </c>
      <c r="O566" t="str">
        <v>"mfg":"DiodeES INC.",</v>
      </c>
      <c r="P566" t="str">
        <v>"pn":"SMAZ5V6-13-F",</v>
      </c>
      <c r="Q566" t="str">
        <v>"qty":4786</v>
      </c>
      <c r="S566" t="s">
        <v>2498</v>
      </c>
      <c r="T566" t="str">
        <f t="shared" si="142"/>
        <v>"id":"s548","cate":"Diode","des":"DiodeE ZE 5,6V SMD","mfg":"DiodeES INC.","pn":"SMAZ5V6-13-F","qty":4786</v>
      </c>
      <c r="U566" t="s">
        <v>2503</v>
      </c>
    </row>
    <row r="567" spans="5:21" x14ac:dyDescent="0.25">
      <c r="E567" s="6" t="s">
        <v>2474</v>
      </c>
      <c r="F567" t="s">
        <v>803</v>
      </c>
      <c r="G567" t="s">
        <v>2467</v>
      </c>
      <c r="H567" t="s">
        <v>805</v>
      </c>
      <c r="I567">
        <v>4713</v>
      </c>
      <c r="K567" t="s">
        <v>3052</v>
      </c>
      <c r="L567" t="str">
        <f t="shared" si="141"/>
        <v>"id":"s549",</v>
      </c>
      <c r="M567" t="str">
        <v>"cate":"Resistor ",</v>
      </c>
      <c r="N567" t="str">
        <v>"des":"RST 6K81 0,1W1%0603",</v>
      </c>
      <c r="O567" t="str">
        <v>"mfg":"YAGEO",</v>
      </c>
      <c r="P567" t="str">
        <v>"pn":"RC0603FR-076K81L",</v>
      </c>
      <c r="Q567" t="str">
        <v>"qty":4785</v>
      </c>
      <c r="S567" t="s">
        <v>2498</v>
      </c>
      <c r="T567" t="str">
        <f t="shared" si="142"/>
        <v>"id":"s549","cate":"Resistor ","des":"RST 6K81 0,1W1%0603","mfg":"YAGEO","pn":"RC0603FR-076K81L","qty":4785</v>
      </c>
      <c r="U567" t="s">
        <v>2503</v>
      </c>
    </row>
    <row r="568" spans="5:21" x14ac:dyDescent="0.25">
      <c r="E568" s="6" t="s">
        <v>2474</v>
      </c>
      <c r="F568" t="s">
        <v>803</v>
      </c>
      <c r="G568" t="s">
        <v>257</v>
      </c>
      <c r="H568" t="s">
        <v>806</v>
      </c>
      <c r="I568">
        <v>4713</v>
      </c>
      <c r="K568" t="s">
        <v>3053</v>
      </c>
      <c r="L568" t="str">
        <f t="shared" si="141"/>
        <v>"id":"s550",</v>
      </c>
      <c r="M568" t="str">
        <v>"cate":"IC",</v>
      </c>
      <c r="N568" t="str">
        <v>"des":"IC HEF4049BT",</v>
      </c>
      <c r="O568" t="str">
        <v>"mfg":"NXP SEMICONDUCTORS",</v>
      </c>
      <c r="P568" t="str">
        <v>"pn":"HEF4049BT,653",</v>
      </c>
      <c r="Q568" t="str">
        <v>"qty":4767</v>
      </c>
      <c r="S568" t="s">
        <v>2498</v>
      </c>
      <c r="T568" t="str">
        <f t="shared" si="142"/>
        <v>"id":"s550","cate":"IC","des":"IC HEF4049BT","mfg":"NXP SEMICONDUCTORS","pn":"HEF4049BT,653","qty":4767</v>
      </c>
      <c r="U568" t="s">
        <v>2503</v>
      </c>
    </row>
    <row r="569" spans="5:21" x14ac:dyDescent="0.25">
      <c r="E569" t="s">
        <v>2194</v>
      </c>
      <c r="F569" t="s">
        <v>2261</v>
      </c>
      <c r="G569" t="s">
        <v>49</v>
      </c>
      <c r="H569" t="s">
        <v>807</v>
      </c>
      <c r="I569">
        <v>4710</v>
      </c>
      <c r="K569" t="s">
        <v>3054</v>
      </c>
      <c r="L569" t="str">
        <f t="shared" si="141"/>
        <v>"id":"s551",</v>
      </c>
      <c r="M569" t="str">
        <v>"cate":"IC",</v>
      </c>
      <c r="N569" t="str">
        <v>"des":"IC HEF4049BT",</v>
      </c>
      <c r="O569" t="str">
        <v>"mfg":"NEXPERIA",</v>
      </c>
      <c r="P569" t="str">
        <v>"pn":"HEF4049BT,653",</v>
      </c>
      <c r="Q569" t="str">
        <v>"qty":4767</v>
      </c>
      <c r="S569" t="s">
        <v>2498</v>
      </c>
      <c r="T569" t="str">
        <f t="shared" si="142"/>
        <v>"id":"s551","cate":"IC","des":"IC HEF4049BT","mfg":"NEXPERIA","pn":"HEF4049BT,653","qty":4767</v>
      </c>
      <c r="U569" t="s">
        <v>2503</v>
      </c>
    </row>
    <row r="570" spans="5:21" x14ac:dyDescent="0.25">
      <c r="E570" t="s">
        <v>2123</v>
      </c>
      <c r="F570" t="s">
        <v>808</v>
      </c>
      <c r="G570" t="s">
        <v>132</v>
      </c>
      <c r="H570" t="s">
        <v>809</v>
      </c>
      <c r="I570">
        <v>4705</v>
      </c>
      <c r="K570" t="s">
        <v>3055</v>
      </c>
      <c r="L570" t="str">
        <f t="shared" si="141"/>
        <v>"id":"s552",</v>
      </c>
      <c r="M570" t="str">
        <v>"cate":"Capacitor",</v>
      </c>
      <c r="N570" t="str">
        <v>"des":"Capacitor 22NF/50V 0805",</v>
      </c>
      <c r="O570" t="str">
        <v>"mfg":"AVX",</v>
      </c>
      <c r="P570" t="str">
        <v>"pn":"08055C223KAT2A",</v>
      </c>
      <c r="Q570" t="str">
        <v>"qty":4765</v>
      </c>
      <c r="S570" t="s">
        <v>2498</v>
      </c>
      <c r="T570" t="str">
        <f t="shared" si="142"/>
        <v>"id":"s552","cate":"Capacitor","des":"Capacitor 22NF/50V 0805","mfg":"AVX","pn":"08055C223KAT2A","qty":4765</v>
      </c>
      <c r="U570" t="s">
        <v>2503</v>
      </c>
    </row>
    <row r="571" spans="5:21" x14ac:dyDescent="0.25">
      <c r="E571" t="s">
        <v>2123</v>
      </c>
      <c r="F571" t="s">
        <v>808</v>
      </c>
      <c r="G571" t="s">
        <v>132</v>
      </c>
      <c r="H571" t="s">
        <v>810</v>
      </c>
      <c r="I571">
        <v>4705</v>
      </c>
      <c r="K571" t="s">
        <v>3056</v>
      </c>
      <c r="L571" t="str">
        <f t="shared" si="141"/>
        <v>"id":"s553",</v>
      </c>
      <c r="M571" t="str">
        <v>"cate":"MOSFET",</v>
      </c>
      <c r="N571" t="str">
        <v>"des":"MOSFETET 2,6A 60V-A",</v>
      </c>
      <c r="O571" t="str">
        <v>"mfg":"VISHAY",</v>
      </c>
      <c r="P571" t="str">
        <v>"pn":"SI2308BDS-T1-GE3",</v>
      </c>
      <c r="Q571" t="str">
        <v>"qty":4752</v>
      </c>
      <c r="S571" t="s">
        <v>2498</v>
      </c>
      <c r="T571" t="str">
        <f t="shared" si="142"/>
        <v>"id":"s553","cate":"MOSFET","des":"MOSFETET 2,6A 60V-A","mfg":"VISHAY","pn":"SI2308BDS-T1-GE3","qty":4752</v>
      </c>
      <c r="U571" t="s">
        <v>2503</v>
      </c>
    </row>
    <row r="572" spans="5:21" x14ac:dyDescent="0.25">
      <c r="E572" t="s">
        <v>2123</v>
      </c>
      <c r="F572" t="s">
        <v>808</v>
      </c>
      <c r="G572" t="s">
        <v>132</v>
      </c>
      <c r="H572" t="s">
        <v>811</v>
      </c>
      <c r="I572">
        <v>4705</v>
      </c>
      <c r="K572" t="s">
        <v>3057</v>
      </c>
      <c r="L572" t="str">
        <f t="shared" si="141"/>
        <v>"id":"s554",</v>
      </c>
      <c r="M572" t="str">
        <v>"cate":"MOSFET",</v>
      </c>
      <c r="N572" t="str">
        <v>"des":"MOSFETET 2,6A 60V-A",</v>
      </c>
      <c r="O572" t="str">
        <v>"mfg":"VISHAY",</v>
      </c>
      <c r="P572" t="str">
        <v>"pn":"SI2308CDS-T1-GE3",</v>
      </c>
      <c r="Q572" t="str">
        <v>"qty":4752</v>
      </c>
      <c r="S572" t="s">
        <v>2498</v>
      </c>
      <c r="T572" t="str">
        <f t="shared" si="142"/>
        <v>"id":"s554","cate":"MOSFET","des":"MOSFETET 2,6A 60V-A","mfg":"VISHAY","pn":"SI2308CDS-T1-GE3","qty":4752</v>
      </c>
      <c r="U572" t="s">
        <v>2503</v>
      </c>
    </row>
    <row r="573" spans="5:21" x14ac:dyDescent="0.25">
      <c r="E573" t="s">
        <v>2123</v>
      </c>
      <c r="F573" t="s">
        <v>808</v>
      </c>
      <c r="G573" t="s">
        <v>132</v>
      </c>
      <c r="H573" t="s">
        <v>812</v>
      </c>
      <c r="I573">
        <v>4705</v>
      </c>
      <c r="K573" t="s">
        <v>3058</v>
      </c>
      <c r="L573" t="str">
        <f t="shared" si="141"/>
        <v>"id":"s555",</v>
      </c>
      <c r="M573" t="str">
        <v>"cate":"MOSFET",</v>
      </c>
      <c r="N573" t="str">
        <v>"des":"MOSFETET 2,6A 60V-A",</v>
      </c>
      <c r="O573" t="str">
        <v>"mfg":"VISHAY",</v>
      </c>
      <c r="P573" t="str">
        <v>"pn":"SI2308DS-T1-E3",</v>
      </c>
      <c r="Q573" t="str">
        <v>"qty":4752</v>
      </c>
      <c r="S573" t="s">
        <v>2498</v>
      </c>
      <c r="T573" t="str">
        <f t="shared" si="142"/>
        <v>"id":"s555","cate":"MOSFET","des":"MOSFETET 2,6A 60V-A","mfg":"VISHAY","pn":"SI2308DS-T1-E3","qty":4752</v>
      </c>
      <c r="U573" t="s">
        <v>2503</v>
      </c>
    </row>
    <row r="574" spans="5:21" x14ac:dyDescent="0.25">
      <c r="E574" t="s">
        <v>2123</v>
      </c>
      <c r="F574" t="s">
        <v>808</v>
      </c>
      <c r="G574" t="s">
        <v>110</v>
      </c>
      <c r="H574" t="s">
        <v>813</v>
      </c>
      <c r="I574">
        <v>4705</v>
      </c>
      <c r="K574" t="s">
        <v>3059</v>
      </c>
      <c r="L574" t="str">
        <f t="shared" si="141"/>
        <v>"id":"s556",</v>
      </c>
      <c r="M574" t="str">
        <v>"cate":"CNTF",</v>
      </c>
      <c r="N574" t="str">
        <v>"des":"CNTF-IDC-16P-BLK",</v>
      </c>
      <c r="O574" t="str">
        <v>"mfg":"TE CONNECTIVITY",</v>
      </c>
      <c r="P574" t="str">
        <v>"pn":"1658621-3",</v>
      </c>
      <c r="Q574" t="str">
        <v>"qty":4743</v>
      </c>
      <c r="S574" t="s">
        <v>2498</v>
      </c>
      <c r="T574" t="str">
        <f t="shared" si="142"/>
        <v>"id":"s556","cate":"CNTF","des":"CNTF-IDC-16P-BLK","mfg":"TE CONNECTIVITY","pn":"1658621-3","qty":4743</v>
      </c>
      <c r="U574" t="s">
        <v>2503</v>
      </c>
    </row>
    <row r="575" spans="5:21" x14ac:dyDescent="0.25">
      <c r="E575" t="s">
        <v>2123</v>
      </c>
      <c r="F575" t="s">
        <v>808</v>
      </c>
      <c r="G575" t="s">
        <v>110</v>
      </c>
      <c r="H575" t="s">
        <v>814</v>
      </c>
      <c r="I575">
        <v>4705</v>
      </c>
      <c r="K575" t="s">
        <v>3060</v>
      </c>
      <c r="L575" t="str">
        <f t="shared" si="141"/>
        <v>"id":"s557",</v>
      </c>
      <c r="M575" t="str">
        <v>"cate":"LED ",</v>
      </c>
      <c r="N575" t="str">
        <v>"des":"LED GREEN DIA 3 MM",</v>
      </c>
      <c r="O575" t="str">
        <v>"mfg":"EVERLIGHT",</v>
      </c>
      <c r="P575" t="str">
        <v>"pn":"HLMP1523",</v>
      </c>
      <c r="Q575" t="str">
        <v>"qty":4743</v>
      </c>
      <c r="S575" t="s">
        <v>2498</v>
      </c>
      <c r="T575" t="str">
        <f t="shared" si="142"/>
        <v>"id":"s557","cate":"LED ","des":"LED GREEN DIA 3 MM","mfg":"EVERLIGHT","pn":"HLMP1523","qty":4743</v>
      </c>
      <c r="U575" t="s">
        <v>2503</v>
      </c>
    </row>
    <row r="576" spans="5:21" x14ac:dyDescent="0.25">
      <c r="E576" t="s">
        <v>2123</v>
      </c>
      <c r="F576" t="s">
        <v>808</v>
      </c>
      <c r="G576" t="s">
        <v>138</v>
      </c>
      <c r="H576" t="s">
        <v>815</v>
      </c>
      <c r="I576">
        <v>4705</v>
      </c>
      <c r="K576" t="s">
        <v>3061</v>
      </c>
      <c r="L576" t="str">
        <f t="shared" si="141"/>
        <v>"id":"s558",</v>
      </c>
      <c r="M576" t="str">
        <v>"cate":"LED ",</v>
      </c>
      <c r="N576" t="str">
        <v>"des":"LED GREEN DIA 3 MM",</v>
      </c>
      <c r="O576" t="str">
        <v>"mfg":"EVERLIGHT",</v>
      </c>
      <c r="P576" t="str">
        <v>"pn":"HLMP1523/QT264-3GD",</v>
      </c>
      <c r="Q576" t="str">
        <v>"qty":4743</v>
      </c>
      <c r="S576" t="s">
        <v>2498</v>
      </c>
      <c r="T576" t="str">
        <f t="shared" si="142"/>
        <v>"id":"s558","cate":"LED ","des":"LED GREEN DIA 3 MM","mfg":"EVERLIGHT","pn":"HLMP1523/QT264-3GD","qty":4743</v>
      </c>
      <c r="U576" t="s">
        <v>2503</v>
      </c>
    </row>
    <row r="577" spans="5:21" x14ac:dyDescent="0.25">
      <c r="E577" t="s">
        <v>2123</v>
      </c>
      <c r="F577" t="s">
        <v>808</v>
      </c>
      <c r="G577" t="s">
        <v>816</v>
      </c>
      <c r="H577" t="s">
        <v>817</v>
      </c>
      <c r="I577">
        <v>4705</v>
      </c>
      <c r="K577" t="s">
        <v>3062</v>
      </c>
      <c r="L577" t="str">
        <f t="shared" si="141"/>
        <v>"id":"s559",</v>
      </c>
      <c r="M577" t="str">
        <v>"cate":"Resistor ",</v>
      </c>
      <c r="N577" t="str">
        <v>"des":"RST 121R 1/8W1%805A",</v>
      </c>
      <c r="O577" t="str">
        <v>"mfg":"WALSIN",</v>
      </c>
      <c r="P577" t="str">
        <v>"pn":"WR08X1210FTL",</v>
      </c>
      <c r="Q577" t="str">
        <v>"qty":4732</v>
      </c>
      <c r="S577" t="s">
        <v>2498</v>
      </c>
      <c r="T577" t="str">
        <f t="shared" si="142"/>
        <v>"id":"s559","cate":"Resistor ","des":"RST 121R 1/8W1%805A","mfg":"WALSIN","pn":"WR08X1210FTL","qty":4732</v>
      </c>
      <c r="U577" t="s">
        <v>2503</v>
      </c>
    </row>
    <row r="578" spans="5:21" x14ac:dyDescent="0.25">
      <c r="E578" t="s">
        <v>2193</v>
      </c>
      <c r="F578" t="s">
        <v>818</v>
      </c>
      <c r="G578" t="s">
        <v>13</v>
      </c>
      <c r="H578" t="s">
        <v>819</v>
      </c>
      <c r="I578">
        <v>4693</v>
      </c>
      <c r="K578" t="s">
        <v>3063</v>
      </c>
      <c r="L578" t="str">
        <f t="shared" si="141"/>
        <v>"id":"s560",</v>
      </c>
      <c r="M578" t="str">
        <v>"cate":"Capacitor",</v>
      </c>
      <c r="N578" t="str">
        <v>"des":"Capacitor 1NF/50V 1206",</v>
      </c>
      <c r="O578" t="str">
        <v>"mfg":"KEMET",</v>
      </c>
      <c r="P578" t="str">
        <v>"pn":"C1206C102J5GAC",</v>
      </c>
      <c r="Q578" t="str">
        <v>"qty":4722</v>
      </c>
      <c r="S578" t="s">
        <v>2498</v>
      </c>
      <c r="T578" t="str">
        <f t="shared" si="142"/>
        <v>"id":"s560","cate":"Capacitor","des":"Capacitor 1NF/50V 1206","mfg":"KEMET","pn":"C1206C102J5GAC","qty":4722</v>
      </c>
      <c r="U578" t="s">
        <v>2503</v>
      </c>
    </row>
    <row r="579" spans="5:21" x14ac:dyDescent="0.25">
      <c r="E579" t="s">
        <v>2193</v>
      </c>
      <c r="F579" t="s">
        <v>818</v>
      </c>
      <c r="G579" t="s">
        <v>320</v>
      </c>
      <c r="H579" t="s">
        <v>820</v>
      </c>
      <c r="I579">
        <v>4693</v>
      </c>
      <c r="K579" t="s">
        <v>3064</v>
      </c>
      <c r="L579" t="str">
        <f t="shared" si="141"/>
        <v>"id":"s561",</v>
      </c>
      <c r="M579" t="str">
        <v>"cate":"MOSFET",</v>
      </c>
      <c r="N579" t="str">
        <v>"des":"MOS 50V 0,22A SMT",</v>
      </c>
      <c r="O579" t="str">
        <v>"mfg":"INFINEON TECHNOLOGIES",</v>
      </c>
      <c r="P579" t="str">
        <v>"pn":"BSS138N",</v>
      </c>
      <c r="Q579" t="str">
        <v>"qty":4713</v>
      </c>
      <c r="S579" t="s">
        <v>2498</v>
      </c>
      <c r="T579" t="str">
        <f t="shared" si="142"/>
        <v>"id":"s561","cate":"MOSFET","des":"MOS 50V 0,22A SMT","mfg":"INFINEON TECHNOLOGIES","pn":"BSS138N","qty":4713</v>
      </c>
      <c r="U579" t="s">
        <v>2503</v>
      </c>
    </row>
    <row r="580" spans="5:21" x14ac:dyDescent="0.25">
      <c r="E580" t="s">
        <v>2193</v>
      </c>
      <c r="F580" t="s">
        <v>818</v>
      </c>
      <c r="G580" t="s">
        <v>207</v>
      </c>
      <c r="H580" t="s">
        <v>821</v>
      </c>
      <c r="I580">
        <v>4693</v>
      </c>
      <c r="K580" t="s">
        <v>3065</v>
      </c>
      <c r="L580" t="str">
        <f t="shared" si="141"/>
        <v>"id":"s562",</v>
      </c>
      <c r="M580" t="str">
        <v>"cate":"MOSFET",</v>
      </c>
      <c r="N580" t="str">
        <v>"des":"MOS 50V 0,22A SMT",</v>
      </c>
      <c r="O580" t="str">
        <v>"mfg":"DiodeES INC.",</v>
      </c>
      <c r="P580" t="str">
        <v>"pn":"BSS138-7-F",</v>
      </c>
      <c r="Q580" t="str">
        <v>"qty":4713</v>
      </c>
      <c r="S580" t="s">
        <v>2498</v>
      </c>
      <c r="T580" t="str">
        <f t="shared" si="142"/>
        <v>"id":"s562","cate":"MOSFET","des":"MOS 50V 0,22A SMT","mfg":"DiodeES INC.","pn":"BSS138-7-F","qty":4713</v>
      </c>
      <c r="U580" t="s">
        <v>2503</v>
      </c>
    </row>
    <row r="581" spans="5:21" x14ac:dyDescent="0.25">
      <c r="E581" t="s">
        <v>2193</v>
      </c>
      <c r="F581" t="s">
        <v>822</v>
      </c>
      <c r="G581" t="s">
        <v>13</v>
      </c>
      <c r="H581" t="s">
        <v>823</v>
      </c>
      <c r="I581">
        <v>4681</v>
      </c>
      <c r="K581" t="s">
        <v>3066</v>
      </c>
      <c r="L581" t="str">
        <f t="shared" si="141"/>
        <v>"id":"s563",</v>
      </c>
      <c r="M581" t="str">
        <v>"cate":"MOSFET",</v>
      </c>
      <c r="N581" t="str">
        <v>"des":"MOS 50V 0,22A SMT",</v>
      </c>
      <c r="O581" t="str">
        <v>"mfg":"FAIRCHILD SEMICONDUCTOR",</v>
      </c>
      <c r="P581" t="str">
        <v>"pn":"BSS138",</v>
      </c>
      <c r="Q581" t="str">
        <v>"qty":4713</v>
      </c>
      <c r="S581" t="s">
        <v>2498</v>
      </c>
      <c r="T581" t="str">
        <f t="shared" si="142"/>
        <v>"id":"s563","cate":"MOSFET","des":"MOS 50V 0,22A SMT","mfg":"FAIRCHILD SEMICONDUCTOR","pn":"BSS138","qty":4713</v>
      </c>
      <c r="U581" t="s">
        <v>2503</v>
      </c>
    </row>
    <row r="582" spans="5:21" x14ac:dyDescent="0.25">
      <c r="E582" t="s">
        <v>2193</v>
      </c>
      <c r="F582" t="s">
        <v>822</v>
      </c>
      <c r="G582" t="s">
        <v>320</v>
      </c>
      <c r="H582" t="s">
        <v>824</v>
      </c>
      <c r="I582">
        <v>4681</v>
      </c>
      <c r="K582" t="s">
        <v>3067</v>
      </c>
      <c r="L582" t="str">
        <f t="shared" si="141"/>
        <v>"id":"s564",</v>
      </c>
      <c r="M582" t="str">
        <v>"cate":"Capacitor",</v>
      </c>
      <c r="N582" t="str">
        <v>"des":"Capacitor 1PF/25V 0402",</v>
      </c>
      <c r="O582" t="str">
        <v>"mfg":"AVX",</v>
      </c>
      <c r="P582" t="str">
        <v>"pn":"04023J1R0ABSTR",</v>
      </c>
      <c r="Q582" t="str">
        <v>"qty":4710</v>
      </c>
      <c r="S582" t="s">
        <v>2498</v>
      </c>
      <c r="T582" t="str">
        <f t="shared" si="142"/>
        <v>"id":"s564","cate":"Capacitor","des":"Capacitor 1PF/25V 0402","mfg":"AVX","pn":"04023J1R0ABSTR","qty":4710</v>
      </c>
      <c r="U582" t="s">
        <v>2503</v>
      </c>
    </row>
    <row r="583" spans="5:21" x14ac:dyDescent="0.25">
      <c r="E583" t="s">
        <v>2382</v>
      </c>
      <c r="F583" t="s">
        <v>2386</v>
      </c>
      <c r="G583" t="s">
        <v>825</v>
      </c>
      <c r="H583" t="s">
        <v>826</v>
      </c>
      <c r="I583">
        <v>4676</v>
      </c>
      <c r="K583" t="s">
        <v>3068</v>
      </c>
      <c r="L583" t="str">
        <f t="shared" si="141"/>
        <v>"id":"s565",</v>
      </c>
      <c r="M583" t="str">
        <v>"cate":"LED ",</v>
      </c>
      <c r="N583" t="str">
        <v>"des":"LED SMD GREEN",</v>
      </c>
      <c r="O583" t="str">
        <v>"mfg":"KINGBRIGHT",</v>
      </c>
      <c r="P583" t="str">
        <v>"pn":"AA4040CGSK",</v>
      </c>
      <c r="Q583" t="str">
        <v>"qty":4705</v>
      </c>
      <c r="S583" t="s">
        <v>2498</v>
      </c>
      <c r="T583" t="str">
        <f t="shared" si="142"/>
        <v>"id":"s565","cate":"LED ","des":"LED SMD GREEN","mfg":"KINGBRIGHT","pn":"AA4040CGSK","qty":4705</v>
      </c>
      <c r="U583" t="s">
        <v>2503</v>
      </c>
    </row>
    <row r="584" spans="5:21" x14ac:dyDescent="0.25">
      <c r="E584" s="6" t="s">
        <v>2382</v>
      </c>
      <c r="F584" t="s">
        <v>827</v>
      </c>
      <c r="G584" t="s">
        <v>151</v>
      </c>
      <c r="H584" t="s">
        <v>828</v>
      </c>
      <c r="I584">
        <v>4675</v>
      </c>
      <c r="K584" t="s">
        <v>3069</v>
      </c>
      <c r="L584" t="str">
        <f t="shared" si="141"/>
        <v>"id":"s566",</v>
      </c>
      <c r="M584" t="str">
        <v>"cate":"LED ",</v>
      </c>
      <c r="N584" t="str">
        <v>"des":"LED SMD GREEN",</v>
      </c>
      <c r="O584" t="str">
        <v>"mfg":"KINGBRIGHT",</v>
      </c>
      <c r="P584" t="str">
        <v>"pn":"KA-4040-OS570",</v>
      </c>
      <c r="Q584" t="str">
        <v>"qty":4705</v>
      </c>
      <c r="S584" t="s">
        <v>2498</v>
      </c>
      <c r="T584" t="str">
        <f t="shared" si="142"/>
        <v>"id":"s566","cate":"LED ","des":"LED SMD GREEN","mfg":"KINGBRIGHT","pn":"KA-4040-OS570","qty":4705</v>
      </c>
      <c r="U584" t="s">
        <v>2503</v>
      </c>
    </row>
    <row r="585" spans="5:21" x14ac:dyDescent="0.25">
      <c r="E585" s="6" t="s">
        <v>2382</v>
      </c>
      <c r="F585" t="s">
        <v>827</v>
      </c>
      <c r="G585" t="s">
        <v>151</v>
      </c>
      <c r="H585" t="s">
        <v>829</v>
      </c>
      <c r="I585">
        <v>4675</v>
      </c>
      <c r="K585" t="s">
        <v>3070</v>
      </c>
      <c r="L585" t="str">
        <f t="shared" si="141"/>
        <v>"id":"s567",</v>
      </c>
      <c r="M585" t="str">
        <v>"cate":"LED ",</v>
      </c>
      <c r="N585" t="str">
        <v>"des":"LED SMD GREEN",</v>
      </c>
      <c r="O585" t="str">
        <v>"mfg":"KINGBRIGHT",</v>
      </c>
      <c r="P585" t="str">
        <v>"pn":"KA-4040CGCKT",</v>
      </c>
      <c r="Q585" t="str">
        <v>"qty":4705</v>
      </c>
      <c r="S585" t="s">
        <v>2498</v>
      </c>
      <c r="T585" t="str">
        <f t="shared" si="142"/>
        <v>"id":"s567","cate":"LED ","des":"LED SMD GREEN","mfg":"KINGBRIGHT","pn":"KA-4040CGCKT","qty":4705</v>
      </c>
      <c r="U585" t="s">
        <v>2503</v>
      </c>
    </row>
    <row r="586" spans="5:21" x14ac:dyDescent="0.25">
      <c r="E586" t="s">
        <v>2405</v>
      </c>
      <c r="F586" t="s">
        <v>2424</v>
      </c>
      <c r="G586" t="s">
        <v>61</v>
      </c>
      <c r="H586" t="s">
        <v>830</v>
      </c>
      <c r="I586">
        <v>4674</v>
      </c>
      <c r="K586" t="s">
        <v>3071</v>
      </c>
      <c r="L586" t="str">
        <f t="shared" si="141"/>
        <v>"id":"s568",</v>
      </c>
      <c r="M586" t="str">
        <v>"cate":"LED ",</v>
      </c>
      <c r="N586" t="str">
        <v>"des":"LED SMD GREEN",</v>
      </c>
      <c r="O586" t="str">
        <v>"mfg":"KINGBRIGHT",</v>
      </c>
      <c r="P586" t="str">
        <v>"pn":"KA-4040CGSK",</v>
      </c>
      <c r="Q586" t="str">
        <v>"qty":4705</v>
      </c>
      <c r="S586" t="s">
        <v>2498</v>
      </c>
      <c r="T586" t="str">
        <f t="shared" si="142"/>
        <v>"id":"s568","cate":"LED ","des":"LED SMD GREEN","mfg":"KINGBRIGHT","pn":"KA-4040CGSK","qty":4705</v>
      </c>
      <c r="U586" t="s">
        <v>2503</v>
      </c>
    </row>
    <row r="587" spans="5:21" x14ac:dyDescent="0.25">
      <c r="E587" t="s">
        <v>2193</v>
      </c>
      <c r="F587" t="s">
        <v>831</v>
      </c>
      <c r="G587" t="s">
        <v>37</v>
      </c>
      <c r="H587" t="s">
        <v>832</v>
      </c>
      <c r="I587">
        <v>4662</v>
      </c>
      <c r="K587" t="s">
        <v>3072</v>
      </c>
      <c r="L587" t="str">
        <f t="shared" si="141"/>
        <v>"id":"s569",</v>
      </c>
      <c r="M587" t="str">
        <v>"cate":"LED ",</v>
      </c>
      <c r="N587" t="str">
        <v>"des":"LED SMD GREEN",</v>
      </c>
      <c r="O587" t="str">
        <v>"mfg":"OSRAM",</v>
      </c>
      <c r="P587" t="str">
        <v>"pn":"LG A676-P1Q2-24-0-2",</v>
      </c>
      <c r="Q587" t="str">
        <v>"qty":4705</v>
      </c>
      <c r="S587" t="s">
        <v>2498</v>
      </c>
      <c r="T587" t="str">
        <f t="shared" si="142"/>
        <v>"id":"s569","cate":"LED ","des":"LED SMD GREEN","mfg":"OSRAM","pn":"LG A676-P1Q2-24-0-2","qty":4705</v>
      </c>
      <c r="U587" t="s">
        <v>2503</v>
      </c>
    </row>
    <row r="588" spans="5:21" x14ac:dyDescent="0.25">
      <c r="E588" t="s">
        <v>2194</v>
      </c>
      <c r="F588" t="s">
        <v>2262</v>
      </c>
      <c r="G588" t="s">
        <v>47</v>
      </c>
      <c r="H588" t="s">
        <v>439</v>
      </c>
      <c r="I588">
        <v>4661</v>
      </c>
      <c r="K588" t="s">
        <v>3073</v>
      </c>
      <c r="L588" t="str">
        <f t="shared" si="141"/>
        <v>"id":"s570",</v>
      </c>
      <c r="M588" t="str">
        <v>"cate":"LED ",</v>
      </c>
      <c r="N588" t="str">
        <v>"des":"LED SMD GREEN",</v>
      </c>
      <c r="O588" t="str">
        <v>"mfg":"OSRAM",</v>
      </c>
      <c r="P588" t="str">
        <v>"pn":"LG A676-P1Q2-24-0-20R33-Z",</v>
      </c>
      <c r="Q588" t="str">
        <v>"qty":4705</v>
      </c>
      <c r="S588" t="s">
        <v>2498</v>
      </c>
      <c r="T588" t="str">
        <f t="shared" si="142"/>
        <v>"id":"s570","cate":"LED ","des":"LED SMD GREEN","mfg":"OSRAM","pn":"LG A676-P1Q2-24-0-20R33-Z","qty":4705</v>
      </c>
      <c r="U588" t="s">
        <v>2503</v>
      </c>
    </row>
    <row r="589" spans="5:21" x14ac:dyDescent="0.25">
      <c r="E589" t="s">
        <v>2194</v>
      </c>
      <c r="F589" t="s">
        <v>2262</v>
      </c>
      <c r="G589" t="s">
        <v>10</v>
      </c>
      <c r="H589" t="s">
        <v>833</v>
      </c>
      <c r="I589">
        <v>4661</v>
      </c>
      <c r="K589" t="s">
        <v>3074</v>
      </c>
      <c r="L589" t="str">
        <f t="shared" si="141"/>
        <v>"id":"s571",</v>
      </c>
      <c r="M589" t="str">
        <v>"cate":"LED ",</v>
      </c>
      <c r="N589" t="str">
        <v>"des":"LED SMD GREEN",</v>
      </c>
      <c r="O589" t="str">
        <v>"mfg":"DIALIGHT",</v>
      </c>
      <c r="P589" t="str">
        <v>"pn":"597-2301-213F",</v>
      </c>
      <c r="Q589" t="str">
        <v>"qty":4705</v>
      </c>
      <c r="S589" t="s">
        <v>2498</v>
      </c>
      <c r="T589" t="str">
        <f t="shared" si="142"/>
        <v>"id":"s571","cate":"LED ","des":"LED SMD GREEN","mfg":"DIALIGHT","pn":"597-2301-213F","qty":4705</v>
      </c>
      <c r="U589" t="s">
        <v>2503</v>
      </c>
    </row>
    <row r="590" spans="5:21" x14ac:dyDescent="0.25">
      <c r="E590" t="s">
        <v>2193</v>
      </c>
      <c r="F590" t="s">
        <v>834</v>
      </c>
      <c r="G590" t="s">
        <v>37</v>
      </c>
      <c r="H590" t="s">
        <v>835</v>
      </c>
      <c r="I590">
        <v>4656</v>
      </c>
      <c r="K590" t="s">
        <v>3075</v>
      </c>
      <c r="L590" t="str">
        <f t="shared" si="141"/>
        <v>"id":"s572",</v>
      </c>
      <c r="M590" t="str">
        <v>"cate":"LED ",</v>
      </c>
      <c r="N590" t="str">
        <v>"des":"LED SMD GREEN",</v>
      </c>
      <c r="O590" t="str">
        <v>"mfg":"SUNLED",</v>
      </c>
      <c r="P590" t="str">
        <v>"pn":"XZVG67S",</v>
      </c>
      <c r="Q590" t="str">
        <v>"qty":4705</v>
      </c>
      <c r="S590" t="s">
        <v>2498</v>
      </c>
      <c r="T590" t="str">
        <f t="shared" si="142"/>
        <v>"id":"s572","cate":"LED ","des":"LED SMD GREEN","mfg":"SUNLED","pn":"XZVG67S","qty":4705</v>
      </c>
      <c r="U590" t="s">
        <v>2503</v>
      </c>
    </row>
    <row r="591" spans="5:21" x14ac:dyDescent="0.25">
      <c r="E591" t="s">
        <v>2193</v>
      </c>
      <c r="F591" t="s">
        <v>836</v>
      </c>
      <c r="G591" t="s">
        <v>176</v>
      </c>
      <c r="H591" t="s">
        <v>837</v>
      </c>
      <c r="I591">
        <v>4630</v>
      </c>
      <c r="K591" t="s">
        <v>3076</v>
      </c>
      <c r="L591" t="str">
        <f t="shared" si="141"/>
        <v>"id":"s573",</v>
      </c>
      <c r="M591" t="str">
        <v>"cate":"Resistor ",</v>
      </c>
      <c r="N591" t="str">
        <v>"des":"RST 6,8K1/8W1%805-O",</v>
      </c>
      <c r="O591" t="str">
        <v>"mfg":"YAGEO",</v>
      </c>
      <c r="P591" t="str">
        <v>"pn":"RC0805FR-076K8L",</v>
      </c>
      <c r="Q591" t="str">
        <v>"qty":4693</v>
      </c>
      <c r="S591" t="s">
        <v>2498</v>
      </c>
      <c r="T591" t="str">
        <f t="shared" si="142"/>
        <v>"id":"s573","cate":"Resistor ","des":"RST 6,8K1/8W1%805-O","mfg":"YAGEO","pn":"RC0805FR-076K8L","qty":4693</v>
      </c>
      <c r="U591" t="s">
        <v>2503</v>
      </c>
    </row>
    <row r="592" spans="5:21" x14ac:dyDescent="0.25">
      <c r="E592" t="s">
        <v>2193</v>
      </c>
      <c r="F592" t="s">
        <v>836</v>
      </c>
      <c r="G592" t="s">
        <v>13</v>
      </c>
      <c r="H592" t="s">
        <v>838</v>
      </c>
      <c r="I592">
        <v>4630</v>
      </c>
      <c r="K592" t="s">
        <v>3077</v>
      </c>
      <c r="L592" t="str">
        <f t="shared" si="141"/>
        <v>"id":"s574",</v>
      </c>
      <c r="M592" t="str">
        <v>"cate":"Resistor ",</v>
      </c>
      <c r="N592" t="str">
        <v>"des":"RST 6,8K1/8W1%805-O",</v>
      </c>
      <c r="O592" t="str">
        <v>"mfg":"ROYAL OHM",</v>
      </c>
      <c r="P592" t="str">
        <v>"pn":"0805W8F6801T5E",</v>
      </c>
      <c r="Q592" t="str">
        <v>"qty":4693</v>
      </c>
      <c r="S592" t="s">
        <v>2498</v>
      </c>
      <c r="T592" t="str">
        <f t="shared" si="142"/>
        <v>"id":"s574","cate":"Resistor ","des":"RST 6,8K1/8W1%805-O","mfg":"ROYAL OHM","pn":"0805W8F6801T5E","qty":4693</v>
      </c>
      <c r="U592" t="s">
        <v>2503</v>
      </c>
    </row>
    <row r="593" spans="5:21" x14ac:dyDescent="0.25">
      <c r="E593" t="s">
        <v>2193</v>
      </c>
      <c r="F593" t="s">
        <v>836</v>
      </c>
      <c r="G593" t="s">
        <v>89</v>
      </c>
      <c r="H593" t="s">
        <v>839</v>
      </c>
      <c r="I593">
        <v>4630</v>
      </c>
      <c r="K593" t="s">
        <v>3078</v>
      </c>
      <c r="L593" t="str">
        <f t="shared" si="141"/>
        <v>"id":"s575",</v>
      </c>
      <c r="M593" t="str">
        <v>"cate":"Resistor ",</v>
      </c>
      <c r="N593" t="str">
        <v>"des":"RST 6,8K1/8W1%805-O",</v>
      </c>
      <c r="O593" t="str">
        <v>"mfg":"STACKPOLE ELECTRONICS INC",</v>
      </c>
      <c r="P593" t="str">
        <v>"pn":"RMCF0805FT6K80",</v>
      </c>
      <c r="Q593" t="str">
        <v>"qty":4693</v>
      </c>
      <c r="S593" t="s">
        <v>2498</v>
      </c>
      <c r="T593" t="str">
        <f t="shared" si="142"/>
        <v>"id":"s575","cate":"Resistor ","des":"RST 6,8K1/8W1%805-O","mfg":"STACKPOLE ELECTRONICS INC","pn":"RMCF0805FT6K80","qty":4693</v>
      </c>
      <c r="U593" t="s">
        <v>2503</v>
      </c>
    </row>
    <row r="594" spans="5:21" x14ac:dyDescent="0.25">
      <c r="E594" t="s">
        <v>2405</v>
      </c>
      <c r="F594" t="s">
        <v>2425</v>
      </c>
      <c r="G594" t="s">
        <v>30</v>
      </c>
      <c r="H594" t="s">
        <v>840</v>
      </c>
      <c r="I594">
        <v>4563</v>
      </c>
      <c r="K594" t="s">
        <v>3079</v>
      </c>
      <c r="L594" t="str">
        <f t="shared" si="141"/>
        <v>"id":"s576",</v>
      </c>
      <c r="M594" t="str">
        <v>"cate":"Resistor ",</v>
      </c>
      <c r="N594" t="str">
        <v>"des":"RST 10K 1/16W5%402A",</v>
      </c>
      <c r="O594" t="str">
        <v>"mfg":"YAGEO",</v>
      </c>
      <c r="P594" t="str">
        <v>"pn":"RC0402JR-0710KL",</v>
      </c>
      <c r="Q594" t="str">
        <v>"qty":4681</v>
      </c>
      <c r="S594" t="s">
        <v>2498</v>
      </c>
      <c r="T594" t="str">
        <f t="shared" si="142"/>
        <v>"id":"s576","cate":"Resistor ","des":"RST 10K 1/16W5%402A","mfg":"YAGEO","pn":"RC0402JR-0710KL","qty":4681</v>
      </c>
      <c r="U594" t="s">
        <v>2503</v>
      </c>
    </row>
    <row r="595" spans="5:21" x14ac:dyDescent="0.25">
      <c r="E595" t="s">
        <v>2193</v>
      </c>
      <c r="F595" t="s">
        <v>841</v>
      </c>
      <c r="G595" t="s">
        <v>320</v>
      </c>
      <c r="H595" t="s">
        <v>842</v>
      </c>
      <c r="I595">
        <v>4525</v>
      </c>
      <c r="K595" t="s">
        <v>3080</v>
      </c>
      <c r="L595" t="str">
        <f t="shared" si="141"/>
        <v>"id":"s577",</v>
      </c>
      <c r="M595" t="str">
        <v>"cate":"Resistor ",</v>
      </c>
      <c r="N595" t="str">
        <v>"des":"RST 10K 1/16W5%402A",</v>
      </c>
      <c r="O595" t="str">
        <v>"mfg":"ROYAL OHM",</v>
      </c>
      <c r="P595" t="str">
        <v>"pn":"0402WGJ0103TCE",</v>
      </c>
      <c r="Q595" t="str">
        <v>"qty":4681</v>
      </c>
      <c r="S595" t="s">
        <v>2498</v>
      </c>
      <c r="T595" t="str">
        <f t="shared" si="142"/>
        <v>"id":"s577","cate":"Resistor ","des":"RST 10K 1/16W5%402A","mfg":"ROYAL OHM","pn":"0402WGJ0103TCE","qty":4681</v>
      </c>
      <c r="U595" t="s">
        <v>2503</v>
      </c>
    </row>
    <row r="596" spans="5:21" x14ac:dyDescent="0.25">
      <c r="E596" t="s">
        <v>2193</v>
      </c>
      <c r="F596" t="s">
        <v>841</v>
      </c>
      <c r="G596" t="s">
        <v>207</v>
      </c>
      <c r="H596" t="s">
        <v>843</v>
      </c>
      <c r="I596">
        <v>4525</v>
      </c>
      <c r="K596" t="s">
        <v>3081</v>
      </c>
      <c r="L596" t="str">
        <f t="shared" ref="L596:L659" si="143">_xlfn.CONCAT("""","id","""",":","""",K596,"""",",")</f>
        <v>"id":"s578",</v>
      </c>
      <c r="M596" t="str">
        <v>"cate":"IC",</v>
      </c>
      <c r="N596" t="str">
        <v>"des":"ICI8238BB-D-IS1",</v>
      </c>
      <c r="O596" t="str">
        <v>"mfg":"SILICONLABS",</v>
      </c>
      <c r="P596" t="str">
        <v>"pn":"SI8238BB-D-IS1R",</v>
      </c>
      <c r="Q596" t="str">
        <v>"qty":4676</v>
      </c>
      <c r="S596" t="s">
        <v>2498</v>
      </c>
      <c r="T596" t="str">
        <f t="shared" ref="T596:T659" si="144">_xlfn.CONCAT(L596:Q596)</f>
        <v>"id":"s578","cate":"IC","des":"ICI8238BB-D-IS1","mfg":"SILICONLABS","pn":"SI8238BB-D-IS1R","qty":4676</v>
      </c>
      <c r="U596" t="s">
        <v>2503</v>
      </c>
    </row>
    <row r="597" spans="5:21" x14ac:dyDescent="0.25">
      <c r="E597" t="s">
        <v>2193</v>
      </c>
      <c r="F597" t="s">
        <v>844</v>
      </c>
      <c r="G597" t="s">
        <v>13</v>
      </c>
      <c r="H597" t="s">
        <v>191</v>
      </c>
      <c r="I597">
        <v>4520</v>
      </c>
      <c r="K597" t="s">
        <v>3082</v>
      </c>
      <c r="L597" t="str">
        <f t="shared" si="143"/>
        <v>"id":"s579",</v>
      </c>
      <c r="M597" t="str">
        <v>"cate":"IC",</v>
      </c>
      <c r="N597" t="str">
        <v>"des":"IC R5F5631PDDFM",</v>
      </c>
      <c r="O597" t="str">
        <v>"mfg":"RENESAS",</v>
      </c>
      <c r="P597" t="str">
        <v>"pn":"R5F5631PDDFM#V0",</v>
      </c>
      <c r="Q597" t="str">
        <v>"qty":4675</v>
      </c>
      <c r="S597" t="s">
        <v>2498</v>
      </c>
      <c r="T597" t="str">
        <f t="shared" si="144"/>
        <v>"id":"s579","cate":"IC","des":"IC R5F5631PDDFM","mfg":"RENESAS","pn":"R5F5631PDDFM#V0","qty":4675</v>
      </c>
      <c r="U597" t="s">
        <v>2503</v>
      </c>
    </row>
    <row r="598" spans="5:21" x14ac:dyDescent="0.25">
      <c r="E598" t="s">
        <v>2193</v>
      </c>
      <c r="F598" t="s">
        <v>844</v>
      </c>
      <c r="G598" t="s">
        <v>320</v>
      </c>
      <c r="H598" t="s">
        <v>845</v>
      </c>
      <c r="I598">
        <v>4520</v>
      </c>
      <c r="K598" t="s">
        <v>3083</v>
      </c>
      <c r="L598" t="str">
        <f t="shared" si="143"/>
        <v>"id":"s580",</v>
      </c>
      <c r="M598" t="str">
        <v>"cate":"IC",</v>
      </c>
      <c r="N598" t="str">
        <v>"des":"IC R5F5631PDDFM",</v>
      </c>
      <c r="O598" t="str">
        <v>"mfg":"RENESAS",</v>
      </c>
      <c r="P598" t="str">
        <v>"pn":"R5F5631PDDFM#10",</v>
      </c>
      <c r="Q598" t="str">
        <v>"qty":4675</v>
      </c>
      <c r="S598" t="s">
        <v>2498</v>
      </c>
      <c r="T598" t="str">
        <f t="shared" si="144"/>
        <v>"id":"s580","cate":"IC","des":"IC R5F5631PDDFM","mfg":"RENESAS","pn":"R5F5631PDDFM#10","qty":4675</v>
      </c>
      <c r="U598" t="s">
        <v>2503</v>
      </c>
    </row>
    <row r="599" spans="5:21" x14ac:dyDescent="0.25">
      <c r="E599" t="s">
        <v>2152</v>
      </c>
      <c r="F599" t="s">
        <v>846</v>
      </c>
      <c r="G599" t="s">
        <v>160</v>
      </c>
      <c r="H599" t="s">
        <v>847</v>
      </c>
      <c r="I599">
        <v>4500</v>
      </c>
      <c r="K599" t="s">
        <v>3084</v>
      </c>
      <c r="L599" t="str">
        <f t="shared" si="143"/>
        <v>"id":"s581",</v>
      </c>
      <c r="M599" t="str">
        <v>"cate":"Diode",</v>
      </c>
      <c r="N599" t="str">
        <v>"des":"DiodeE 1A 100V",</v>
      </c>
      <c r="O599" t="str">
        <v>"mfg":"STMICROELECTRONICS",</v>
      </c>
      <c r="P599" t="str">
        <v>"pn":"STPS1H100U",</v>
      </c>
      <c r="Q599" t="str">
        <v>"qty":4674</v>
      </c>
      <c r="S599" t="s">
        <v>2498</v>
      </c>
      <c r="T599" t="str">
        <f t="shared" si="144"/>
        <v>"id":"s581","cate":"Diode","des":"DiodeE 1A 100V","mfg":"STMICROELECTRONICS","pn":"STPS1H100U","qty":4674</v>
      </c>
      <c r="U599" t="s">
        <v>2503</v>
      </c>
    </row>
    <row r="600" spans="5:21" x14ac:dyDescent="0.25">
      <c r="E600" t="s">
        <v>2152</v>
      </c>
      <c r="F600" t="s">
        <v>846</v>
      </c>
      <c r="G600" t="s">
        <v>160</v>
      </c>
      <c r="H600" t="s">
        <v>846</v>
      </c>
      <c r="I600">
        <v>4500</v>
      </c>
      <c r="K600" t="s">
        <v>3085</v>
      </c>
      <c r="L600" t="str">
        <f t="shared" si="143"/>
        <v>"id":"s582",</v>
      </c>
      <c r="M600" t="str">
        <v>"cate":"Resistor ",</v>
      </c>
      <c r="N600" t="str">
        <v>"des":"RST 4,7K 1/8W5%805C",</v>
      </c>
      <c r="O600" t="str">
        <v>"mfg":"VISHAY",</v>
      </c>
      <c r="P600" t="str">
        <v>"pn":"CRCW08054K70JNEAC",</v>
      </c>
      <c r="Q600" t="str">
        <v>"qty":4662</v>
      </c>
      <c r="S600" t="s">
        <v>2498</v>
      </c>
      <c r="T600" t="str">
        <f t="shared" si="144"/>
        <v>"id":"s582","cate":"Resistor ","des":"RST 4,7K 1/8W5%805C","mfg":"VISHAY","pn":"CRCW08054K70JNEAC","qty":4662</v>
      </c>
      <c r="U600" t="s">
        <v>2503</v>
      </c>
    </row>
    <row r="601" spans="5:21" x14ac:dyDescent="0.25">
      <c r="E601" t="s">
        <v>2152</v>
      </c>
      <c r="F601" t="s">
        <v>846</v>
      </c>
      <c r="G601" t="s">
        <v>160</v>
      </c>
      <c r="H601" t="s">
        <v>848</v>
      </c>
      <c r="I601">
        <v>4500</v>
      </c>
      <c r="K601" t="s">
        <v>3086</v>
      </c>
      <c r="L601" t="str">
        <f t="shared" si="143"/>
        <v>"id":"s583",</v>
      </c>
      <c r="M601" t="str">
        <v>"cate":"Capacitor",</v>
      </c>
      <c r="N601" t="str">
        <v>"des":"Capacitor 100PF/50V 402",</v>
      </c>
      <c r="O601" t="str">
        <v>"mfg":"KEMET",</v>
      </c>
      <c r="P601" t="str">
        <v>"pn":"C0402C101J5GACTU",</v>
      </c>
      <c r="Q601" t="str">
        <v>"qty":4661</v>
      </c>
      <c r="S601" t="s">
        <v>2498</v>
      </c>
      <c r="T601" t="str">
        <f t="shared" si="144"/>
        <v>"id":"s583","cate":"Capacitor","des":"Capacitor 100PF/50V 402","mfg":"KEMET","pn":"C0402C101J5GACTU","qty":4661</v>
      </c>
      <c r="U601" t="s">
        <v>2503</v>
      </c>
    </row>
    <row r="602" spans="5:21" x14ac:dyDescent="0.25">
      <c r="E602" t="s">
        <v>2152</v>
      </c>
      <c r="F602" t="s">
        <v>846</v>
      </c>
      <c r="G602" t="s">
        <v>160</v>
      </c>
      <c r="H602" t="s">
        <v>849</v>
      </c>
      <c r="I602">
        <v>4500</v>
      </c>
      <c r="K602" t="s">
        <v>3087</v>
      </c>
      <c r="L602" t="str">
        <f t="shared" si="143"/>
        <v>"id":"s584",</v>
      </c>
      <c r="M602" t="str">
        <v>"cate":"Capacitor",</v>
      </c>
      <c r="N602" t="str">
        <v>"des":"Capacitor 100PF/50V 402",</v>
      </c>
      <c r="O602" t="str">
        <v>"mfg":"WALSIN",</v>
      </c>
      <c r="P602" t="str">
        <v>"pn":"0402N101J500CT",</v>
      </c>
      <c r="Q602" t="str">
        <v>"qty":4661</v>
      </c>
      <c r="S602" t="s">
        <v>2498</v>
      </c>
      <c r="T602" t="str">
        <f t="shared" si="144"/>
        <v>"id":"s584","cate":"Capacitor","des":"Capacitor 100PF/50V 402","mfg":"WALSIN","pn":"0402N101J500CT","qty":4661</v>
      </c>
      <c r="U602" t="s">
        <v>2503</v>
      </c>
    </row>
    <row r="603" spans="5:21" x14ac:dyDescent="0.25">
      <c r="E603" t="s">
        <v>2405</v>
      </c>
      <c r="F603" t="s">
        <v>2426</v>
      </c>
      <c r="G603" t="s">
        <v>57</v>
      </c>
      <c r="H603" t="s">
        <v>850</v>
      </c>
      <c r="I603">
        <v>4489</v>
      </c>
      <c r="K603" t="s">
        <v>3088</v>
      </c>
      <c r="L603" t="str">
        <f t="shared" si="143"/>
        <v>"id":"s585",</v>
      </c>
      <c r="M603" t="str">
        <v>"cate":"Resistor ",</v>
      </c>
      <c r="N603" t="str">
        <v>"des":"RST 1K 0,1W 1%0603",</v>
      </c>
      <c r="O603" t="str">
        <v>"mfg":"VISHAY",</v>
      </c>
      <c r="P603" t="str">
        <v>"pn":"CRCW06031K00FKEA",</v>
      </c>
      <c r="Q603" t="str">
        <v>"qty":4656</v>
      </c>
      <c r="S603" t="s">
        <v>2498</v>
      </c>
      <c r="T603" t="str">
        <f t="shared" si="144"/>
        <v>"id":"s585","cate":"Resistor ","des":"RST 1K 0,1W 1%0603","mfg":"VISHAY","pn":"CRCW06031K00FKEA","qty":4656</v>
      </c>
      <c r="U603" t="s">
        <v>2503</v>
      </c>
    </row>
    <row r="604" spans="5:21" x14ac:dyDescent="0.25">
      <c r="E604" t="s">
        <v>2405</v>
      </c>
      <c r="F604" t="s">
        <v>2426</v>
      </c>
      <c r="G604" t="s">
        <v>89</v>
      </c>
      <c r="H604" t="s">
        <v>850</v>
      </c>
      <c r="I604">
        <v>4489</v>
      </c>
      <c r="K604" t="s">
        <v>3089</v>
      </c>
      <c r="L604" t="str">
        <f t="shared" si="143"/>
        <v>"id":"s586",</v>
      </c>
      <c r="M604" t="str">
        <v>"cate":"Resistor ",</v>
      </c>
      <c r="N604" t="str">
        <v>"des":"RST 150 1/10W1%603A",</v>
      </c>
      <c r="O604" t="str">
        <v>"mfg":"PANASONIC",</v>
      </c>
      <c r="P604" t="str">
        <v>"pn":"ERJ3GEYJ151V",</v>
      </c>
      <c r="Q604" t="str">
        <v>"qty":4630</v>
      </c>
      <c r="S604" t="s">
        <v>2498</v>
      </c>
      <c r="T604" t="str">
        <f t="shared" si="144"/>
        <v>"id":"s586","cate":"Resistor ","des":"RST 150 1/10W1%603A","mfg":"PANASONIC","pn":"ERJ3GEYJ151V","qty":4630</v>
      </c>
      <c r="U604" t="s">
        <v>2503</v>
      </c>
    </row>
    <row r="605" spans="5:21" x14ac:dyDescent="0.25">
      <c r="E605" t="s">
        <v>2193</v>
      </c>
      <c r="F605" t="s">
        <v>851</v>
      </c>
      <c r="G605" t="s">
        <v>13</v>
      </c>
      <c r="H605" t="s">
        <v>852</v>
      </c>
      <c r="I605">
        <v>4479</v>
      </c>
      <c r="K605" t="s">
        <v>3090</v>
      </c>
      <c r="L605" t="str">
        <f t="shared" si="143"/>
        <v>"id":"s587",</v>
      </c>
      <c r="M605" t="str">
        <v>"cate":"Resistor ",</v>
      </c>
      <c r="N605" t="str">
        <v>"des":"RST 150 1/10W1%603A",</v>
      </c>
      <c r="O605" t="str">
        <v>"mfg":"YAGEO",</v>
      </c>
      <c r="P605" t="str">
        <v>"pn":"RC0603JR-07150RL",</v>
      </c>
      <c r="Q605" t="str">
        <v>"qty":4630</v>
      </c>
      <c r="S605" t="s">
        <v>2498</v>
      </c>
      <c r="T605" t="str">
        <f t="shared" si="144"/>
        <v>"id":"s587","cate":"Resistor ","des":"RST 150 1/10W1%603A","mfg":"YAGEO","pn":"RC0603JR-07150RL","qty":4630</v>
      </c>
      <c r="U605" t="s">
        <v>2503</v>
      </c>
    </row>
    <row r="606" spans="5:21" x14ac:dyDescent="0.25">
      <c r="E606" t="s">
        <v>2194</v>
      </c>
      <c r="F606" t="s">
        <v>2263</v>
      </c>
      <c r="G606" t="s">
        <v>8</v>
      </c>
      <c r="H606" t="s">
        <v>853</v>
      </c>
      <c r="I606">
        <v>4468</v>
      </c>
      <c r="K606" t="s">
        <v>3091</v>
      </c>
      <c r="L606" t="str">
        <f t="shared" si="143"/>
        <v>"id":"s588",</v>
      </c>
      <c r="M606" t="str">
        <v>"cate":"Resistor ",</v>
      </c>
      <c r="N606" t="str">
        <v>"des":"RST 150 1/10W1%603A",</v>
      </c>
      <c r="O606" t="str">
        <v>"mfg":"BOURNS",</v>
      </c>
      <c r="P606" t="str">
        <v>"pn":"CR0603-JW-151ELF",</v>
      </c>
      <c r="Q606" t="str">
        <v>"qty":4630</v>
      </c>
      <c r="S606" t="s">
        <v>2498</v>
      </c>
      <c r="T606" t="str">
        <f t="shared" si="144"/>
        <v>"id":"s588","cate":"Resistor ","des":"RST 150 1/10W1%603A","mfg":"BOURNS","pn":"CR0603-JW-151ELF","qty":4630</v>
      </c>
      <c r="U606" t="s">
        <v>2503</v>
      </c>
    </row>
    <row r="607" spans="5:21" x14ac:dyDescent="0.25">
      <c r="E607" t="s">
        <v>2194</v>
      </c>
      <c r="F607" t="s">
        <v>2263</v>
      </c>
      <c r="G607" t="s">
        <v>8</v>
      </c>
      <c r="H607" t="s">
        <v>854</v>
      </c>
      <c r="I607">
        <v>4468</v>
      </c>
      <c r="K607" t="s">
        <v>3092</v>
      </c>
      <c r="L607" t="str">
        <f t="shared" si="143"/>
        <v>"id":"s589",</v>
      </c>
      <c r="M607" t="str">
        <v>"cate":"Diode",</v>
      </c>
      <c r="N607" t="str">
        <v>"des":"DiodeE TVS 8V5SOD123",</v>
      </c>
      <c r="O607" t="str">
        <v>"mfg":"NEXPERIA",</v>
      </c>
      <c r="P607" t="str">
        <v>"pn":"PTVS8V5S1UR,115",</v>
      </c>
      <c r="Q607" t="str">
        <v>"qty":4563</v>
      </c>
      <c r="S607" t="s">
        <v>2498</v>
      </c>
      <c r="T607" t="str">
        <f t="shared" si="144"/>
        <v>"id":"s589","cate":"Diode","des":"DiodeE TVS 8V5SOD123","mfg":"NEXPERIA","pn":"PTVS8V5S1UR,115","qty":4563</v>
      </c>
      <c r="U607" t="s">
        <v>2503</v>
      </c>
    </row>
    <row r="608" spans="5:21" x14ac:dyDescent="0.25">
      <c r="E608" t="s">
        <v>2194</v>
      </c>
      <c r="F608" t="s">
        <v>2263</v>
      </c>
      <c r="G608" t="s">
        <v>10</v>
      </c>
      <c r="H608" t="s">
        <v>855</v>
      </c>
      <c r="I608">
        <v>4468</v>
      </c>
      <c r="K608" t="s">
        <v>3093</v>
      </c>
      <c r="L608" t="str">
        <f t="shared" si="143"/>
        <v>"id":"s590",</v>
      </c>
      <c r="M608" t="str">
        <v>"cate":"Resistor ",</v>
      </c>
      <c r="N608" t="str">
        <v>"des":"RST 4,7K 0,1W1%0603",</v>
      </c>
      <c r="O608" t="str">
        <v>"mfg":"ROYAL OHM",</v>
      </c>
      <c r="P608" t="str">
        <v>"pn":"0603WAF4701T5E",</v>
      </c>
      <c r="Q608" t="str">
        <v>"qty":4525</v>
      </c>
      <c r="S608" t="s">
        <v>2498</v>
      </c>
      <c r="T608" t="str">
        <f t="shared" si="144"/>
        <v>"id":"s590","cate":"Resistor ","des":"RST 4,7K 0,1W1%0603","mfg":"ROYAL OHM","pn":"0603WAF4701T5E","qty":4525</v>
      </c>
      <c r="U608" t="s">
        <v>2503</v>
      </c>
    </row>
    <row r="609" spans="5:21" x14ac:dyDescent="0.25">
      <c r="E609" t="s">
        <v>2193</v>
      </c>
      <c r="F609" t="s">
        <v>856</v>
      </c>
      <c r="G609" t="s">
        <v>13</v>
      </c>
      <c r="H609" t="s">
        <v>857</v>
      </c>
      <c r="I609">
        <v>4449</v>
      </c>
      <c r="K609" t="s">
        <v>3094</v>
      </c>
      <c r="L609" t="str">
        <f t="shared" si="143"/>
        <v>"id":"s591",</v>
      </c>
      <c r="M609" t="str">
        <v>"cate":"Resistor ",</v>
      </c>
      <c r="N609" t="str">
        <v>"des":"RST 4,7K 0,1W1%0603",</v>
      </c>
      <c r="O609" t="str">
        <v>"mfg":"STACKPOLE ELECTRONICS INC",</v>
      </c>
      <c r="P609" t="str">
        <v>"pn":"RMCF0603FT4K70",</v>
      </c>
      <c r="Q609" t="str">
        <v>"qty":4525</v>
      </c>
      <c r="S609" t="s">
        <v>2498</v>
      </c>
      <c r="T609" t="str">
        <f t="shared" si="144"/>
        <v>"id":"s591","cate":"Resistor ","des":"RST 4,7K 0,1W1%0603","mfg":"STACKPOLE ELECTRONICS INC","pn":"RMCF0603FT4K70","qty":4525</v>
      </c>
      <c r="U609" t="s">
        <v>2503</v>
      </c>
    </row>
    <row r="610" spans="5:21" x14ac:dyDescent="0.25">
      <c r="E610" t="s">
        <v>2193</v>
      </c>
      <c r="F610" t="s">
        <v>856</v>
      </c>
      <c r="G610" t="s">
        <v>320</v>
      </c>
      <c r="H610" t="s">
        <v>858</v>
      </c>
      <c r="I610">
        <v>4449</v>
      </c>
      <c r="K610" t="s">
        <v>3095</v>
      </c>
      <c r="L610" t="str">
        <f t="shared" si="143"/>
        <v>"id":"s592",</v>
      </c>
      <c r="M610" t="str">
        <v>"cate":"Resistor ",</v>
      </c>
      <c r="N610" t="str">
        <v>"des":"RST 470K 1/8W 1%805",</v>
      </c>
      <c r="O610" t="str">
        <v>"mfg":"YAGEO",</v>
      </c>
      <c r="P610" t="str">
        <v>"pn":"RC0805FR-07470KL",</v>
      </c>
      <c r="Q610" t="str">
        <v>"qty":4520</v>
      </c>
      <c r="S610" t="s">
        <v>2498</v>
      </c>
      <c r="T610" t="str">
        <f t="shared" si="144"/>
        <v>"id":"s592","cate":"Resistor ","des":"RST 470K 1/8W 1%805","mfg":"YAGEO","pn":"RC0805FR-07470KL","qty":4520</v>
      </c>
      <c r="U610" t="s">
        <v>2503</v>
      </c>
    </row>
    <row r="611" spans="5:21" x14ac:dyDescent="0.25">
      <c r="E611" t="s">
        <v>2193</v>
      </c>
      <c r="F611" t="s">
        <v>859</v>
      </c>
      <c r="G611" t="s">
        <v>13</v>
      </c>
      <c r="H611" t="s">
        <v>860</v>
      </c>
      <c r="I611">
        <v>4421</v>
      </c>
      <c r="K611" t="s">
        <v>3096</v>
      </c>
      <c r="L611" t="str">
        <f t="shared" si="143"/>
        <v>"id":"s593",</v>
      </c>
      <c r="M611" t="str">
        <v>"cate":"Resistor ",</v>
      </c>
      <c r="N611" t="str">
        <v>"des":"RST 470K 1/8W 1%805",</v>
      </c>
      <c r="O611" t="str">
        <v>"mfg":"ROYAL OHM",</v>
      </c>
      <c r="P611" t="str">
        <v>"pn":"0805W8F4703T5E",</v>
      </c>
      <c r="Q611" t="str">
        <v>"qty":4520</v>
      </c>
      <c r="S611" t="s">
        <v>2498</v>
      </c>
      <c r="T611" t="str">
        <f t="shared" si="144"/>
        <v>"id":"s593","cate":"Resistor ","des":"RST 470K 1/8W 1%805","mfg":"ROYAL OHM","pn":"0805W8F4703T5E","qty":4520</v>
      </c>
      <c r="U611" t="s">
        <v>2503</v>
      </c>
    </row>
    <row r="612" spans="5:21" x14ac:dyDescent="0.25">
      <c r="E612" t="s">
        <v>2193</v>
      </c>
      <c r="F612" t="s">
        <v>861</v>
      </c>
      <c r="G612" t="s">
        <v>5</v>
      </c>
      <c r="H612" t="s">
        <v>862</v>
      </c>
      <c r="I612">
        <v>4415</v>
      </c>
      <c r="K612" t="s">
        <v>3097</v>
      </c>
      <c r="L612" t="str">
        <f t="shared" si="143"/>
        <v>"id":"s594",</v>
      </c>
      <c r="M612" t="str">
        <v>"cate":"08-5",</v>
      </c>
      <c r="N612" t="str">
        <v>"des":"08-50-0031",</v>
      </c>
      <c r="O612" t="str">
        <v>"mfg":"MOLEX",</v>
      </c>
      <c r="P612" t="str">
        <v>"pn":"0008500031",</v>
      </c>
      <c r="Q612" t="str">
        <v>"qty":4500</v>
      </c>
      <c r="S612" t="s">
        <v>2498</v>
      </c>
      <c r="T612" t="str">
        <f t="shared" si="144"/>
        <v>"id":"s594","cate":"08-5","des":"08-50-0031","mfg":"MOLEX","pn":"0008500031","qty":4500</v>
      </c>
      <c r="U612" t="s">
        <v>2503</v>
      </c>
    </row>
    <row r="613" spans="5:21" x14ac:dyDescent="0.25">
      <c r="E613" t="s">
        <v>2193</v>
      </c>
      <c r="F613" t="s">
        <v>861</v>
      </c>
      <c r="G613" t="s">
        <v>320</v>
      </c>
      <c r="H613" t="s">
        <v>863</v>
      </c>
      <c r="I613">
        <v>4415</v>
      </c>
      <c r="K613" t="s">
        <v>3098</v>
      </c>
      <c r="L613" t="str">
        <f t="shared" si="143"/>
        <v>"id":"s595",</v>
      </c>
      <c r="M613" t="str">
        <v>"cate":"08-5",</v>
      </c>
      <c r="N613" t="str">
        <v>"des":"08-50-0031",</v>
      </c>
      <c r="O613" t="str">
        <v>"mfg":"MOLEX",</v>
      </c>
      <c r="P613" t="str">
        <v>"pn":"08-50-0031",</v>
      </c>
      <c r="Q613" t="str">
        <v>"qty":4500</v>
      </c>
      <c r="S613" t="s">
        <v>2498</v>
      </c>
      <c r="T613" t="str">
        <f t="shared" si="144"/>
        <v>"id":"s595","cate":"08-5","des":"08-50-0031","mfg":"MOLEX","pn":"08-50-0031","qty":4500</v>
      </c>
      <c r="U613" t="s">
        <v>2503</v>
      </c>
    </row>
    <row r="614" spans="5:21" x14ac:dyDescent="0.25">
      <c r="E614" t="s">
        <v>2193</v>
      </c>
      <c r="F614" t="s">
        <v>864</v>
      </c>
      <c r="G614" t="s">
        <v>37</v>
      </c>
      <c r="H614" t="s">
        <v>865</v>
      </c>
      <c r="I614">
        <v>4394</v>
      </c>
      <c r="K614" t="s">
        <v>3099</v>
      </c>
      <c r="L614" t="str">
        <f t="shared" si="143"/>
        <v>"id":"s596",</v>
      </c>
      <c r="M614" t="str">
        <v>"cate":"08-5",</v>
      </c>
      <c r="N614" t="str">
        <v>"des":"08-50-0031",</v>
      </c>
      <c r="O614" t="str">
        <v>"mfg":"MOLEX",</v>
      </c>
      <c r="P614" t="str">
        <v>"pn":"08-50-0032",</v>
      </c>
      <c r="Q614" t="str">
        <v>"qty":4500</v>
      </c>
      <c r="S614" t="s">
        <v>2498</v>
      </c>
      <c r="T614" t="str">
        <f t="shared" si="144"/>
        <v>"id":"s596","cate":"08-5","des":"08-50-0031","mfg":"MOLEX","pn":"08-50-0032","qty":4500</v>
      </c>
      <c r="U614" t="s">
        <v>2503</v>
      </c>
    </row>
    <row r="615" spans="5:21" x14ac:dyDescent="0.25">
      <c r="E615" t="s">
        <v>2193</v>
      </c>
      <c r="F615" t="s">
        <v>864</v>
      </c>
      <c r="G615" t="s">
        <v>320</v>
      </c>
      <c r="H615" t="s">
        <v>866</v>
      </c>
      <c r="I615">
        <v>4394</v>
      </c>
      <c r="K615" t="s">
        <v>3100</v>
      </c>
      <c r="L615" t="str">
        <f t="shared" si="143"/>
        <v>"id":"s597",</v>
      </c>
      <c r="M615" t="str">
        <v>"cate":"08-5",</v>
      </c>
      <c r="N615" t="str">
        <v>"des":"08-50-0031",</v>
      </c>
      <c r="O615" t="str">
        <v>"mfg":"MOLEX",</v>
      </c>
      <c r="P615" t="str">
        <v>"pn":"8500031",</v>
      </c>
      <c r="Q615" t="str">
        <v>"qty":4500</v>
      </c>
      <c r="S615" t="s">
        <v>2498</v>
      </c>
      <c r="T615" t="str">
        <f t="shared" si="144"/>
        <v>"id":"s597","cate":"08-5","des":"08-50-0031","mfg":"MOLEX","pn":"8500031","qty":4500</v>
      </c>
      <c r="U615" t="s">
        <v>2503</v>
      </c>
    </row>
    <row r="616" spans="5:21" x14ac:dyDescent="0.25">
      <c r="E616" t="s">
        <v>2193</v>
      </c>
      <c r="F616" t="s">
        <v>867</v>
      </c>
      <c r="G616" t="s">
        <v>37</v>
      </c>
      <c r="H616" t="s">
        <v>868</v>
      </c>
      <c r="I616">
        <v>4380</v>
      </c>
      <c r="K616" t="s">
        <v>3101</v>
      </c>
      <c r="L616" t="str">
        <f t="shared" si="143"/>
        <v>"id":"s598",</v>
      </c>
      <c r="M616" t="str">
        <v>"cate":"Diode",</v>
      </c>
      <c r="N616" t="str">
        <v>"des":"DiodeE TVS 15V SMA",</v>
      </c>
      <c r="O616" t="str">
        <v>"mfg":"LITTELFUSE",</v>
      </c>
      <c r="P616" t="str">
        <v>"pn":"SMAJ15CA",</v>
      </c>
      <c r="Q616" t="str">
        <v>"qty":4489</v>
      </c>
      <c r="S616" t="s">
        <v>2498</v>
      </c>
      <c r="T616" t="str">
        <f t="shared" si="144"/>
        <v>"id":"s598","cate":"Diode","des":"DiodeE TVS 15V SMA","mfg":"LITTELFUSE","pn":"SMAJ15CA","qty":4489</v>
      </c>
      <c r="U616" t="s">
        <v>2503</v>
      </c>
    </row>
    <row r="617" spans="5:21" x14ac:dyDescent="0.25">
      <c r="E617" t="s">
        <v>2193</v>
      </c>
      <c r="F617" t="s">
        <v>869</v>
      </c>
      <c r="G617" t="s">
        <v>13</v>
      </c>
      <c r="H617" t="s">
        <v>870</v>
      </c>
      <c r="I617">
        <v>4368</v>
      </c>
      <c r="K617" t="s">
        <v>3102</v>
      </c>
      <c r="L617" t="str">
        <f t="shared" si="143"/>
        <v>"id":"s599",</v>
      </c>
      <c r="M617" t="str">
        <v>"cate":"Diode",</v>
      </c>
      <c r="N617" t="str">
        <v>"des":"DiodeE TVS 15V SMA",</v>
      </c>
      <c r="O617" t="str">
        <v>"mfg":"BOURNS",</v>
      </c>
      <c r="P617" t="str">
        <v>"pn":"SMAJ15CA",</v>
      </c>
      <c r="Q617" t="str">
        <v>"qty":4489</v>
      </c>
      <c r="S617" t="s">
        <v>2498</v>
      </c>
      <c r="T617" t="str">
        <f t="shared" si="144"/>
        <v>"id":"s599","cate":"Diode","des":"DiodeE TVS 15V SMA","mfg":"BOURNS","pn":"SMAJ15CA","qty":4489</v>
      </c>
      <c r="U617" t="s">
        <v>2503</v>
      </c>
    </row>
    <row r="618" spans="5:21" x14ac:dyDescent="0.25">
      <c r="E618" t="s">
        <v>2193</v>
      </c>
      <c r="F618" t="s">
        <v>871</v>
      </c>
      <c r="G618" t="s">
        <v>37</v>
      </c>
      <c r="H618" t="s">
        <v>872</v>
      </c>
      <c r="I618">
        <v>4352</v>
      </c>
      <c r="K618" t="s">
        <v>3103</v>
      </c>
      <c r="L618" t="str">
        <f t="shared" si="143"/>
        <v>"id":"s600",</v>
      </c>
      <c r="M618" t="str">
        <v>"cate":"Resistor ",</v>
      </c>
      <c r="N618" t="str">
        <v>"des":"RST 3,3 1/4W 5%1206",</v>
      </c>
      <c r="O618" t="str">
        <v>"mfg":"YAGEO",</v>
      </c>
      <c r="P618" t="str">
        <v>"pn":"RC1206JR-073R3L",</v>
      </c>
      <c r="Q618" t="str">
        <v>"qty":4479</v>
      </c>
      <c r="S618" t="s">
        <v>2498</v>
      </c>
      <c r="T618" t="str">
        <f t="shared" si="144"/>
        <v>"id":"s600","cate":"Resistor ","des":"RST 3,3 1/4W 5%1206","mfg":"YAGEO","pn":"RC1206JR-073R3L","qty":4479</v>
      </c>
      <c r="U618" t="s">
        <v>2503</v>
      </c>
    </row>
    <row r="619" spans="5:21" x14ac:dyDescent="0.25">
      <c r="E619" s="6" t="s">
        <v>2382</v>
      </c>
      <c r="F619" t="s">
        <v>873</v>
      </c>
      <c r="G619" t="s">
        <v>28</v>
      </c>
      <c r="H619" t="s">
        <v>874</v>
      </c>
      <c r="I619">
        <v>4338</v>
      </c>
      <c r="K619" t="s">
        <v>3104</v>
      </c>
      <c r="L619" t="str">
        <f t="shared" si="143"/>
        <v>"id":"s601",</v>
      </c>
      <c r="M619" t="str">
        <v>"cate":"Capacitor",</v>
      </c>
      <c r="N619" t="str">
        <v>"des":"Capacitor 220NF K50V 805",</v>
      </c>
      <c r="O619" t="str">
        <v>"mfg":"SAMSUNG",</v>
      </c>
      <c r="P619" t="str">
        <v>"pn":"CL21B224KBFNNNE",</v>
      </c>
      <c r="Q619" t="str">
        <v>"qty":4468</v>
      </c>
      <c r="S619" t="s">
        <v>2498</v>
      </c>
      <c r="T619" t="str">
        <f t="shared" si="144"/>
        <v>"id":"s601","cate":"Capacitor","des":"Capacitor 220NF K50V 805","mfg":"SAMSUNG","pn":"CL21B224KBFNNNE","qty":4468</v>
      </c>
      <c r="U619" t="s">
        <v>2503</v>
      </c>
    </row>
    <row r="620" spans="5:21" x14ac:dyDescent="0.25">
      <c r="E620" s="6" t="s">
        <v>2382</v>
      </c>
      <c r="F620" t="s">
        <v>873</v>
      </c>
      <c r="G620" t="s">
        <v>61</v>
      </c>
      <c r="H620" t="s">
        <v>875</v>
      </c>
      <c r="I620">
        <v>4338</v>
      </c>
      <c r="K620" t="s">
        <v>3105</v>
      </c>
      <c r="L620" t="str">
        <f t="shared" si="143"/>
        <v>"id":"s602",</v>
      </c>
      <c r="M620" t="str">
        <v>"cate":"Capacitor",</v>
      </c>
      <c r="N620" t="str">
        <v>"des":"Capacitor 220NF K50V 805",</v>
      </c>
      <c r="O620" t="str">
        <v>"mfg":"SAMSUNG",</v>
      </c>
      <c r="P620" t="str">
        <v>"pn":"CL21B224KBFNNNF",</v>
      </c>
      <c r="Q620" t="str">
        <v>"qty":4468</v>
      </c>
      <c r="S620" t="s">
        <v>2498</v>
      </c>
      <c r="T620" t="str">
        <f t="shared" si="144"/>
        <v>"id":"s602","cate":"Capacitor","des":"Capacitor 220NF K50V 805","mfg":"SAMSUNG","pn":"CL21B224KBFNNNF","qty":4468</v>
      </c>
      <c r="U620" t="s">
        <v>2503</v>
      </c>
    </row>
    <row r="621" spans="5:21" x14ac:dyDescent="0.25">
      <c r="E621" s="6" t="s">
        <v>2382</v>
      </c>
      <c r="F621" t="s">
        <v>873</v>
      </c>
      <c r="G621" t="s">
        <v>61</v>
      </c>
      <c r="H621" t="s">
        <v>876</v>
      </c>
      <c r="I621">
        <v>4338</v>
      </c>
      <c r="K621" t="s">
        <v>3106</v>
      </c>
      <c r="L621" t="str">
        <f t="shared" si="143"/>
        <v>"id":"s603",</v>
      </c>
      <c r="M621" t="str">
        <v>"cate":"Capacitor",</v>
      </c>
      <c r="N621" t="str">
        <v>"des":"Capacitor 220NF K50V 805",</v>
      </c>
      <c r="O621" t="str">
        <v>"mfg":"WALSIN",</v>
      </c>
      <c r="P621" t="str">
        <v>"pn":"0805B224K500CT",</v>
      </c>
      <c r="Q621" t="str">
        <v>"qty":4468</v>
      </c>
      <c r="S621" t="s">
        <v>2498</v>
      </c>
      <c r="T621" t="str">
        <f t="shared" si="144"/>
        <v>"id":"s603","cate":"Capacitor","des":"Capacitor 220NF K50V 805","mfg":"WALSIN","pn":"0805B224K500CT","qty":4468</v>
      </c>
      <c r="U621" t="s">
        <v>2503</v>
      </c>
    </row>
    <row r="622" spans="5:21" x14ac:dyDescent="0.25">
      <c r="E622" t="s">
        <v>2193</v>
      </c>
      <c r="F622" t="s">
        <v>877</v>
      </c>
      <c r="G622" t="s">
        <v>37</v>
      </c>
      <c r="H622" t="s">
        <v>878</v>
      </c>
      <c r="I622">
        <v>4337</v>
      </c>
      <c r="K622" t="s">
        <v>3107</v>
      </c>
      <c r="L622" t="str">
        <f t="shared" si="143"/>
        <v>"id":"s604",</v>
      </c>
      <c r="M622" t="str">
        <v>"cate":"Resistor ",</v>
      </c>
      <c r="N622" t="str">
        <v>"des":"RST 47K 1/8W 1% 805",</v>
      </c>
      <c r="O622" t="str">
        <v>"mfg":"YAGEO",</v>
      </c>
      <c r="P622" t="str">
        <v>"pn":"RC0805FR-0747KL",</v>
      </c>
      <c r="Q622" t="str">
        <v>"qty":4449</v>
      </c>
      <c r="S622" t="s">
        <v>2498</v>
      </c>
      <c r="T622" t="str">
        <f t="shared" si="144"/>
        <v>"id":"s604","cate":"Resistor ","des":"RST 47K 1/8W 1% 805","mfg":"YAGEO","pn":"RC0805FR-0747KL","qty":4449</v>
      </c>
      <c r="U622" t="s">
        <v>2503</v>
      </c>
    </row>
    <row r="623" spans="5:21" x14ac:dyDescent="0.25">
      <c r="E623" t="s">
        <v>2139</v>
      </c>
      <c r="F623" t="s">
        <v>879</v>
      </c>
      <c r="G623" t="s">
        <v>37</v>
      </c>
      <c r="H623" t="s">
        <v>880</v>
      </c>
      <c r="I623">
        <v>4335</v>
      </c>
      <c r="K623" t="s">
        <v>3108</v>
      </c>
      <c r="L623" t="str">
        <f t="shared" si="143"/>
        <v>"id":"s605",</v>
      </c>
      <c r="M623" t="str">
        <v>"cate":"Resistor ",</v>
      </c>
      <c r="N623" t="str">
        <v>"des":"RST 47K 1/8W 1% 805",</v>
      </c>
      <c r="O623" t="str">
        <v>"mfg":"ROYAL OHM",</v>
      </c>
      <c r="P623" t="str">
        <v>"pn":"0805W8F4702T5E",</v>
      </c>
      <c r="Q623" t="str">
        <v>"qty":4449</v>
      </c>
      <c r="S623" t="s">
        <v>2498</v>
      </c>
      <c r="T623" t="str">
        <f t="shared" si="144"/>
        <v>"id":"s605","cate":"Resistor ","des":"RST 47K 1/8W 1% 805","mfg":"ROYAL OHM","pn":"0805W8F4702T5E","qty":4449</v>
      </c>
      <c r="U623" t="s">
        <v>2503</v>
      </c>
    </row>
    <row r="624" spans="5:21" x14ac:dyDescent="0.25">
      <c r="E624" t="s">
        <v>2139</v>
      </c>
      <c r="F624" t="s">
        <v>879</v>
      </c>
      <c r="G624" t="s">
        <v>320</v>
      </c>
      <c r="H624" t="s">
        <v>881</v>
      </c>
      <c r="I624">
        <v>4335</v>
      </c>
      <c r="K624" t="s">
        <v>3109</v>
      </c>
      <c r="L624" t="str">
        <f t="shared" si="143"/>
        <v>"id":"s606",</v>
      </c>
      <c r="M624" t="str">
        <v>"cate":"Resistor ",</v>
      </c>
      <c r="N624" t="str">
        <v>"des":"RST 24K 0,1W 1%0603",</v>
      </c>
      <c r="O624" t="str">
        <v>"mfg":"YAGEO",</v>
      </c>
      <c r="P624" t="str">
        <v>"pn":"RC0603FR-0724KL",</v>
      </c>
      <c r="Q624" t="str">
        <v>"qty":4421</v>
      </c>
      <c r="S624" t="s">
        <v>2498</v>
      </c>
      <c r="T624" t="str">
        <f t="shared" si="144"/>
        <v>"id":"s606","cate":"Resistor ","des":"RST 24K 0,1W 1%0603","mfg":"YAGEO","pn":"RC0603FR-0724KL","qty":4421</v>
      </c>
      <c r="U624" t="s">
        <v>2503</v>
      </c>
    </row>
    <row r="625" spans="5:21" x14ac:dyDescent="0.25">
      <c r="E625" t="s">
        <v>2139</v>
      </c>
      <c r="F625" t="s">
        <v>879</v>
      </c>
      <c r="G625" t="s">
        <v>207</v>
      </c>
      <c r="H625" t="s">
        <v>882</v>
      </c>
      <c r="I625">
        <v>4335</v>
      </c>
      <c r="K625" t="s">
        <v>3110</v>
      </c>
      <c r="L625" t="str">
        <f t="shared" si="143"/>
        <v>"id":"s607",</v>
      </c>
      <c r="M625" t="str">
        <v>"cate":"Resistor ",</v>
      </c>
      <c r="N625" t="str">
        <v>"des":"RST 475 0,1W 1% 603",</v>
      </c>
      <c r="O625" t="str">
        <v>"mfg":"KOA",</v>
      </c>
      <c r="P625" t="str">
        <v>"pn":"RK73H1JTTD4750F",</v>
      </c>
      <c r="Q625" t="str">
        <v>"qty":4415</v>
      </c>
      <c r="S625" t="s">
        <v>2498</v>
      </c>
      <c r="T625" t="str">
        <f t="shared" si="144"/>
        <v>"id":"s607","cate":"Resistor ","des":"RST 475 0,1W 1% 603","mfg":"KOA","pn":"RK73H1JTTD4750F","qty":4415</v>
      </c>
      <c r="U625" t="s">
        <v>2503</v>
      </c>
    </row>
    <row r="626" spans="5:21" x14ac:dyDescent="0.25">
      <c r="E626" t="s">
        <v>2194</v>
      </c>
      <c r="F626" t="s">
        <v>2264</v>
      </c>
      <c r="G626" t="s">
        <v>47</v>
      </c>
      <c r="H626" t="s">
        <v>883</v>
      </c>
      <c r="I626">
        <v>4325</v>
      </c>
      <c r="K626" t="s">
        <v>3111</v>
      </c>
      <c r="L626" t="str">
        <f t="shared" si="143"/>
        <v>"id":"s608",</v>
      </c>
      <c r="M626" t="str">
        <v>"cate":"Resistor ",</v>
      </c>
      <c r="N626" t="str">
        <v>"des":"RST 475 0,1W 1% 603",</v>
      </c>
      <c r="O626" t="str">
        <v>"mfg":"ROYAL OHM",</v>
      </c>
      <c r="P626" t="str">
        <v>"pn":"0603WAF4750T5E",</v>
      </c>
      <c r="Q626" t="str">
        <v>"qty":4415</v>
      </c>
      <c r="S626" t="s">
        <v>2498</v>
      </c>
      <c r="T626" t="str">
        <f t="shared" si="144"/>
        <v>"id":"s608","cate":"Resistor ","des":"RST 475 0,1W 1% 603","mfg":"ROYAL OHM","pn":"0603WAF4750T5E","qty":4415</v>
      </c>
      <c r="U626" t="s">
        <v>2503</v>
      </c>
    </row>
    <row r="627" spans="5:21" x14ac:dyDescent="0.25">
      <c r="E627" t="s">
        <v>2194</v>
      </c>
      <c r="F627" t="s">
        <v>2264</v>
      </c>
      <c r="G627" t="s">
        <v>123</v>
      </c>
      <c r="H627" t="s">
        <v>884</v>
      </c>
      <c r="I627">
        <v>4325</v>
      </c>
      <c r="K627" t="s">
        <v>3112</v>
      </c>
      <c r="L627" t="str">
        <f t="shared" si="143"/>
        <v>"id":"s609",</v>
      </c>
      <c r="M627" t="str">
        <v>"cate":"Resistor ",</v>
      </c>
      <c r="N627" t="str">
        <v>"des":"RST 160 1% 0402-T",</v>
      </c>
      <c r="O627" t="str">
        <v>"mfg":"VISHAY",</v>
      </c>
      <c r="P627" t="str">
        <v>"pn":"CRCW0402160RFKED",</v>
      </c>
      <c r="Q627" t="str">
        <v>"qty":4394</v>
      </c>
      <c r="S627" t="s">
        <v>2498</v>
      </c>
      <c r="T627" t="str">
        <f t="shared" si="144"/>
        <v>"id":"s609","cate":"Resistor ","des":"RST 160 1% 0402-T","mfg":"VISHAY","pn":"CRCW0402160RFKED","qty":4394</v>
      </c>
      <c r="U627" t="s">
        <v>2503</v>
      </c>
    </row>
    <row r="628" spans="5:21" x14ac:dyDescent="0.25">
      <c r="E628" t="s">
        <v>2193</v>
      </c>
      <c r="F628" t="s">
        <v>885</v>
      </c>
      <c r="G628" t="s">
        <v>5</v>
      </c>
      <c r="H628" t="s">
        <v>886</v>
      </c>
      <c r="I628">
        <v>4324</v>
      </c>
      <c r="K628" t="s">
        <v>3113</v>
      </c>
      <c r="L628" t="str">
        <f t="shared" si="143"/>
        <v>"id":"s610",</v>
      </c>
      <c r="M628" t="str">
        <v>"cate":"Resistor ",</v>
      </c>
      <c r="N628" t="str">
        <v>"des":"RST 160 1% 0402-T",</v>
      </c>
      <c r="O628" t="str">
        <v>"mfg":"ROYAL OHM",</v>
      </c>
      <c r="P628" t="str">
        <v>"pn":"CQ02WGF1600TCE",</v>
      </c>
      <c r="Q628" t="str">
        <v>"qty":4394</v>
      </c>
      <c r="S628" t="s">
        <v>2498</v>
      </c>
      <c r="T628" t="str">
        <f t="shared" si="144"/>
        <v>"id":"s610","cate":"Resistor ","des":"RST 160 1% 0402-T","mfg":"ROYAL OHM","pn":"CQ02WGF1600TCE","qty":4394</v>
      </c>
      <c r="U628" t="s">
        <v>2503</v>
      </c>
    </row>
    <row r="629" spans="5:21" x14ac:dyDescent="0.25">
      <c r="E629" t="s">
        <v>2405</v>
      </c>
      <c r="F629" t="s">
        <v>2427</v>
      </c>
      <c r="G629" t="s">
        <v>37</v>
      </c>
      <c r="H629" t="s">
        <v>887</v>
      </c>
      <c r="I629">
        <v>4320</v>
      </c>
      <c r="K629" t="s">
        <v>3114</v>
      </c>
      <c r="L629" t="str">
        <f t="shared" si="143"/>
        <v>"id":"s611",</v>
      </c>
      <c r="M629" t="str">
        <v>"cate":"Resistor ",</v>
      </c>
      <c r="N629" t="str">
        <v>"des":"RST 150K 1/4W 1%206",</v>
      </c>
      <c r="O629" t="str">
        <v>"mfg":"VISHAY",</v>
      </c>
      <c r="P629" t="str">
        <v>"pn":"CRCW1206150KFKEA",</v>
      </c>
      <c r="Q629" t="str">
        <v>"qty":4380</v>
      </c>
      <c r="S629" t="s">
        <v>2498</v>
      </c>
      <c r="T629" t="str">
        <f t="shared" si="144"/>
        <v>"id":"s611","cate":"Resistor ","des":"RST 150K 1/4W 1%206","mfg":"VISHAY","pn":"CRCW1206150KFKEA","qty":4380</v>
      </c>
      <c r="U629" t="s">
        <v>2503</v>
      </c>
    </row>
    <row r="630" spans="5:21" x14ac:dyDescent="0.25">
      <c r="E630" t="s">
        <v>2405</v>
      </c>
      <c r="F630" t="s">
        <v>2427</v>
      </c>
      <c r="G630" t="s">
        <v>2467</v>
      </c>
      <c r="H630" t="s">
        <v>888</v>
      </c>
      <c r="I630">
        <v>4320</v>
      </c>
      <c r="K630" t="s">
        <v>3115</v>
      </c>
      <c r="L630" t="str">
        <f t="shared" si="143"/>
        <v>"id":"s612",</v>
      </c>
      <c r="M630" t="str">
        <v>"cate":"Resistor ",</v>
      </c>
      <c r="N630" t="str">
        <v>"des":"RST 22K1 1/4W1%1206",</v>
      </c>
      <c r="O630" t="str">
        <v>"mfg":"YAGEO",</v>
      </c>
      <c r="P630" t="str">
        <v>"pn":"RC1206FR-0722K1L",</v>
      </c>
      <c r="Q630" t="str">
        <v>"qty":4368</v>
      </c>
      <c r="S630" t="s">
        <v>2498</v>
      </c>
      <c r="T630" t="str">
        <f t="shared" si="144"/>
        <v>"id":"s612","cate":"Resistor ","des":"RST 22K1 1/4W1%1206","mfg":"YAGEO","pn":"RC1206FR-0722K1L","qty":4368</v>
      </c>
      <c r="U630" t="s">
        <v>2503</v>
      </c>
    </row>
    <row r="631" spans="5:21" x14ac:dyDescent="0.25">
      <c r="E631" t="s">
        <v>2405</v>
      </c>
      <c r="F631" t="s">
        <v>2427</v>
      </c>
      <c r="G631" t="s">
        <v>61</v>
      </c>
      <c r="H631" t="s">
        <v>889</v>
      </c>
      <c r="I631">
        <v>4320</v>
      </c>
      <c r="K631" t="s">
        <v>3116</v>
      </c>
      <c r="L631" t="str">
        <f t="shared" si="143"/>
        <v>"id":"s613",</v>
      </c>
      <c r="M631" t="str">
        <v>"cate":"Resistor ",</v>
      </c>
      <c r="N631" t="str">
        <v>"des":"RST 470K 1/4W 1%206",</v>
      </c>
      <c r="O631" t="str">
        <v>"mfg":"VISHAY",</v>
      </c>
      <c r="P631" t="str">
        <v>"pn":"CRCW1206470KFKEA",</v>
      </c>
      <c r="Q631" t="str">
        <v>"qty":4352</v>
      </c>
      <c r="S631" t="s">
        <v>2498</v>
      </c>
      <c r="T631" t="str">
        <f t="shared" si="144"/>
        <v>"id":"s613","cate":"Resistor ","des":"RST 470K 1/4W 1%206","mfg":"VISHAY","pn":"CRCW1206470KFKEA","qty":4352</v>
      </c>
      <c r="U631" t="s">
        <v>2503</v>
      </c>
    </row>
    <row r="632" spans="5:21" x14ac:dyDescent="0.25">
      <c r="E632" t="s">
        <v>2405</v>
      </c>
      <c r="F632" t="s">
        <v>2427</v>
      </c>
      <c r="G632" t="s">
        <v>30</v>
      </c>
      <c r="H632" t="s">
        <v>890</v>
      </c>
      <c r="I632">
        <v>4320</v>
      </c>
      <c r="K632" t="s">
        <v>3117</v>
      </c>
      <c r="L632" t="str">
        <f t="shared" si="143"/>
        <v>"id":"s614",</v>
      </c>
      <c r="M632" t="str">
        <v>"cate":"IC",</v>
      </c>
      <c r="N632" t="str">
        <v>"des":"IC LM2904",</v>
      </c>
      <c r="O632" t="str">
        <v>"mfg":"ON SEMICONDUCTOR",</v>
      </c>
      <c r="P632" t="str">
        <v>"pn":"LM2904DMR2G",</v>
      </c>
      <c r="Q632" t="str">
        <v>"qty":4338</v>
      </c>
      <c r="S632" t="s">
        <v>2498</v>
      </c>
      <c r="T632" t="str">
        <f t="shared" si="144"/>
        <v>"id":"s614","cate":"IC","des":"IC LM2904","mfg":"ON SEMICONDUCTOR","pn":"LM2904DMR2G","qty":4338</v>
      </c>
      <c r="U632" t="s">
        <v>2503</v>
      </c>
    </row>
    <row r="633" spans="5:21" x14ac:dyDescent="0.25">
      <c r="E633" t="s">
        <v>2194</v>
      </c>
      <c r="F633" t="s">
        <v>2265</v>
      </c>
      <c r="G633" t="s">
        <v>49</v>
      </c>
      <c r="H633" t="s">
        <v>891</v>
      </c>
      <c r="I633">
        <v>4259</v>
      </c>
      <c r="K633" t="s">
        <v>3118</v>
      </c>
      <c r="L633" t="str">
        <f t="shared" si="143"/>
        <v>"id":"s615",</v>
      </c>
      <c r="M633" t="str">
        <v>"cate":"IC",</v>
      </c>
      <c r="N633" t="str">
        <v>"des":"IC LM2904",</v>
      </c>
      <c r="O633" t="str">
        <v>"mfg":"STMICROELECTRONICS",</v>
      </c>
      <c r="P633" t="str">
        <v>"pn":"LM2904S",</v>
      </c>
      <c r="Q633" t="str">
        <v>"qty":4338</v>
      </c>
      <c r="S633" t="s">
        <v>2498</v>
      </c>
      <c r="T633" t="str">
        <f t="shared" si="144"/>
        <v>"id":"s615","cate":"IC","des":"IC LM2904","mfg":"STMICROELECTRONICS","pn":"LM2904S","qty":4338</v>
      </c>
      <c r="U633" t="s">
        <v>2503</v>
      </c>
    </row>
    <row r="634" spans="5:21" x14ac:dyDescent="0.25">
      <c r="E634" t="s">
        <v>2127</v>
      </c>
      <c r="F634" t="s">
        <v>892</v>
      </c>
      <c r="G634" t="s">
        <v>64</v>
      </c>
      <c r="H634" t="s">
        <v>893</v>
      </c>
      <c r="I634">
        <v>4245</v>
      </c>
      <c r="K634" t="s">
        <v>3119</v>
      </c>
      <c r="L634" t="str">
        <f t="shared" si="143"/>
        <v>"id":"s616",</v>
      </c>
      <c r="M634" t="str">
        <v>"cate":"IC",</v>
      </c>
      <c r="N634" t="str">
        <v>"des":"IC LM2904",</v>
      </c>
      <c r="O634" t="str">
        <v>"mfg":"STMICROELECTRONICS",</v>
      </c>
      <c r="P634" t="str">
        <v>"pn":"LM2904ST",</v>
      </c>
      <c r="Q634" t="str">
        <v>"qty":4338</v>
      </c>
      <c r="S634" t="s">
        <v>2498</v>
      </c>
      <c r="T634" t="str">
        <f t="shared" si="144"/>
        <v>"id":"s616","cate":"IC","des":"IC LM2904","mfg":"STMICROELECTRONICS","pn":"LM2904ST","qty":4338</v>
      </c>
      <c r="U634" t="s">
        <v>2503</v>
      </c>
    </row>
    <row r="635" spans="5:21" x14ac:dyDescent="0.25">
      <c r="E635" t="s">
        <v>2127</v>
      </c>
      <c r="F635" t="s">
        <v>892</v>
      </c>
      <c r="G635" t="s">
        <v>62</v>
      </c>
      <c r="H635" t="s">
        <v>894</v>
      </c>
      <c r="I635">
        <v>4245</v>
      </c>
      <c r="K635" t="s">
        <v>3120</v>
      </c>
      <c r="L635" t="str">
        <f t="shared" si="143"/>
        <v>"id":"s617",</v>
      </c>
      <c r="M635" t="str">
        <v>"cate":"Resistor ",</v>
      </c>
      <c r="N635" t="str">
        <v>"des":"RST 47K 62,5MW 1%",</v>
      </c>
      <c r="O635" t="str">
        <v>"mfg":"VISHAY",</v>
      </c>
      <c r="P635" t="str">
        <v>"pn":"CRCW040247K0FKED",</v>
      </c>
      <c r="Q635" t="str">
        <v>"qty":4337</v>
      </c>
      <c r="S635" t="s">
        <v>2498</v>
      </c>
      <c r="T635" t="str">
        <f t="shared" si="144"/>
        <v>"id":"s617","cate":"Resistor ","des":"RST 47K 62,5MW 1%","mfg":"VISHAY","pn":"CRCW040247K0FKED","qty":4337</v>
      </c>
      <c r="U635" t="s">
        <v>2503</v>
      </c>
    </row>
    <row r="636" spans="5:21" x14ac:dyDescent="0.25">
      <c r="E636" t="s">
        <v>2127</v>
      </c>
      <c r="F636" t="s">
        <v>892</v>
      </c>
      <c r="G636" t="s">
        <v>62</v>
      </c>
      <c r="H636" t="s">
        <v>895</v>
      </c>
      <c r="I636">
        <v>4245</v>
      </c>
      <c r="K636" t="s">
        <v>3121</v>
      </c>
      <c r="L636" t="str">
        <f t="shared" si="143"/>
        <v>"id":"s618",</v>
      </c>
      <c r="M636" t="str">
        <v>"cate":"MA-1",</v>
      </c>
      <c r="N636" t="str">
        <v>"des":"MA-1120753STG",</v>
      </c>
      <c r="O636" t="str">
        <v>"mfg":"VISHAY",</v>
      </c>
      <c r="P636" t="str">
        <v>"pn":"CRCW0402100KFKED",</v>
      </c>
      <c r="Q636" t="str">
        <v>"qty":4335</v>
      </c>
      <c r="S636" t="s">
        <v>2498</v>
      </c>
      <c r="T636" t="str">
        <f t="shared" si="144"/>
        <v>"id":"s618","cate":"MA-1","des":"MA-1120753STG","mfg":"VISHAY","pn":"CRCW0402100KFKED","qty":4335</v>
      </c>
      <c r="U636" t="s">
        <v>2503</v>
      </c>
    </row>
    <row r="637" spans="5:21" x14ac:dyDescent="0.25">
      <c r="E637" t="s">
        <v>2193</v>
      </c>
      <c r="F637" t="s">
        <v>896</v>
      </c>
      <c r="G637" t="s">
        <v>13</v>
      </c>
      <c r="H637" t="s">
        <v>897</v>
      </c>
      <c r="I637">
        <v>4225</v>
      </c>
      <c r="K637" t="s">
        <v>3122</v>
      </c>
      <c r="L637" t="str">
        <f t="shared" si="143"/>
        <v>"id":"s619",</v>
      </c>
      <c r="M637" t="str">
        <v>"cate":"MA-1",</v>
      </c>
      <c r="N637" t="str">
        <v>"des":"MA-1120753STG",</v>
      </c>
      <c r="O637" t="str">
        <v>"mfg":"ROYAL OHM",</v>
      </c>
      <c r="P637" t="str">
        <v>"pn":"0402WGF1003TCE",</v>
      </c>
      <c r="Q637" t="str">
        <v>"qty":4335</v>
      </c>
      <c r="S637" t="s">
        <v>2498</v>
      </c>
      <c r="T637" t="str">
        <f t="shared" si="144"/>
        <v>"id":"s619","cate":"MA-1","des":"MA-1120753STG","mfg":"ROYAL OHM","pn":"0402WGF1003TCE","qty":4335</v>
      </c>
      <c r="U637" t="s">
        <v>2503</v>
      </c>
    </row>
    <row r="638" spans="5:21" x14ac:dyDescent="0.25">
      <c r="E638" t="s">
        <v>2194</v>
      </c>
      <c r="F638" t="s">
        <v>2266</v>
      </c>
      <c r="G638" t="s">
        <v>13</v>
      </c>
      <c r="H638" t="s">
        <v>898</v>
      </c>
      <c r="I638">
        <v>4214</v>
      </c>
      <c r="K638" t="s">
        <v>3123</v>
      </c>
      <c r="L638" t="str">
        <f t="shared" si="143"/>
        <v>"id":"s620",</v>
      </c>
      <c r="M638" t="str">
        <v>"cate":"MA-1",</v>
      </c>
      <c r="N638" t="str">
        <v>"des":"MA-1120753STG",</v>
      </c>
      <c r="O638" t="str">
        <v>"mfg":"STACKPOLE ELECTRONICS INC",</v>
      </c>
      <c r="P638" t="str">
        <v>"pn":"RMCF0402FT100K",</v>
      </c>
      <c r="Q638" t="str">
        <v>"qty":4335</v>
      </c>
      <c r="S638" t="s">
        <v>2498</v>
      </c>
      <c r="T638" t="str">
        <f t="shared" si="144"/>
        <v>"id":"s620","cate":"MA-1","des":"MA-1120753STG","mfg":"STACKPOLE ELECTRONICS INC","pn":"RMCF0402FT100K","qty":4335</v>
      </c>
      <c r="U638" t="s">
        <v>2503</v>
      </c>
    </row>
    <row r="639" spans="5:21" x14ac:dyDescent="0.25">
      <c r="E639" t="s">
        <v>2194</v>
      </c>
      <c r="F639" t="s">
        <v>2266</v>
      </c>
      <c r="G639" t="s">
        <v>47</v>
      </c>
      <c r="H639" t="s">
        <v>899</v>
      </c>
      <c r="I639">
        <v>4214</v>
      </c>
      <c r="K639" t="s">
        <v>3124</v>
      </c>
      <c r="L639" t="str">
        <f t="shared" si="143"/>
        <v>"id":"s621",</v>
      </c>
      <c r="M639" t="str">
        <v>"cate":"Capacitor",</v>
      </c>
      <c r="N639" t="str">
        <v>"des":"Capacitor 220NF 400V TH",</v>
      </c>
      <c r="O639" t="str">
        <v>"mfg":"KEMET",</v>
      </c>
      <c r="P639" t="str">
        <v>"pn":"F611AP224K400R",</v>
      </c>
      <c r="Q639" t="str">
        <v>"qty":4325</v>
      </c>
      <c r="S639" t="s">
        <v>2498</v>
      </c>
      <c r="T639" t="str">
        <f t="shared" si="144"/>
        <v>"id":"s621","cate":"Capacitor","des":"Capacitor 220NF 400V TH","mfg":"KEMET","pn":"F611AP224K400R","qty":4325</v>
      </c>
      <c r="U639" t="s">
        <v>2503</v>
      </c>
    </row>
    <row r="640" spans="5:21" x14ac:dyDescent="0.25">
      <c r="E640" t="s">
        <v>2194</v>
      </c>
      <c r="F640" t="s">
        <v>2266</v>
      </c>
      <c r="G640" t="s">
        <v>37</v>
      </c>
      <c r="H640" t="s">
        <v>900</v>
      </c>
      <c r="I640">
        <v>4214</v>
      </c>
      <c r="K640" t="s">
        <v>3125</v>
      </c>
      <c r="L640" t="str">
        <f t="shared" si="143"/>
        <v>"id":"s622",</v>
      </c>
      <c r="M640" t="str">
        <v>"cate":"Capacitor",</v>
      </c>
      <c r="N640" t="str">
        <v>"des":"Capacitor 220NF 400V TH",</v>
      </c>
      <c r="O640" t="str">
        <v>"mfg":"WIMA",</v>
      </c>
      <c r="P640" t="str">
        <v>"pn":"MKS4G032203G00KSSD",</v>
      </c>
      <c r="Q640" t="str">
        <v>"qty":4325</v>
      </c>
      <c r="S640" t="s">
        <v>2498</v>
      </c>
      <c r="T640" t="str">
        <f t="shared" si="144"/>
        <v>"id":"s622","cate":"Capacitor","des":"Capacitor 220NF 400V TH","mfg":"WIMA","pn":"MKS4G032203G00KSSD","qty":4325</v>
      </c>
      <c r="U640" t="s">
        <v>2503</v>
      </c>
    </row>
    <row r="641" spans="5:21" x14ac:dyDescent="0.25">
      <c r="E641" t="s">
        <v>2193</v>
      </c>
      <c r="F641" t="s">
        <v>901</v>
      </c>
      <c r="G641" t="s">
        <v>37</v>
      </c>
      <c r="H641" t="s">
        <v>902</v>
      </c>
      <c r="I641">
        <v>4214</v>
      </c>
      <c r="K641" t="s">
        <v>3126</v>
      </c>
      <c r="L641" t="str">
        <f t="shared" si="143"/>
        <v>"id":"s623",</v>
      </c>
      <c r="M641" t="str">
        <v>"cate":"Resistor ",</v>
      </c>
      <c r="N641" t="str">
        <v>"des":"RST 15R 1/4W 5%1206",</v>
      </c>
      <c r="O641" t="str">
        <v>"mfg":"KOA",</v>
      </c>
      <c r="P641" t="str">
        <v>"pn":"RK73B2BTTD150J",</v>
      </c>
      <c r="Q641" t="str">
        <v>"qty":4324</v>
      </c>
      <c r="S641" t="s">
        <v>2498</v>
      </c>
      <c r="T641" t="str">
        <f t="shared" si="144"/>
        <v>"id":"s623","cate":"Resistor ","des":"RST 15R 1/4W 5%1206","mfg":"KOA","pn":"RK73B2BTTD150J","qty":4324</v>
      </c>
      <c r="U641" t="s">
        <v>2503</v>
      </c>
    </row>
    <row r="642" spans="5:21" x14ac:dyDescent="0.25">
      <c r="E642" t="s">
        <v>2193</v>
      </c>
      <c r="F642" t="s">
        <v>901</v>
      </c>
      <c r="G642" t="s">
        <v>320</v>
      </c>
      <c r="H642" t="s">
        <v>903</v>
      </c>
      <c r="I642">
        <v>4214</v>
      </c>
      <c r="K642" t="s">
        <v>3127</v>
      </c>
      <c r="L642" t="str">
        <f t="shared" si="143"/>
        <v>"id":"s624",</v>
      </c>
      <c r="M642" t="str">
        <v>"cate":"Diode",</v>
      </c>
      <c r="N642" t="str">
        <v>"des":"DiodeE TVS 35V SMT",</v>
      </c>
      <c r="O642" t="str">
        <v>"mfg":"VISHAY",</v>
      </c>
      <c r="P642" t="str">
        <v>"pn":"VCAN33A2-03S-E3-08",</v>
      </c>
      <c r="Q642" t="str">
        <v>"qty":4320</v>
      </c>
      <c r="S642" t="s">
        <v>2498</v>
      </c>
      <c r="T642" t="str">
        <f t="shared" si="144"/>
        <v>"id":"s624","cate":"Diode","des":"DiodeE TVS 35V SMT","mfg":"VISHAY","pn":"VCAN33A2-03S-E3-08","qty":4320</v>
      </c>
      <c r="U642" t="s">
        <v>2503</v>
      </c>
    </row>
    <row r="643" spans="5:21" x14ac:dyDescent="0.25">
      <c r="E643" t="s">
        <v>2193</v>
      </c>
      <c r="F643" t="s">
        <v>904</v>
      </c>
      <c r="G643" t="s">
        <v>13</v>
      </c>
      <c r="H643" t="s">
        <v>905</v>
      </c>
      <c r="I643">
        <v>4200</v>
      </c>
      <c r="K643" t="s">
        <v>3128</v>
      </c>
      <c r="L643" t="str">
        <f t="shared" si="143"/>
        <v>"id":"s625",</v>
      </c>
      <c r="M643" t="str">
        <v>"cate":"Diode",</v>
      </c>
      <c r="N643" t="str">
        <v>"des":"DiodeE TVS 35V SMT",</v>
      </c>
      <c r="O643" t="str">
        <v>"mfg":"DiodeES INC.",</v>
      </c>
      <c r="P643" t="str">
        <v>"pn":"DESD3512SO-7",</v>
      </c>
      <c r="Q643" t="str">
        <v>"qty":4320</v>
      </c>
      <c r="S643" t="s">
        <v>2498</v>
      </c>
      <c r="T643" t="str">
        <f t="shared" si="144"/>
        <v>"id":"s625","cate":"Diode","des":"DiodeE TVS 35V SMT","mfg":"DiodeES INC.","pn":"DESD3512SO-7","qty":4320</v>
      </c>
      <c r="U643" t="s">
        <v>2503</v>
      </c>
    </row>
    <row r="644" spans="5:21" x14ac:dyDescent="0.25">
      <c r="E644" t="s">
        <v>2193</v>
      </c>
      <c r="F644" t="s">
        <v>904</v>
      </c>
      <c r="G644" t="s">
        <v>320</v>
      </c>
      <c r="H644" t="s">
        <v>906</v>
      </c>
      <c r="I644">
        <v>4200</v>
      </c>
      <c r="K644" t="s">
        <v>3129</v>
      </c>
      <c r="L644" t="str">
        <f t="shared" si="143"/>
        <v>"id":"s626",</v>
      </c>
      <c r="M644" t="str">
        <v>"cate":"Diode",</v>
      </c>
      <c r="N644" t="str">
        <v>"des":"DiodeE TVS 35V SMT",</v>
      </c>
      <c r="O644" t="str">
        <v>"mfg":"STMICROELECTRONICS",</v>
      </c>
      <c r="P644" t="str">
        <v>"pn":"ESDCAN06-2BLY",</v>
      </c>
      <c r="Q644" t="str">
        <v>"qty":4320</v>
      </c>
      <c r="S644" t="s">
        <v>2498</v>
      </c>
      <c r="T644" t="str">
        <f t="shared" si="144"/>
        <v>"id":"s626","cate":"Diode","des":"DiodeE TVS 35V SMT","mfg":"STMICROELECTRONICS","pn":"ESDCAN06-2BLY","qty":4320</v>
      </c>
      <c r="U644" t="s">
        <v>2503</v>
      </c>
    </row>
    <row r="645" spans="5:21" x14ac:dyDescent="0.25">
      <c r="E645" t="s">
        <v>2193</v>
      </c>
      <c r="F645" t="s">
        <v>907</v>
      </c>
      <c r="G645" t="s">
        <v>13</v>
      </c>
      <c r="H645" t="s">
        <v>908</v>
      </c>
      <c r="I645">
        <v>4192</v>
      </c>
      <c r="K645" t="s">
        <v>3130</v>
      </c>
      <c r="L645" t="str">
        <f t="shared" si="143"/>
        <v>"id":"s627",</v>
      </c>
      <c r="M645" t="str">
        <v>"cate":"Diode",</v>
      </c>
      <c r="N645" t="str">
        <v>"des":"DiodeE TVS 35V SMT",</v>
      </c>
      <c r="O645" t="str">
        <v>"mfg":"NEXPERIA",</v>
      </c>
      <c r="P645" t="str">
        <v>"pn":"PESD2CANFD27L-TR",</v>
      </c>
      <c r="Q645" t="str">
        <v>"qty":4320</v>
      </c>
      <c r="S645" t="s">
        <v>2498</v>
      </c>
      <c r="T645" t="str">
        <f t="shared" si="144"/>
        <v>"id":"s627","cate":"Diode","des":"DiodeE TVS 35V SMT","mfg":"NEXPERIA","pn":"PESD2CANFD27L-TR","qty":4320</v>
      </c>
      <c r="U645" t="s">
        <v>2503</v>
      </c>
    </row>
    <row r="646" spans="5:21" x14ac:dyDescent="0.25">
      <c r="E646" t="s">
        <v>2193</v>
      </c>
      <c r="F646" t="s">
        <v>907</v>
      </c>
      <c r="G646" t="s">
        <v>320</v>
      </c>
      <c r="H646" t="s">
        <v>909</v>
      </c>
      <c r="I646">
        <v>4192</v>
      </c>
      <c r="K646" t="s">
        <v>3131</v>
      </c>
      <c r="L646" t="str">
        <f t="shared" si="143"/>
        <v>"id":"s628",</v>
      </c>
      <c r="M646" t="str">
        <v>"cate":"Capacitor",</v>
      </c>
      <c r="N646" t="str">
        <v>"des":"Capacitor 10UF/25V 805",</v>
      </c>
      <c r="O646" t="str">
        <v>"mfg":"AVX",</v>
      </c>
      <c r="P646" t="str">
        <v>"pn":"08053D106KAT2A",</v>
      </c>
      <c r="Q646" t="str">
        <v>"qty":4259</v>
      </c>
      <c r="S646" t="s">
        <v>2498</v>
      </c>
      <c r="T646" t="str">
        <f t="shared" si="144"/>
        <v>"id":"s628","cate":"Capacitor","des":"Capacitor 10UF/25V 805","mfg":"AVX","pn":"08053D106KAT2A","qty":4259</v>
      </c>
      <c r="U646" t="s">
        <v>2503</v>
      </c>
    </row>
    <row r="647" spans="5:21" x14ac:dyDescent="0.25">
      <c r="E647" t="s">
        <v>2193</v>
      </c>
      <c r="F647" t="s">
        <v>910</v>
      </c>
      <c r="G647" t="s">
        <v>176</v>
      </c>
      <c r="H647" t="s">
        <v>911</v>
      </c>
      <c r="I647">
        <v>4190</v>
      </c>
      <c r="K647" t="s">
        <v>3132</v>
      </c>
      <c r="L647" t="str">
        <f t="shared" si="143"/>
        <v>"id":"s629",</v>
      </c>
      <c r="M647" t="str">
        <v>"cate":"IND ",</v>
      </c>
      <c r="N647" t="str">
        <v>"des":"IND 4,7UH 0,43A SMD",</v>
      </c>
      <c r="O647" t="str">
        <v>"mfg":"MURATA MANUFACTURING",</v>
      </c>
      <c r="P647" t="str">
        <v>"pn":"LQH32CN4R7M23L",</v>
      </c>
      <c r="Q647" t="str">
        <v>"qty":4245</v>
      </c>
      <c r="S647" t="s">
        <v>2498</v>
      </c>
      <c r="T647" t="str">
        <f t="shared" si="144"/>
        <v>"id":"s629","cate":"IND ","des":"IND 4,7UH 0,43A SMD","mfg":"MURATA MANUFACTURING","pn":"LQH32CN4R7M23L","qty":4245</v>
      </c>
      <c r="U647" t="s">
        <v>2503</v>
      </c>
    </row>
    <row r="648" spans="5:21" x14ac:dyDescent="0.25">
      <c r="E648" t="s">
        <v>2193</v>
      </c>
      <c r="F648" t="s">
        <v>910</v>
      </c>
      <c r="G648" t="s">
        <v>207</v>
      </c>
      <c r="H648" t="s">
        <v>912</v>
      </c>
      <c r="I648">
        <v>4190</v>
      </c>
      <c r="K648" t="s">
        <v>3133</v>
      </c>
      <c r="L648" t="str">
        <f t="shared" si="143"/>
        <v>"id":"s630",</v>
      </c>
      <c r="M648" t="str">
        <v>"cate":"IND ",</v>
      </c>
      <c r="N648" t="str">
        <v>"des":"IND 4,7UH 0,43A SMD",</v>
      </c>
      <c r="O648" t="str">
        <v>"mfg":"TDK",</v>
      </c>
      <c r="P648" t="str">
        <v>"pn":"NLCV32T-4R7M-EF",</v>
      </c>
      <c r="Q648" t="str">
        <v>"qty":4245</v>
      </c>
      <c r="S648" t="s">
        <v>2498</v>
      </c>
      <c r="T648" t="str">
        <f t="shared" si="144"/>
        <v>"id":"s630","cate":"IND ","des":"IND 4,7UH 0,43A SMD","mfg":"TDK","pn":"NLCV32T-4R7M-EF","qty":4245</v>
      </c>
      <c r="U648" t="s">
        <v>2503</v>
      </c>
    </row>
    <row r="649" spans="5:21" x14ac:dyDescent="0.25">
      <c r="E649" t="s">
        <v>2193</v>
      </c>
      <c r="F649" t="s">
        <v>913</v>
      </c>
      <c r="G649" t="s">
        <v>13</v>
      </c>
      <c r="H649" t="s">
        <v>914</v>
      </c>
      <c r="I649">
        <v>4186</v>
      </c>
      <c r="K649" t="s">
        <v>3134</v>
      </c>
      <c r="L649" t="str">
        <f t="shared" si="143"/>
        <v>"id":"s631",</v>
      </c>
      <c r="M649" t="str">
        <v>"cate":"IND ",</v>
      </c>
      <c r="N649" t="str">
        <v>"des":"IND 4,7UH 0,43A SMD",</v>
      </c>
      <c r="O649" t="str">
        <v>"mfg":"TDK",</v>
      </c>
      <c r="P649" t="str">
        <v>"pn":"NLCV32T-4R7M-PF",</v>
      </c>
      <c r="Q649" t="str">
        <v>"qty":4245</v>
      </c>
      <c r="S649" t="s">
        <v>2498</v>
      </c>
      <c r="T649" t="str">
        <f t="shared" si="144"/>
        <v>"id":"s631","cate":"IND ","des":"IND 4,7UH 0,43A SMD","mfg":"TDK","pn":"NLCV32T-4R7M-PF","qty":4245</v>
      </c>
      <c r="U649" t="s">
        <v>2503</v>
      </c>
    </row>
    <row r="650" spans="5:21" x14ac:dyDescent="0.25">
      <c r="E650" t="s">
        <v>2193</v>
      </c>
      <c r="F650" t="s">
        <v>913</v>
      </c>
      <c r="G650" t="s">
        <v>13</v>
      </c>
      <c r="H650" t="s">
        <v>915</v>
      </c>
      <c r="I650">
        <v>4186</v>
      </c>
      <c r="K650" t="s">
        <v>3135</v>
      </c>
      <c r="L650" t="str">
        <f t="shared" si="143"/>
        <v>"id":"s632",</v>
      </c>
      <c r="M650" t="str">
        <v>"cate":"Resistor ",</v>
      </c>
      <c r="N650" t="str">
        <v>"des":"RST 47K5 0,1W1%0603",</v>
      </c>
      <c r="O650" t="str">
        <v>"mfg":"YAGEO",</v>
      </c>
      <c r="P650" t="str">
        <v>"pn":"RC0603FR-0747K5L",</v>
      </c>
      <c r="Q650" t="str">
        <v>"qty":4225</v>
      </c>
      <c r="S650" t="s">
        <v>2498</v>
      </c>
      <c r="T650" t="str">
        <f t="shared" si="144"/>
        <v>"id":"s632","cate":"Resistor ","des":"RST 47K5 0,1W1%0603","mfg":"YAGEO","pn":"RC0603FR-0747K5L","qty":4225</v>
      </c>
      <c r="U650" t="s">
        <v>2503</v>
      </c>
    </row>
    <row r="651" spans="5:21" x14ac:dyDescent="0.25">
      <c r="E651" t="s">
        <v>2193</v>
      </c>
      <c r="F651" t="s">
        <v>913</v>
      </c>
      <c r="G651" t="s">
        <v>10</v>
      </c>
      <c r="H651" t="s">
        <v>916</v>
      </c>
      <c r="I651">
        <v>4186</v>
      </c>
      <c r="K651" t="s">
        <v>3136</v>
      </c>
      <c r="L651" t="str">
        <f t="shared" si="143"/>
        <v>"id":"s633",</v>
      </c>
      <c r="M651" t="str">
        <v>"cate":"Capacitor",</v>
      </c>
      <c r="N651" t="str">
        <v>"des":"Capacitor 470PF50V5%0603",</v>
      </c>
      <c r="O651" t="str">
        <v>"mfg":"YAGEO",</v>
      </c>
      <c r="P651" t="str">
        <v>"pn":"CC0603JRNPO9BN471",</v>
      </c>
      <c r="Q651" t="str">
        <v>"qty":4214</v>
      </c>
      <c r="S651" t="s">
        <v>2498</v>
      </c>
      <c r="T651" t="str">
        <f t="shared" si="144"/>
        <v>"id":"s633","cate":"Capacitor","des":"Capacitor 470PF50V5%0603","mfg":"YAGEO","pn":"CC0603JRNPO9BN471","qty":4214</v>
      </c>
      <c r="U651" t="s">
        <v>2503</v>
      </c>
    </row>
    <row r="652" spans="5:21" x14ac:dyDescent="0.25">
      <c r="E652" t="s">
        <v>2139</v>
      </c>
      <c r="F652" t="s">
        <v>917</v>
      </c>
      <c r="G652" t="s">
        <v>13</v>
      </c>
      <c r="H652" t="s">
        <v>918</v>
      </c>
      <c r="I652">
        <v>4175</v>
      </c>
      <c r="K652" t="s">
        <v>3137</v>
      </c>
      <c r="L652" t="str">
        <f t="shared" si="143"/>
        <v>"id":"s634",</v>
      </c>
      <c r="M652" t="str">
        <v>"cate":"Capacitor",</v>
      </c>
      <c r="N652" t="str">
        <v>"des":"Capacitor 470PF50V5%0603",</v>
      </c>
      <c r="O652" t="str">
        <v>"mfg":"KEMET",</v>
      </c>
      <c r="P652" t="str">
        <v>"pn":"C0603C471J5GACTU",</v>
      </c>
      <c r="Q652" t="str">
        <v>"qty":4214</v>
      </c>
      <c r="S652" t="s">
        <v>2498</v>
      </c>
      <c r="T652" t="str">
        <f t="shared" si="144"/>
        <v>"id":"s634","cate":"Capacitor","des":"Capacitor 470PF50V5%0603","mfg":"KEMET","pn":"C0603C471J5GACTU","qty":4214</v>
      </c>
      <c r="U652" t="s">
        <v>2503</v>
      </c>
    </row>
    <row r="653" spans="5:21" x14ac:dyDescent="0.25">
      <c r="E653" t="s">
        <v>2139</v>
      </c>
      <c r="F653" t="s">
        <v>917</v>
      </c>
      <c r="G653" t="s">
        <v>47</v>
      </c>
      <c r="H653" t="s">
        <v>919</v>
      </c>
      <c r="I653">
        <v>4175</v>
      </c>
      <c r="K653" t="s">
        <v>3138</v>
      </c>
      <c r="L653" t="str">
        <f t="shared" si="143"/>
        <v>"id":"s635",</v>
      </c>
      <c r="M653" t="str">
        <v>"cate":"Capacitor",</v>
      </c>
      <c r="N653" t="str">
        <v>"des":"Capacitor 470PF50V5%0603",</v>
      </c>
      <c r="O653" t="str">
        <v>"mfg":"VISHAY",</v>
      </c>
      <c r="P653" t="str">
        <v>"pn":"VJ0603A471JXACW1BC",</v>
      </c>
      <c r="Q653" t="str">
        <v>"qty":4214</v>
      </c>
      <c r="S653" t="s">
        <v>2498</v>
      </c>
      <c r="T653" t="str">
        <f t="shared" si="144"/>
        <v>"id":"s635","cate":"Capacitor","des":"Capacitor 470PF50V5%0603","mfg":"VISHAY","pn":"VJ0603A471JXACW1BC","qty":4214</v>
      </c>
      <c r="U653" t="s">
        <v>2503</v>
      </c>
    </row>
    <row r="654" spans="5:21" x14ac:dyDescent="0.25">
      <c r="E654" t="s">
        <v>2139</v>
      </c>
      <c r="F654" t="s">
        <v>917</v>
      </c>
      <c r="G654" t="s">
        <v>49</v>
      </c>
      <c r="H654" t="s">
        <v>920</v>
      </c>
      <c r="I654">
        <v>4175</v>
      </c>
      <c r="K654" t="s">
        <v>3139</v>
      </c>
      <c r="L654" t="str">
        <f t="shared" si="143"/>
        <v>"id":"s636",</v>
      </c>
      <c r="M654" t="str">
        <v>"cate":"Resistor ",</v>
      </c>
      <c r="N654" t="str">
        <v>"des":"RST 3,3K 1/8W 5%805",</v>
      </c>
      <c r="O654" t="str">
        <v>"mfg":"VISHAY",</v>
      </c>
      <c r="P654" t="str">
        <v>"pn":"RCG08053K30JNEA",</v>
      </c>
      <c r="Q654" t="str">
        <v>"qty":4214</v>
      </c>
      <c r="S654" t="s">
        <v>2498</v>
      </c>
      <c r="T654" t="str">
        <f t="shared" si="144"/>
        <v>"id":"s636","cate":"Resistor ","des":"RST 3,3K 1/8W 5%805","mfg":"VISHAY","pn":"RCG08053K30JNEA","qty":4214</v>
      </c>
      <c r="U654" t="s">
        <v>2503</v>
      </c>
    </row>
    <row r="655" spans="5:21" x14ac:dyDescent="0.25">
      <c r="E655" t="s">
        <v>2139</v>
      </c>
      <c r="F655" t="s">
        <v>917</v>
      </c>
      <c r="G655" t="s">
        <v>8</v>
      </c>
      <c r="H655" t="s">
        <v>921</v>
      </c>
      <c r="I655">
        <v>4175</v>
      </c>
      <c r="K655" t="s">
        <v>3140</v>
      </c>
      <c r="L655" t="str">
        <f t="shared" si="143"/>
        <v>"id":"s637",</v>
      </c>
      <c r="M655" t="str">
        <v>"cate":"Resistor ",</v>
      </c>
      <c r="N655" t="str">
        <v>"des":"RST 3,3K 1/8W 5%805",</v>
      </c>
      <c r="O655" t="str">
        <v>"mfg":"ROYAL OHM",</v>
      </c>
      <c r="P655" t="str">
        <v>"pn":"0805W8J0332T5E",</v>
      </c>
      <c r="Q655" t="str">
        <v>"qty":4214</v>
      </c>
      <c r="S655" t="s">
        <v>2498</v>
      </c>
      <c r="T655" t="str">
        <f t="shared" si="144"/>
        <v>"id":"s637","cate":"Resistor ","des":"RST 3,3K 1/8W 5%805","mfg":"ROYAL OHM","pn":"0805W8J0332T5E","qty":4214</v>
      </c>
      <c r="U655" t="s">
        <v>2503</v>
      </c>
    </row>
    <row r="656" spans="5:21" x14ac:dyDescent="0.25">
      <c r="E656" t="s">
        <v>2139</v>
      </c>
      <c r="F656" t="s">
        <v>917</v>
      </c>
      <c r="G656" t="s">
        <v>62</v>
      </c>
      <c r="H656" t="s">
        <v>922</v>
      </c>
      <c r="I656">
        <v>4175</v>
      </c>
      <c r="K656" t="s">
        <v>3141</v>
      </c>
      <c r="L656" t="str">
        <f t="shared" si="143"/>
        <v>"id":"s638",</v>
      </c>
      <c r="M656" t="str">
        <v>"cate":"Resistor ",</v>
      </c>
      <c r="N656" t="str">
        <v>"des":"RST 470 1/8W 1%805",</v>
      </c>
      <c r="O656" t="str">
        <v>"mfg":"YAGEO",</v>
      </c>
      <c r="P656" t="str">
        <v>"pn":"RC0805FR-07470RL",</v>
      </c>
      <c r="Q656" t="str">
        <v>"qty":4200</v>
      </c>
      <c r="S656" t="s">
        <v>2498</v>
      </c>
      <c r="T656" t="str">
        <f t="shared" si="144"/>
        <v>"id":"s638","cate":"Resistor ","des":"RST 470 1/8W 1%805","mfg":"YAGEO","pn":"RC0805FR-07470RL","qty":4200</v>
      </c>
      <c r="U656" t="s">
        <v>2503</v>
      </c>
    </row>
    <row r="657" spans="5:21" x14ac:dyDescent="0.25">
      <c r="E657" t="s">
        <v>2139</v>
      </c>
      <c r="F657" t="s">
        <v>923</v>
      </c>
      <c r="G657" t="s">
        <v>13</v>
      </c>
      <c r="H657" t="s">
        <v>924</v>
      </c>
      <c r="I657">
        <v>4164</v>
      </c>
      <c r="K657" t="s">
        <v>3142</v>
      </c>
      <c r="L657" t="str">
        <f t="shared" si="143"/>
        <v>"id":"s639",</v>
      </c>
      <c r="M657" t="str">
        <v>"cate":"Resistor ",</v>
      </c>
      <c r="N657" t="str">
        <v>"des":"RST 470 1/8W 1%805",</v>
      </c>
      <c r="O657" t="str">
        <v>"mfg":"ROYAL OHM",</v>
      </c>
      <c r="P657" t="str">
        <v>"pn":"0805W8F4700T5E",</v>
      </c>
      <c r="Q657" t="str">
        <v>"qty":4200</v>
      </c>
      <c r="S657" t="s">
        <v>2498</v>
      </c>
      <c r="T657" t="str">
        <f t="shared" si="144"/>
        <v>"id":"s639","cate":"Resistor ","des":"RST 470 1/8W 1%805","mfg":"ROYAL OHM","pn":"0805W8F4700T5E","qty":4200</v>
      </c>
      <c r="U657" t="s">
        <v>2503</v>
      </c>
    </row>
    <row r="658" spans="5:21" x14ac:dyDescent="0.25">
      <c r="E658" t="s">
        <v>2139</v>
      </c>
      <c r="F658" t="s">
        <v>923</v>
      </c>
      <c r="G658" t="s">
        <v>47</v>
      </c>
      <c r="H658" t="s">
        <v>925</v>
      </c>
      <c r="I658">
        <v>4164</v>
      </c>
      <c r="K658" t="s">
        <v>3143</v>
      </c>
      <c r="L658" t="str">
        <f t="shared" si="143"/>
        <v>"id":"s640",</v>
      </c>
      <c r="M658" t="str">
        <v>"cate":"Resistor ",</v>
      </c>
      <c r="N658" t="str">
        <v>"des":"RST 220K 1/4W1%206A",</v>
      </c>
      <c r="O658" t="str">
        <v>"mfg":"YAGEO",</v>
      </c>
      <c r="P658" t="str">
        <v>"pn":"AC1206FR-07220KL",</v>
      </c>
      <c r="Q658" t="str">
        <v>"qty":4192</v>
      </c>
      <c r="S658" t="s">
        <v>2498</v>
      </c>
      <c r="T658" t="str">
        <f t="shared" si="144"/>
        <v>"id":"s640","cate":"Resistor ","des":"RST 220K 1/4W1%206A","mfg":"YAGEO","pn":"AC1206FR-07220KL","qty":4192</v>
      </c>
      <c r="U658" t="s">
        <v>2503</v>
      </c>
    </row>
    <row r="659" spans="5:21" x14ac:dyDescent="0.25">
      <c r="E659" t="s">
        <v>2139</v>
      </c>
      <c r="F659" t="s">
        <v>923</v>
      </c>
      <c r="G659" t="s">
        <v>64</v>
      </c>
      <c r="H659" t="s">
        <v>926</v>
      </c>
      <c r="I659">
        <v>4164</v>
      </c>
      <c r="K659" t="s">
        <v>3144</v>
      </c>
      <c r="L659" t="str">
        <f t="shared" si="143"/>
        <v>"id":"s641",</v>
      </c>
      <c r="M659" t="str">
        <v>"cate":"Resistor ",</v>
      </c>
      <c r="N659" t="str">
        <v>"des":"RST 220K 1/4W1%206A",</v>
      </c>
      <c r="O659" t="str">
        <v>"mfg":"ROYAL OHM",</v>
      </c>
      <c r="P659" t="str">
        <v>"pn":"1206W4F2203T5E",</v>
      </c>
      <c r="Q659" t="str">
        <v>"qty":4192</v>
      </c>
      <c r="S659" t="s">
        <v>2498</v>
      </c>
      <c r="T659" t="str">
        <f t="shared" si="144"/>
        <v>"id":"s641","cate":"Resistor ","des":"RST 220K 1/4W1%206A","mfg":"ROYAL OHM","pn":"1206W4F2203T5E","qty":4192</v>
      </c>
      <c r="U659" t="s">
        <v>2503</v>
      </c>
    </row>
    <row r="660" spans="5:21" x14ac:dyDescent="0.25">
      <c r="E660" t="s">
        <v>2139</v>
      </c>
      <c r="F660" t="s">
        <v>923</v>
      </c>
      <c r="G660" t="s">
        <v>62</v>
      </c>
      <c r="H660" t="s">
        <v>927</v>
      </c>
      <c r="I660">
        <v>4164</v>
      </c>
      <c r="K660" t="s">
        <v>3145</v>
      </c>
      <c r="L660" t="str">
        <f t="shared" ref="L660:L723" si="145">_xlfn.CONCAT("""","id","""",":","""",K660,"""",",")</f>
        <v>"id":"s642",</v>
      </c>
      <c r="M660" t="str">
        <v>"cate":"Resistor ",</v>
      </c>
      <c r="N660" t="str">
        <v>"des":"RST 100 1/8W 1%805A",</v>
      </c>
      <c r="O660" t="str">
        <v>"mfg":"PANASONIC",</v>
      </c>
      <c r="P660" t="str">
        <v>"pn":"ERJ-6ENF1000V",</v>
      </c>
      <c r="Q660" t="str">
        <v>"qty":4190</v>
      </c>
      <c r="S660" t="s">
        <v>2498</v>
      </c>
      <c r="T660" t="str">
        <f t="shared" ref="T660:T723" si="146">_xlfn.CONCAT(L660:Q660)</f>
        <v>"id":"s642","cate":"Resistor ","des":"RST 100 1/8W 1%805A","mfg":"PANASONIC","pn":"ERJ-6ENF1000V","qty":4190</v>
      </c>
      <c r="U660" t="s">
        <v>2503</v>
      </c>
    </row>
    <row r="661" spans="5:21" x14ac:dyDescent="0.25">
      <c r="E661" t="s">
        <v>2139</v>
      </c>
      <c r="F661" t="s">
        <v>923</v>
      </c>
      <c r="G661" t="s">
        <v>10</v>
      </c>
      <c r="H661" t="s">
        <v>592</v>
      </c>
      <c r="I661">
        <v>4164</v>
      </c>
      <c r="K661" t="s">
        <v>3146</v>
      </c>
      <c r="L661" t="str">
        <f t="shared" si="145"/>
        <v>"id":"s643",</v>
      </c>
      <c r="M661" t="str">
        <v>"cate":"Resistor ",</v>
      </c>
      <c r="N661" t="str">
        <v>"des":"RST 100 1/8W 1%805A",</v>
      </c>
      <c r="O661" t="str">
        <v>"mfg":"STACKPOLE ELECTRONICS INC",</v>
      </c>
      <c r="P661" t="str">
        <v>"pn":"RMCF0805FT100R",</v>
      </c>
      <c r="Q661" t="str">
        <v>"qty":4190</v>
      </c>
      <c r="S661" t="s">
        <v>2498</v>
      </c>
      <c r="T661" t="str">
        <f t="shared" si="146"/>
        <v>"id":"s643","cate":"Resistor ","des":"RST 100 1/8W 1%805A","mfg":"STACKPOLE ELECTRONICS INC","pn":"RMCF0805FT100R","qty":4190</v>
      </c>
      <c r="U661" t="s">
        <v>2503</v>
      </c>
    </row>
    <row r="662" spans="5:21" x14ac:dyDescent="0.25">
      <c r="E662" t="s">
        <v>2193</v>
      </c>
      <c r="F662" t="s">
        <v>928</v>
      </c>
      <c r="G662" t="s">
        <v>10</v>
      </c>
      <c r="H662" t="s">
        <v>929</v>
      </c>
      <c r="I662">
        <v>4154</v>
      </c>
      <c r="K662" t="s">
        <v>3147</v>
      </c>
      <c r="L662" t="str">
        <f t="shared" si="145"/>
        <v>"id":"s644",</v>
      </c>
      <c r="M662" t="str">
        <v>"cate":"Resistor ",</v>
      </c>
      <c r="N662" t="str">
        <v>"des":"RST 33,2K 1/4W 1206",</v>
      </c>
      <c r="O662" t="str">
        <v>"mfg":"YAGEO",</v>
      </c>
      <c r="P662" t="str">
        <v>"pn":"RC1206FR-(**)33K2L",</v>
      </c>
      <c r="Q662" t="str">
        <v>"qty":4186</v>
      </c>
      <c r="S662" t="s">
        <v>2498</v>
      </c>
      <c r="T662" t="str">
        <f t="shared" si="146"/>
        <v>"id":"s644","cate":"Resistor ","des":"RST 33,2K 1/4W 1206","mfg":"YAGEO","pn":"RC1206FR-(**)33K2L","qty":4186</v>
      </c>
      <c r="U662" t="s">
        <v>2503</v>
      </c>
    </row>
    <row r="663" spans="5:21" x14ac:dyDescent="0.25">
      <c r="E663" t="s">
        <v>2139</v>
      </c>
      <c r="F663" t="s">
        <v>930</v>
      </c>
      <c r="G663" t="s">
        <v>37</v>
      </c>
      <c r="H663" t="s">
        <v>931</v>
      </c>
      <c r="I663">
        <v>4152</v>
      </c>
      <c r="K663" t="s">
        <v>3148</v>
      </c>
      <c r="L663" t="str">
        <f t="shared" si="145"/>
        <v>"id":"s645",</v>
      </c>
      <c r="M663" t="str">
        <v>"cate":"Resistor ",</v>
      </c>
      <c r="N663" t="str">
        <v>"des":"RST 33,2K 1/4W 1206",</v>
      </c>
      <c r="O663" t="str">
        <v>"mfg":"YAGEO",</v>
      </c>
      <c r="P663" t="str">
        <v>"pn":"RC1206FR-0733K2L",</v>
      </c>
      <c r="Q663" t="str">
        <v>"qty":4186</v>
      </c>
      <c r="S663" t="s">
        <v>2498</v>
      </c>
      <c r="T663" t="str">
        <f t="shared" si="146"/>
        <v>"id":"s645","cate":"Resistor ","des":"RST 33,2K 1/4W 1206","mfg":"YAGEO","pn":"RC1206FR-0733K2L","qty":4186</v>
      </c>
      <c r="U663" t="s">
        <v>2503</v>
      </c>
    </row>
    <row r="664" spans="5:21" x14ac:dyDescent="0.25">
      <c r="E664" t="s">
        <v>2139</v>
      </c>
      <c r="F664" t="s">
        <v>930</v>
      </c>
      <c r="G664" t="s">
        <v>320</v>
      </c>
      <c r="H664" t="s">
        <v>932</v>
      </c>
      <c r="I664">
        <v>4152</v>
      </c>
      <c r="K664" t="s">
        <v>3149</v>
      </c>
      <c r="L664" t="str">
        <f t="shared" si="145"/>
        <v>"id":"s646",</v>
      </c>
      <c r="M664" t="str">
        <v>"cate":"Resistor ",</v>
      </c>
      <c r="N664" t="str">
        <v>"des":"RST 33,2K 1/4W 1206",</v>
      </c>
      <c r="O664" t="str">
        <v>"mfg":"WALSIN",</v>
      </c>
      <c r="P664" t="str">
        <v>"pn":"WR12X3322FTL",</v>
      </c>
      <c r="Q664" t="str">
        <v>"qty":4186</v>
      </c>
      <c r="S664" t="s">
        <v>2498</v>
      </c>
      <c r="T664" t="str">
        <f t="shared" si="146"/>
        <v>"id":"s646","cate":"Resistor ","des":"RST 33,2K 1/4W 1206","mfg":"WALSIN","pn":"WR12X3322FTL","qty":4186</v>
      </c>
      <c r="U664" t="s">
        <v>2503</v>
      </c>
    </row>
    <row r="665" spans="5:21" x14ac:dyDescent="0.25">
      <c r="E665" t="s">
        <v>2126</v>
      </c>
      <c r="F665" t="s">
        <v>933</v>
      </c>
      <c r="G665" t="s">
        <v>379</v>
      </c>
      <c r="H665" t="s">
        <v>934</v>
      </c>
      <c r="I665">
        <v>4142</v>
      </c>
      <c r="K665" t="s">
        <v>3150</v>
      </c>
      <c r="L665" t="str">
        <f t="shared" si="145"/>
        <v>"id":"s647",</v>
      </c>
      <c r="M665" t="str">
        <v>"cate":"MA-1",</v>
      </c>
      <c r="N665" t="str">
        <v>"des":"MA-1150464STG",</v>
      </c>
      <c r="O665" t="str">
        <v>"mfg":"YAGEO",</v>
      </c>
      <c r="P665" t="str">
        <v>"pn":"CC0402KRX7R8BB223",</v>
      </c>
      <c r="Q665" t="str">
        <v>"qty":4175</v>
      </c>
      <c r="S665" t="s">
        <v>2498</v>
      </c>
      <c r="T665" t="str">
        <f t="shared" si="146"/>
        <v>"id":"s647","cate":"MA-1","des":"MA-1150464STG","mfg":"YAGEO","pn":"CC0402KRX7R8BB223","qty":4175</v>
      </c>
      <c r="U665" t="s">
        <v>2503</v>
      </c>
    </row>
    <row r="666" spans="5:21" x14ac:dyDescent="0.25">
      <c r="E666" t="s">
        <v>2405</v>
      </c>
      <c r="F666" t="s">
        <v>2428</v>
      </c>
      <c r="G666" t="s">
        <v>30</v>
      </c>
      <c r="H666" t="s">
        <v>935</v>
      </c>
      <c r="I666">
        <v>4137</v>
      </c>
      <c r="K666" t="s">
        <v>3151</v>
      </c>
      <c r="L666" t="str">
        <f t="shared" si="145"/>
        <v>"id":"s648",</v>
      </c>
      <c r="M666" t="str">
        <v>"cate":"MA-1",</v>
      </c>
      <c r="N666" t="str">
        <v>"des":"MA-1150464STG",</v>
      </c>
      <c r="O666" t="str">
        <v>"mfg":"KEMET",</v>
      </c>
      <c r="P666" t="str">
        <v>"pn":"C0402C223K3RAC7867",</v>
      </c>
      <c r="Q666" t="str">
        <v>"qty":4175</v>
      </c>
      <c r="S666" t="s">
        <v>2498</v>
      </c>
      <c r="T666" t="str">
        <f t="shared" si="146"/>
        <v>"id":"s648","cate":"MA-1","des":"MA-1150464STG","mfg":"KEMET","pn":"C0402C223K3RAC7867","qty":4175</v>
      </c>
      <c r="U666" t="s">
        <v>2503</v>
      </c>
    </row>
    <row r="667" spans="5:21" x14ac:dyDescent="0.25">
      <c r="E667" t="s">
        <v>2193</v>
      </c>
      <c r="F667" t="s">
        <v>936</v>
      </c>
      <c r="G667" t="s">
        <v>13</v>
      </c>
      <c r="H667" t="s">
        <v>937</v>
      </c>
      <c r="I667">
        <v>4107</v>
      </c>
      <c r="K667" t="s">
        <v>3152</v>
      </c>
      <c r="L667" t="str">
        <f t="shared" si="145"/>
        <v>"id":"s649",</v>
      </c>
      <c r="M667" t="str">
        <v>"cate":"MA-1",</v>
      </c>
      <c r="N667" t="str">
        <v>"des":"MA-1150464STG",</v>
      </c>
      <c r="O667" t="str">
        <v>"mfg":"AVX",</v>
      </c>
      <c r="P667" t="str">
        <v>"pn":"KGM05AR71E223KH",</v>
      </c>
      <c r="Q667" t="str">
        <v>"qty":4175</v>
      </c>
      <c r="S667" t="s">
        <v>2498</v>
      </c>
      <c r="T667" t="str">
        <f t="shared" si="146"/>
        <v>"id":"s649","cate":"MA-1","des":"MA-1150464STG","mfg":"AVX","pn":"KGM05AR71E223KH","qty":4175</v>
      </c>
      <c r="U667" t="s">
        <v>2503</v>
      </c>
    </row>
    <row r="668" spans="5:21" x14ac:dyDescent="0.25">
      <c r="E668" t="s">
        <v>2193</v>
      </c>
      <c r="F668" t="s">
        <v>936</v>
      </c>
      <c r="G668" t="s">
        <v>5</v>
      </c>
      <c r="H668" t="s">
        <v>938</v>
      </c>
      <c r="I668">
        <v>4107</v>
      </c>
      <c r="K668" t="s">
        <v>3153</v>
      </c>
      <c r="L668" t="str">
        <f t="shared" si="145"/>
        <v>"id":"s650",</v>
      </c>
      <c r="M668" t="str">
        <v>"cate":"MA-1",</v>
      </c>
      <c r="N668" t="str">
        <v>"des":"MA-1150464STG",</v>
      </c>
      <c r="O668" t="str">
        <v>"mfg":"SAMSUNG",</v>
      </c>
      <c r="P668" t="str">
        <v>"pn":"CL05B223KA5NNNC",</v>
      </c>
      <c r="Q668" t="str">
        <v>"qty":4175</v>
      </c>
      <c r="S668" t="s">
        <v>2498</v>
      </c>
      <c r="T668" t="str">
        <f t="shared" si="146"/>
        <v>"id":"s650","cate":"MA-1","des":"MA-1150464STG","mfg":"SAMSUNG","pn":"CL05B223KA5NNNC","qty":4175</v>
      </c>
      <c r="U668" t="s">
        <v>2503</v>
      </c>
    </row>
    <row r="669" spans="5:21" x14ac:dyDescent="0.25">
      <c r="E669" t="s">
        <v>2193</v>
      </c>
      <c r="F669" t="s">
        <v>936</v>
      </c>
      <c r="G669" t="s">
        <v>320</v>
      </c>
      <c r="H669" t="s">
        <v>939</v>
      </c>
      <c r="I669">
        <v>4107</v>
      </c>
      <c r="K669" t="s">
        <v>3154</v>
      </c>
      <c r="L669" t="str">
        <f t="shared" si="145"/>
        <v>"id":"s651",</v>
      </c>
      <c r="M669" t="str">
        <v>"cate":"MA-1",</v>
      </c>
      <c r="N669" t="str">
        <v>"des":"MA-1150464STG",</v>
      </c>
      <c r="O669" t="str">
        <v>"mfg":"TDK",</v>
      </c>
      <c r="P669" t="str">
        <v>"pn":"C1005X7R1E223K050BB",</v>
      </c>
      <c r="Q669" t="str">
        <v>"qty":4175</v>
      </c>
      <c r="S669" t="s">
        <v>2498</v>
      </c>
      <c r="T669" t="str">
        <f t="shared" si="146"/>
        <v>"id":"s651","cate":"MA-1","des":"MA-1150464STG","mfg":"TDK","pn":"C1005X7R1E223K050BB","qty":4175</v>
      </c>
      <c r="U669" t="s">
        <v>2503</v>
      </c>
    </row>
    <row r="670" spans="5:21" x14ac:dyDescent="0.25">
      <c r="E670" t="s">
        <v>2405</v>
      </c>
      <c r="F670" t="s">
        <v>2429</v>
      </c>
      <c r="G670" t="s">
        <v>30</v>
      </c>
      <c r="H670" t="s">
        <v>940</v>
      </c>
      <c r="I670">
        <v>4095</v>
      </c>
      <c r="K670" t="s">
        <v>3155</v>
      </c>
      <c r="L670" t="str">
        <f t="shared" si="145"/>
        <v>"id":"s652",</v>
      </c>
      <c r="M670" t="str">
        <v>"cate":"MA-1",</v>
      </c>
      <c r="N670" t="str">
        <v>"des":"MA-1150457STG",</v>
      </c>
      <c r="O670" t="str">
        <v>"mfg":"YAGEO",</v>
      </c>
      <c r="P670" t="str">
        <v>"pn":"CC0402KRX7R9BB103",</v>
      </c>
      <c r="Q670" t="str">
        <v>"qty":4164</v>
      </c>
      <c r="S670" t="s">
        <v>2498</v>
      </c>
      <c r="T670" t="str">
        <f t="shared" si="146"/>
        <v>"id":"s652","cate":"MA-1","des":"MA-1150457STG","mfg":"YAGEO","pn":"CC0402KRX7R9BB103","qty":4164</v>
      </c>
      <c r="U670" t="s">
        <v>2503</v>
      </c>
    </row>
    <row r="671" spans="5:21" x14ac:dyDescent="0.25">
      <c r="E671" t="s">
        <v>2193</v>
      </c>
      <c r="F671" t="s">
        <v>941</v>
      </c>
      <c r="G671" t="s">
        <v>5</v>
      </c>
      <c r="H671" t="s">
        <v>942</v>
      </c>
      <c r="I671">
        <v>4090</v>
      </c>
      <c r="K671" t="s">
        <v>3156</v>
      </c>
      <c r="L671" t="str">
        <f t="shared" si="145"/>
        <v>"id":"s653",</v>
      </c>
      <c r="M671" t="str">
        <v>"cate":"MA-1",</v>
      </c>
      <c r="N671" t="str">
        <v>"des":"MA-1150457STG",</v>
      </c>
      <c r="O671" t="str">
        <v>"mfg":"KEMET",</v>
      </c>
      <c r="P671" t="str">
        <v>"pn":"C0402C103K5RACTU",</v>
      </c>
      <c r="Q671" t="str">
        <v>"qty":4164</v>
      </c>
      <c r="S671" t="s">
        <v>2498</v>
      </c>
      <c r="T671" t="str">
        <f t="shared" si="146"/>
        <v>"id":"s653","cate":"MA-1","des":"MA-1150457STG","mfg":"KEMET","pn":"C0402C103K5RACTU","qty":4164</v>
      </c>
      <c r="U671" t="s">
        <v>2503</v>
      </c>
    </row>
    <row r="672" spans="5:21" x14ac:dyDescent="0.25">
      <c r="E672" t="s">
        <v>2193</v>
      </c>
      <c r="F672" t="s">
        <v>941</v>
      </c>
      <c r="G672" t="s">
        <v>320</v>
      </c>
      <c r="H672" t="s">
        <v>943</v>
      </c>
      <c r="I672">
        <v>4090</v>
      </c>
      <c r="K672" t="s">
        <v>3157</v>
      </c>
      <c r="L672" t="str">
        <f t="shared" si="145"/>
        <v>"id":"s654",</v>
      </c>
      <c r="M672" t="str">
        <v>"cate":"MA-1",</v>
      </c>
      <c r="N672" t="str">
        <v>"des":"MA-1150457STG",</v>
      </c>
      <c r="O672" t="str">
        <v>"mfg":"MURATA MANUFACTURING",</v>
      </c>
      <c r="P672" t="str">
        <v>"pn":"GRM155R71H103KA88D",</v>
      </c>
      <c r="Q672" t="str">
        <v>"qty":4164</v>
      </c>
      <c r="S672" t="s">
        <v>2498</v>
      </c>
      <c r="T672" t="str">
        <f t="shared" si="146"/>
        <v>"id":"s654","cate":"MA-1","des":"MA-1150457STG","mfg":"MURATA MANUFACTURING","pn":"GRM155R71H103KA88D","qty":4164</v>
      </c>
      <c r="U672" t="s">
        <v>2503</v>
      </c>
    </row>
    <row r="673" spans="5:21" x14ac:dyDescent="0.25">
      <c r="E673" t="s">
        <v>2193</v>
      </c>
      <c r="F673" t="s">
        <v>941</v>
      </c>
      <c r="G673" t="s">
        <v>10</v>
      </c>
      <c r="H673" t="s">
        <v>944</v>
      </c>
      <c r="I673">
        <v>4090</v>
      </c>
      <c r="K673" t="s">
        <v>3158</v>
      </c>
      <c r="L673" t="str">
        <f t="shared" si="145"/>
        <v>"id":"s655",</v>
      </c>
      <c r="M673" t="str">
        <v>"cate":"MA-1",</v>
      </c>
      <c r="N673" t="str">
        <v>"des":"MA-1150457STG",</v>
      </c>
      <c r="O673" t="str">
        <v>"mfg":"TDK",</v>
      </c>
      <c r="P673" t="str">
        <v>"pn":"CGA2B3X7R1H103K050BB",</v>
      </c>
      <c r="Q673" t="str">
        <v>"qty":4164</v>
      </c>
      <c r="S673" t="s">
        <v>2498</v>
      </c>
      <c r="T673" t="str">
        <f t="shared" si="146"/>
        <v>"id":"s655","cate":"MA-1","des":"MA-1150457STG","mfg":"TDK","pn":"CGA2B3X7R1H103K050BB","qty":4164</v>
      </c>
      <c r="U673" t="s">
        <v>2503</v>
      </c>
    </row>
    <row r="674" spans="5:21" x14ac:dyDescent="0.25">
      <c r="E674" t="s">
        <v>2154</v>
      </c>
      <c r="F674" t="s">
        <v>945</v>
      </c>
      <c r="G674" t="s">
        <v>946</v>
      </c>
      <c r="H674" t="s">
        <v>947</v>
      </c>
      <c r="I674">
        <v>4081</v>
      </c>
      <c r="K674" t="s">
        <v>3159</v>
      </c>
      <c r="L674" t="str">
        <f t="shared" si="145"/>
        <v>"id":"s656",</v>
      </c>
      <c r="M674" t="str">
        <v>"cate":"MA-1",</v>
      </c>
      <c r="N674" t="str">
        <v>"des":"MA-1150457STG",</v>
      </c>
      <c r="O674" t="str">
        <v>"mfg":"WALSIN",</v>
      </c>
      <c r="P674" t="str">
        <v>"pn":"0402B103K500CT",</v>
      </c>
      <c r="Q674" t="str">
        <v>"qty":4164</v>
      </c>
      <c r="S674" t="s">
        <v>2498</v>
      </c>
      <c r="T674" t="str">
        <f t="shared" si="146"/>
        <v>"id":"s656","cate":"MA-1","des":"MA-1150457STG","mfg":"WALSIN","pn":"0402B103K500CT","qty":4164</v>
      </c>
      <c r="U674" t="s">
        <v>2503</v>
      </c>
    </row>
    <row r="675" spans="5:21" x14ac:dyDescent="0.25">
      <c r="E675" t="s">
        <v>2382</v>
      </c>
      <c r="F675" t="s">
        <v>2470</v>
      </c>
      <c r="G675" t="s">
        <v>26</v>
      </c>
      <c r="H675" t="s">
        <v>948</v>
      </c>
      <c r="I675">
        <v>4077</v>
      </c>
      <c r="K675" t="s">
        <v>3160</v>
      </c>
      <c r="L675" t="str">
        <f t="shared" si="145"/>
        <v>"id":"s657",</v>
      </c>
      <c r="M675" t="str">
        <v>"cate":"Resistor ",</v>
      </c>
      <c r="N675" t="str">
        <v>"des":"RST 470 0,1W 5% 603",</v>
      </c>
      <c r="O675" t="str">
        <v>"mfg":"WALSIN",</v>
      </c>
      <c r="P675" t="str">
        <v>"pn":"WR06X471JTL",</v>
      </c>
      <c r="Q675" t="str">
        <v>"qty":4154</v>
      </c>
      <c r="S675" t="s">
        <v>2498</v>
      </c>
      <c r="T675" t="str">
        <f t="shared" si="146"/>
        <v>"id":"s657","cate":"Resistor ","des":"RST 470 0,1W 5% 603","mfg":"WALSIN","pn":"WR06X471JTL","qty":4154</v>
      </c>
      <c r="U675" t="s">
        <v>2503</v>
      </c>
    </row>
    <row r="676" spans="5:21" x14ac:dyDescent="0.25">
      <c r="E676" t="s">
        <v>2382</v>
      </c>
      <c r="F676" t="s">
        <v>2470</v>
      </c>
      <c r="G676" t="s">
        <v>30</v>
      </c>
      <c r="H676" t="s">
        <v>948</v>
      </c>
      <c r="I676">
        <v>4077</v>
      </c>
      <c r="K676" t="s">
        <v>3161</v>
      </c>
      <c r="L676" t="str">
        <f t="shared" si="145"/>
        <v>"id":"s658",</v>
      </c>
      <c r="M676" t="str">
        <v>"cate":"MA-1",</v>
      </c>
      <c r="N676" t="str">
        <v>"des":"MA-1121171STG",</v>
      </c>
      <c r="O676" t="str">
        <v>"mfg":"VISHAY",</v>
      </c>
      <c r="P676" t="str">
        <v>"pn":"CRCW0402316KFKED",</v>
      </c>
      <c r="Q676" t="str">
        <v>"qty":4152</v>
      </c>
      <c r="S676" t="s">
        <v>2498</v>
      </c>
      <c r="T676" t="str">
        <f t="shared" si="146"/>
        <v>"id":"s658","cate":"MA-1","des":"MA-1121171STG","mfg":"VISHAY","pn":"CRCW0402316KFKED","qty":4152</v>
      </c>
      <c r="U676" t="s">
        <v>2503</v>
      </c>
    </row>
    <row r="677" spans="5:21" x14ac:dyDescent="0.25">
      <c r="E677" t="s">
        <v>2193</v>
      </c>
      <c r="F677" t="s">
        <v>949</v>
      </c>
      <c r="G677" t="s">
        <v>13</v>
      </c>
      <c r="H677" t="s">
        <v>950</v>
      </c>
      <c r="I677">
        <v>4070</v>
      </c>
      <c r="K677" t="s">
        <v>3162</v>
      </c>
      <c r="L677" t="str">
        <f t="shared" si="145"/>
        <v>"id":"s659",</v>
      </c>
      <c r="M677" t="str">
        <v>"cate":"MA-1",</v>
      </c>
      <c r="N677" t="str">
        <v>"des":"MA-1121171STG",</v>
      </c>
      <c r="O677" t="str">
        <v>"mfg":"ROYAL OHM",</v>
      </c>
      <c r="P677" t="str">
        <v>"pn":"0402WGF3163TCE",</v>
      </c>
      <c r="Q677" t="str">
        <v>"qty":4152</v>
      </c>
      <c r="S677" t="s">
        <v>2498</v>
      </c>
      <c r="T677" t="str">
        <f t="shared" si="146"/>
        <v>"id":"s659","cate":"MA-1","des":"MA-1121171STG","mfg":"ROYAL OHM","pn":"0402WGF3163TCE","qty":4152</v>
      </c>
      <c r="U677" t="s">
        <v>2503</v>
      </c>
    </row>
    <row r="678" spans="5:21" x14ac:dyDescent="0.25">
      <c r="E678" t="s">
        <v>2193</v>
      </c>
      <c r="F678" t="s">
        <v>949</v>
      </c>
      <c r="G678" t="s">
        <v>13</v>
      </c>
      <c r="H678" t="s">
        <v>951</v>
      </c>
      <c r="I678">
        <v>4070</v>
      </c>
      <c r="K678" t="s">
        <v>3163</v>
      </c>
      <c r="L678" t="str">
        <f t="shared" si="145"/>
        <v>"id":"s660",</v>
      </c>
      <c r="M678" t="str">
        <v>"cate":"FUSE",</v>
      </c>
      <c r="N678" t="str">
        <v>"des":"FUSE CLIP 30A-02",</v>
      </c>
      <c r="O678" t="str">
        <v>"mfg":"KEYSTONE ELECTRONICS",</v>
      </c>
      <c r="P678" t="str">
        <v>"pn":"3566",</v>
      </c>
      <c r="Q678" t="str">
        <v>"qty":4142</v>
      </c>
      <c r="S678" t="s">
        <v>2498</v>
      </c>
      <c r="T678" t="str">
        <f t="shared" si="146"/>
        <v>"id":"s660","cate":"FUSE","des":"FUSE CLIP 30A-02","mfg":"KEYSTONE ELECTRONICS","pn":"3566","qty":4142</v>
      </c>
      <c r="U678" t="s">
        <v>2503</v>
      </c>
    </row>
    <row r="679" spans="5:21" x14ac:dyDescent="0.25">
      <c r="E679" t="s">
        <v>2194</v>
      </c>
      <c r="F679" t="s">
        <v>2267</v>
      </c>
      <c r="G679" t="s">
        <v>73</v>
      </c>
      <c r="H679" t="s">
        <v>952</v>
      </c>
      <c r="I679">
        <v>4053</v>
      </c>
      <c r="K679" t="s">
        <v>3164</v>
      </c>
      <c r="L679" t="str">
        <f t="shared" si="145"/>
        <v>"id":"s661",</v>
      </c>
      <c r="M679" t="str">
        <v>"cate":"Diode",</v>
      </c>
      <c r="N679" t="str">
        <v>"des":"DiodeE 0,215A 90VSMT",</v>
      </c>
      <c r="O679" t="str">
        <v>"mfg":"NEXPERIA",</v>
      </c>
      <c r="P679" t="str">
        <v>"pn":"BAW56,215",</v>
      </c>
      <c r="Q679" t="str">
        <v>"qty":4137</v>
      </c>
      <c r="S679" t="s">
        <v>2498</v>
      </c>
      <c r="T679" t="str">
        <f t="shared" si="146"/>
        <v>"id":"s661","cate":"Diode","des":"DiodeE 0,215A 90VSMT","mfg":"NEXPERIA","pn":"BAW56,215","qty":4137</v>
      </c>
      <c r="U679" t="s">
        <v>2503</v>
      </c>
    </row>
    <row r="680" spans="5:21" x14ac:dyDescent="0.25">
      <c r="E680" t="s">
        <v>2194</v>
      </c>
      <c r="F680" t="s">
        <v>2267</v>
      </c>
      <c r="G680" t="s">
        <v>49</v>
      </c>
      <c r="H680" t="s">
        <v>953</v>
      </c>
      <c r="I680">
        <v>4053</v>
      </c>
      <c r="K680" t="s">
        <v>3165</v>
      </c>
      <c r="L680" t="str">
        <f t="shared" si="145"/>
        <v>"id":"s662",</v>
      </c>
      <c r="M680" t="str">
        <v>"cate":"Resistor ",</v>
      </c>
      <c r="N680" t="str">
        <v>"des":"RST 47K 0,1W 5% 603",</v>
      </c>
      <c r="O680" t="str">
        <v>"mfg":"YAGEO",</v>
      </c>
      <c r="P680" t="str">
        <v>"pn":"RC0603JR-0747KL",</v>
      </c>
      <c r="Q680" t="str">
        <v>"qty":4107</v>
      </c>
      <c r="S680" t="s">
        <v>2498</v>
      </c>
      <c r="T680" t="str">
        <f t="shared" si="146"/>
        <v>"id":"s662","cate":"Resistor ","des":"RST 47K 0,1W 5% 603","mfg":"YAGEO","pn":"RC0603JR-0747KL","qty":4107</v>
      </c>
      <c r="U680" t="s">
        <v>2503</v>
      </c>
    </row>
    <row r="681" spans="5:21" x14ac:dyDescent="0.25">
      <c r="E681" t="s">
        <v>2123</v>
      </c>
      <c r="F681" t="s">
        <v>954</v>
      </c>
      <c r="G681" t="s">
        <v>132</v>
      </c>
      <c r="H681" t="s">
        <v>955</v>
      </c>
      <c r="I681">
        <v>4048</v>
      </c>
      <c r="K681" t="s">
        <v>3166</v>
      </c>
      <c r="L681" t="str">
        <f t="shared" si="145"/>
        <v>"id":"s663",</v>
      </c>
      <c r="M681" t="str">
        <v>"cate":"Resistor ",</v>
      </c>
      <c r="N681" t="str">
        <v>"des":"RST 47K 0,1W 5% 603",</v>
      </c>
      <c r="O681" t="str">
        <v>"mfg":"KOA",</v>
      </c>
      <c r="P681" t="str">
        <v>"pn":"RK73B1JTTD473J",</v>
      </c>
      <c r="Q681" t="str">
        <v>"qty":4107</v>
      </c>
      <c r="S681" t="s">
        <v>2498</v>
      </c>
      <c r="T681" t="str">
        <f t="shared" si="146"/>
        <v>"id":"s663","cate":"Resistor ","des":"RST 47K 0,1W 5% 603","mfg":"KOA","pn":"RK73B1JTTD473J","qty":4107</v>
      </c>
      <c r="U681" t="s">
        <v>2503</v>
      </c>
    </row>
    <row r="682" spans="5:21" x14ac:dyDescent="0.25">
      <c r="E682" t="s">
        <v>2193</v>
      </c>
      <c r="F682" t="s">
        <v>956</v>
      </c>
      <c r="G682" t="s">
        <v>13</v>
      </c>
      <c r="H682" t="s">
        <v>14</v>
      </c>
      <c r="I682">
        <v>4039</v>
      </c>
      <c r="K682" t="s">
        <v>3167</v>
      </c>
      <c r="L682" t="str">
        <f t="shared" si="145"/>
        <v>"id":"s664",</v>
      </c>
      <c r="M682" t="str">
        <v>"cate":"Resistor ",</v>
      </c>
      <c r="N682" t="str">
        <v>"des":"RST 47K 0,1W 5% 603",</v>
      </c>
      <c r="O682" t="str">
        <v>"mfg":"ROYAL OHM",</v>
      </c>
      <c r="P682" t="str">
        <v>"pn":"0603WAJ0473T5E",</v>
      </c>
      <c r="Q682" t="str">
        <v>"qty":4107</v>
      </c>
      <c r="S682" t="s">
        <v>2498</v>
      </c>
      <c r="T682" t="str">
        <f t="shared" si="146"/>
        <v>"id":"s664","cate":"Resistor ","des":"RST 47K 0,1W 5% 603","mfg":"ROYAL OHM","pn":"0603WAJ0473T5E","qty":4107</v>
      </c>
      <c r="U682" t="s">
        <v>2503</v>
      </c>
    </row>
    <row r="683" spans="5:21" x14ac:dyDescent="0.25">
      <c r="E683" t="s">
        <v>2193</v>
      </c>
      <c r="F683" t="s">
        <v>956</v>
      </c>
      <c r="G683" t="s">
        <v>89</v>
      </c>
      <c r="H683" t="s">
        <v>957</v>
      </c>
      <c r="I683">
        <v>4039</v>
      </c>
      <c r="K683" t="s">
        <v>3168</v>
      </c>
      <c r="L683" t="str">
        <f t="shared" si="145"/>
        <v>"id":"s665",</v>
      </c>
      <c r="M683" t="str">
        <v>"cate":"Diode",</v>
      </c>
      <c r="N683" t="str">
        <v>"des":"DiodeE 0,25A 250VSMT",</v>
      </c>
      <c r="O683" t="str">
        <v>"mfg":"NEXPERIA",</v>
      </c>
      <c r="P683" t="str">
        <v>"pn":"BAS321,115",</v>
      </c>
      <c r="Q683" t="str">
        <v>"qty":4095</v>
      </c>
      <c r="S683" t="s">
        <v>2498</v>
      </c>
      <c r="T683" t="str">
        <f t="shared" si="146"/>
        <v>"id":"s665","cate":"Diode","des":"DiodeE 0,25A 250VSMT","mfg":"NEXPERIA","pn":"BAS321,115","qty":4095</v>
      </c>
      <c r="U683" t="s">
        <v>2503</v>
      </c>
    </row>
    <row r="684" spans="5:21" x14ac:dyDescent="0.25">
      <c r="E684" t="s">
        <v>2155</v>
      </c>
      <c r="F684" t="s">
        <v>958</v>
      </c>
      <c r="G684" t="s">
        <v>13</v>
      </c>
      <c r="H684" t="s">
        <v>959</v>
      </c>
      <c r="I684">
        <v>4022</v>
      </c>
      <c r="K684" t="s">
        <v>3169</v>
      </c>
      <c r="L684" t="str">
        <f t="shared" si="145"/>
        <v>"id":"s666",</v>
      </c>
      <c r="M684" t="str">
        <v>"cate":"Resistor ",</v>
      </c>
      <c r="N684" t="str">
        <v>"des":"RST 182K 1/8W1%805A",</v>
      </c>
      <c r="O684" t="str">
        <v>"mfg":"KOA",</v>
      </c>
      <c r="P684" t="str">
        <v>"pn":"RK73H2AT(**)1823F",</v>
      </c>
      <c r="Q684" t="str">
        <v>"qty":4090</v>
      </c>
      <c r="S684" t="s">
        <v>2498</v>
      </c>
      <c r="T684" t="str">
        <f t="shared" si="146"/>
        <v>"id":"s666","cate":"Resistor ","des":"RST 182K 1/8W1%805A","mfg":"KOA","pn":"RK73H2AT(**)1823F","qty":4090</v>
      </c>
      <c r="U684" t="s">
        <v>2503</v>
      </c>
    </row>
    <row r="685" spans="5:21" x14ac:dyDescent="0.25">
      <c r="E685" s="6" t="s">
        <v>2485</v>
      </c>
      <c r="F685" t="s">
        <v>960</v>
      </c>
      <c r="G685" t="s">
        <v>556</v>
      </c>
      <c r="H685" s="6" t="s">
        <v>961</v>
      </c>
      <c r="I685">
        <v>4018</v>
      </c>
      <c r="K685" t="s">
        <v>3170</v>
      </c>
      <c r="L685" t="str">
        <f t="shared" si="145"/>
        <v>"id":"s667",</v>
      </c>
      <c r="M685" t="str">
        <v>"cate":"Resistor ",</v>
      </c>
      <c r="N685" t="str">
        <v>"des":"RST 182K 1/8W1%805A",</v>
      </c>
      <c r="O685" t="str">
        <v>"mfg":"ROYAL OHM",</v>
      </c>
      <c r="P685" t="str">
        <v>"pn":"0805W8F1823T5E",</v>
      </c>
      <c r="Q685" t="str">
        <v>"qty":4090</v>
      </c>
      <c r="S685" t="s">
        <v>2498</v>
      </c>
      <c r="T685" t="str">
        <f t="shared" si="146"/>
        <v>"id":"s667","cate":"Resistor ","des":"RST 182K 1/8W1%805A","mfg":"ROYAL OHM","pn":"0805W8F1823T5E","qty":4090</v>
      </c>
      <c r="U685" t="s">
        <v>2503</v>
      </c>
    </row>
    <row r="686" spans="5:21" x14ac:dyDescent="0.25">
      <c r="E686" t="s">
        <v>2193</v>
      </c>
      <c r="F686" t="s">
        <v>962</v>
      </c>
      <c r="G686" t="s">
        <v>320</v>
      </c>
      <c r="H686" t="s">
        <v>963</v>
      </c>
      <c r="I686">
        <v>4011</v>
      </c>
      <c r="K686" t="s">
        <v>3171</v>
      </c>
      <c r="L686" t="str">
        <f t="shared" si="145"/>
        <v>"id":"s668",</v>
      </c>
      <c r="M686" t="str">
        <v>"cate":"Resistor ",</v>
      </c>
      <c r="N686" t="str">
        <v>"des":"RST 182K 1/8W1%805A",</v>
      </c>
      <c r="O686" t="str">
        <v>"mfg":"WALSIN",</v>
      </c>
      <c r="P686" t="str">
        <v>"pn":"WR08X1823FTL",</v>
      </c>
      <c r="Q686" t="str">
        <v>"qty":4090</v>
      </c>
      <c r="S686" t="s">
        <v>2498</v>
      </c>
      <c r="T686" t="str">
        <f t="shared" si="146"/>
        <v>"id":"s668","cate":"Resistor ","des":"RST 182K 1/8W1%805A","mfg":"WALSIN","pn":"WR08X1823FTL","qty":4090</v>
      </c>
      <c r="U686" t="s">
        <v>2503</v>
      </c>
    </row>
    <row r="687" spans="5:21" x14ac:dyDescent="0.25">
      <c r="E687" t="s">
        <v>2193</v>
      </c>
      <c r="F687" t="s">
        <v>962</v>
      </c>
      <c r="G687" t="s">
        <v>207</v>
      </c>
      <c r="H687" t="s">
        <v>964</v>
      </c>
      <c r="I687">
        <v>4011</v>
      </c>
      <c r="K687" t="s">
        <v>3172</v>
      </c>
      <c r="L687" t="str">
        <f t="shared" si="145"/>
        <v>"id":"s669",</v>
      </c>
      <c r="M687" t="str">
        <v>"cate":"HEAD",</v>
      </c>
      <c r="N687" t="str">
        <v>"des":"HEADER 1X4P 2MM",</v>
      </c>
      <c r="O687" t="str">
        <v>"mfg":"TE",</v>
      </c>
      <c r="P687" t="str">
        <v>"pn":"292161-4",</v>
      </c>
      <c r="Q687" t="str">
        <v>"qty":4081</v>
      </c>
      <c r="S687" t="s">
        <v>2498</v>
      </c>
      <c r="T687" t="str">
        <f t="shared" si="146"/>
        <v>"id":"s669","cate":"HEAD","des":"HEADER 1X4P 2MM","mfg":"TE","pn":"292161-4","qty":4081</v>
      </c>
      <c r="U687" t="s">
        <v>2503</v>
      </c>
    </row>
    <row r="688" spans="5:21" x14ac:dyDescent="0.25">
      <c r="E688" t="s">
        <v>2194</v>
      </c>
      <c r="F688" t="s">
        <v>2268</v>
      </c>
      <c r="G688" t="s">
        <v>13</v>
      </c>
      <c r="H688" t="s">
        <v>425</v>
      </c>
      <c r="I688">
        <v>3983</v>
      </c>
      <c r="K688" t="s">
        <v>3173</v>
      </c>
      <c r="L688" t="str">
        <f t="shared" si="145"/>
        <v>"id":"s670",</v>
      </c>
      <c r="M688" t="str">
        <v>"cate":"IC",</v>
      </c>
      <c r="N688" t="str">
        <v>"des":"ICCF8574TS/3,118",</v>
      </c>
      <c r="O688" t="str">
        <v>"mfg":"NXP SEMICONDUCTORS",</v>
      </c>
      <c r="P688" t="str">
        <v>"pn":"PCF8574TS/3,118",</v>
      </c>
      <c r="Q688" t="str">
        <v>"qty":4077</v>
      </c>
      <c r="S688" t="s">
        <v>2498</v>
      </c>
      <c r="T688" t="str">
        <f t="shared" si="146"/>
        <v>"id":"s670","cate":"IC","des":"ICCF8574TS/3,118","mfg":"NXP SEMICONDUCTORS","pn":"PCF8574TS/3,118","qty":4077</v>
      </c>
      <c r="U688" t="s">
        <v>2503</v>
      </c>
    </row>
    <row r="689" spans="5:21" x14ac:dyDescent="0.25">
      <c r="E689" t="s">
        <v>2194</v>
      </c>
      <c r="F689" t="s">
        <v>2268</v>
      </c>
      <c r="G689" t="s">
        <v>8</v>
      </c>
      <c r="H689" t="s">
        <v>427</v>
      </c>
      <c r="I689">
        <v>3983</v>
      </c>
      <c r="K689" t="s">
        <v>3174</v>
      </c>
      <c r="L689" t="str">
        <f t="shared" si="145"/>
        <v>"id":"s671",</v>
      </c>
      <c r="M689" t="str">
        <v>"cate":"IC",</v>
      </c>
      <c r="N689" t="str">
        <v>"des":"ICCF8574TS/3,118",</v>
      </c>
      <c r="O689" t="str">
        <v>"mfg":"NEXPERIA",</v>
      </c>
      <c r="P689" t="str">
        <v>"pn":"PCF8574TS/3,118",</v>
      </c>
      <c r="Q689" t="str">
        <v>"qty":4077</v>
      </c>
      <c r="S689" t="s">
        <v>2498</v>
      </c>
      <c r="T689" t="str">
        <f t="shared" si="146"/>
        <v>"id":"s671","cate":"IC","des":"ICCF8574TS/3,118","mfg":"NEXPERIA","pn":"PCF8574TS/3,118","qty":4077</v>
      </c>
      <c r="U689" t="s">
        <v>2503</v>
      </c>
    </row>
    <row r="690" spans="5:21" x14ac:dyDescent="0.25">
      <c r="E690" t="s">
        <v>2157</v>
      </c>
      <c r="F690" t="s">
        <v>965</v>
      </c>
      <c r="G690" t="s">
        <v>966</v>
      </c>
      <c r="H690" t="s">
        <v>967</v>
      </c>
      <c r="I690">
        <v>3982</v>
      </c>
      <c r="K690" t="s">
        <v>3175</v>
      </c>
      <c r="L690" t="str">
        <f t="shared" si="145"/>
        <v>"id":"s672",</v>
      </c>
      <c r="M690" t="str">
        <v>"cate":"Resistor ",</v>
      </c>
      <c r="N690" t="str">
        <v>"des":"RST 499 0,1W 1%0603",</v>
      </c>
      <c r="O690" t="str">
        <v>"mfg":"YAGEO",</v>
      </c>
      <c r="P690" t="str">
        <v>"pn":"RC0603FR-07499RL",</v>
      </c>
      <c r="Q690" t="str">
        <v>"qty":4070</v>
      </c>
      <c r="S690" t="s">
        <v>2498</v>
      </c>
      <c r="T690" t="str">
        <f t="shared" si="146"/>
        <v>"id":"s672","cate":"Resistor ","des":"RST 499 0,1W 1%0603","mfg":"YAGEO","pn":"RC0603FR-07499RL","qty":4070</v>
      </c>
      <c r="U690" t="s">
        <v>2503</v>
      </c>
    </row>
    <row r="691" spans="5:21" x14ac:dyDescent="0.25">
      <c r="E691" t="s">
        <v>2193</v>
      </c>
      <c r="F691" t="s">
        <v>968</v>
      </c>
      <c r="G691" t="s">
        <v>320</v>
      </c>
      <c r="H691" t="s">
        <v>969</v>
      </c>
      <c r="I691">
        <v>3956</v>
      </c>
      <c r="K691" t="s">
        <v>3176</v>
      </c>
      <c r="L691" t="str">
        <f t="shared" si="145"/>
        <v>"id":"s673",</v>
      </c>
      <c r="M691" t="str">
        <v>"cate":"Resistor ",</v>
      </c>
      <c r="N691" t="str">
        <v>"des":"RST 499 0,1W 1%0603",</v>
      </c>
      <c r="O691" t="str">
        <v>"mfg":"YAGEO",</v>
      </c>
      <c r="P691" t="str">
        <v>"pn":"RC0603FR-10499RL",</v>
      </c>
      <c r="Q691" t="str">
        <v>"qty":4070</v>
      </c>
      <c r="S691" t="s">
        <v>2498</v>
      </c>
      <c r="T691" t="str">
        <f t="shared" si="146"/>
        <v>"id":"s673","cate":"Resistor ","des":"RST 499 0,1W 1%0603","mfg":"YAGEO","pn":"RC0603FR-10499RL","qty":4070</v>
      </c>
      <c r="U691" t="s">
        <v>2503</v>
      </c>
    </row>
    <row r="692" spans="5:21" x14ac:dyDescent="0.25">
      <c r="E692" t="s">
        <v>2193</v>
      </c>
      <c r="F692" t="s">
        <v>968</v>
      </c>
      <c r="G692" t="s">
        <v>207</v>
      </c>
      <c r="H692" t="s">
        <v>970</v>
      </c>
      <c r="I692">
        <v>3956</v>
      </c>
      <c r="K692" t="s">
        <v>3177</v>
      </c>
      <c r="L692" t="str">
        <f t="shared" si="145"/>
        <v>"id":"s674",</v>
      </c>
      <c r="M692" t="str">
        <v>"cate":"Capacitor",</v>
      </c>
      <c r="N692" t="str">
        <v>"des":"Capacitor 2,2UF K16V 603",</v>
      </c>
      <c r="O692" t="str">
        <v>"mfg":"TAIYO YUDEN",</v>
      </c>
      <c r="P692" t="str">
        <v>"pn":"EMK107BB7225KA-T",</v>
      </c>
      <c r="Q692" t="str">
        <v>"qty":4053</v>
      </c>
      <c r="S692" t="s">
        <v>2498</v>
      </c>
      <c r="T692" t="str">
        <f t="shared" si="146"/>
        <v>"id":"s674","cate":"Capacitor","des":"Capacitor 2,2UF K16V 603","mfg":"TAIYO YUDEN","pn":"EMK107BB7225KA-T","qty":4053</v>
      </c>
      <c r="U692" t="s">
        <v>2503</v>
      </c>
    </row>
    <row r="693" spans="5:21" x14ac:dyDescent="0.25">
      <c r="E693" t="s">
        <v>2193</v>
      </c>
      <c r="F693" t="s">
        <v>971</v>
      </c>
      <c r="G693" t="s">
        <v>13</v>
      </c>
      <c r="H693" t="s">
        <v>972</v>
      </c>
      <c r="I693">
        <v>3955</v>
      </c>
      <c r="K693" t="s">
        <v>3178</v>
      </c>
      <c r="L693" t="str">
        <f t="shared" si="145"/>
        <v>"id":"s675",</v>
      </c>
      <c r="M693" t="str">
        <v>"cate":"Capacitor",</v>
      </c>
      <c r="N693" t="str">
        <v>"des":"Capacitor 2,2UF K16V 603",</v>
      </c>
      <c r="O693" t="str">
        <v>"mfg":"AVX",</v>
      </c>
      <c r="P693" t="str">
        <v>"pn":"0603YC225KAT2A",</v>
      </c>
      <c r="Q693" t="str">
        <v>"qty":4053</v>
      </c>
      <c r="S693" t="s">
        <v>2498</v>
      </c>
      <c r="T693" t="str">
        <f t="shared" si="146"/>
        <v>"id":"s675","cate":"Capacitor","des":"Capacitor 2,2UF K16V 603","mfg":"AVX","pn":"0603YC225KAT2A","qty":4053</v>
      </c>
      <c r="U693" t="s">
        <v>2503</v>
      </c>
    </row>
    <row r="694" spans="5:21" x14ac:dyDescent="0.25">
      <c r="E694" t="s">
        <v>2194</v>
      </c>
      <c r="F694" t="s">
        <v>2269</v>
      </c>
      <c r="G694" t="s">
        <v>45</v>
      </c>
      <c r="H694" t="s">
        <v>973</v>
      </c>
      <c r="I694">
        <v>3930</v>
      </c>
      <c r="K694" t="s">
        <v>3179</v>
      </c>
      <c r="L694" t="str">
        <f t="shared" si="145"/>
        <v>"id":"s676",</v>
      </c>
      <c r="M694" t="str">
        <v>"cate":"LED ",</v>
      </c>
      <c r="N694" t="str">
        <v>"des":"LED CL-BL DIA 3 MM",</v>
      </c>
      <c r="O694" t="str">
        <v>"mfg":"KINGBRIGHT",</v>
      </c>
      <c r="P694" t="str">
        <v>"pn":"L-7104QBC-D",</v>
      </c>
      <c r="Q694" t="str">
        <v>"qty":4048</v>
      </c>
      <c r="S694" t="s">
        <v>2498</v>
      </c>
      <c r="T694" t="str">
        <f t="shared" si="146"/>
        <v>"id":"s676","cate":"LED ","des":"LED CL-BL DIA 3 MM","mfg":"KINGBRIGHT","pn":"L-7104QBC-D","qty":4048</v>
      </c>
      <c r="U694" t="s">
        <v>2503</v>
      </c>
    </row>
    <row r="695" spans="5:21" x14ac:dyDescent="0.25">
      <c r="E695" t="s">
        <v>2194</v>
      </c>
      <c r="F695" t="s">
        <v>2269</v>
      </c>
      <c r="G695" t="s">
        <v>45</v>
      </c>
      <c r="H695" t="s">
        <v>974</v>
      </c>
      <c r="I695">
        <v>3930</v>
      </c>
      <c r="K695" t="s">
        <v>3180</v>
      </c>
      <c r="L695" t="str">
        <f t="shared" si="145"/>
        <v>"id":"s677",</v>
      </c>
      <c r="M695" t="str">
        <v>"cate":"Resistor ",</v>
      </c>
      <c r="N695" t="str">
        <v>"des":"RST 100K 0,1W5%603A",</v>
      </c>
      <c r="O695" t="str">
        <v>"mfg":"YAGEO",</v>
      </c>
      <c r="P695" t="str">
        <v>"pn":"RC0603JR-07100KL",</v>
      </c>
      <c r="Q695" t="str">
        <v>"qty":4039</v>
      </c>
      <c r="S695" t="s">
        <v>2498</v>
      </c>
      <c r="T695" t="str">
        <f t="shared" si="146"/>
        <v>"id":"s677","cate":"Resistor ","des":"RST 100K 0,1W5%603A","mfg":"YAGEO","pn":"RC0603JR-07100KL","qty":4039</v>
      </c>
      <c r="U695" t="s">
        <v>2503</v>
      </c>
    </row>
    <row r="696" spans="5:21" x14ac:dyDescent="0.25">
      <c r="E696" t="s">
        <v>2194</v>
      </c>
      <c r="F696" t="s">
        <v>2269</v>
      </c>
      <c r="G696" t="s">
        <v>47</v>
      </c>
      <c r="H696" t="s">
        <v>975</v>
      </c>
      <c r="I696">
        <v>3930</v>
      </c>
      <c r="K696" t="s">
        <v>3181</v>
      </c>
      <c r="L696" t="str">
        <f t="shared" si="145"/>
        <v>"id":"s678",</v>
      </c>
      <c r="M696" t="str">
        <v>"cate":"Resistor ",</v>
      </c>
      <c r="N696" t="str">
        <v>"des":"RST 100K 0,1W5%603A",</v>
      </c>
      <c r="O696" t="str">
        <v>"mfg":"BOURNS",</v>
      </c>
      <c r="P696" t="str">
        <v>"pn":"CR0603-JW104ELF",</v>
      </c>
      <c r="Q696" t="str">
        <v>"qty":4039</v>
      </c>
      <c r="S696" t="s">
        <v>2498</v>
      </c>
      <c r="T696" t="str">
        <f t="shared" si="146"/>
        <v>"id":"s678","cate":"Resistor ","des":"RST 100K 0,1W5%603A","mfg":"BOURNS","pn":"CR0603-JW104ELF","qty":4039</v>
      </c>
      <c r="U696" t="s">
        <v>2503</v>
      </c>
    </row>
    <row r="697" spans="5:21" x14ac:dyDescent="0.25">
      <c r="E697" t="s">
        <v>2193</v>
      </c>
      <c r="F697" t="s">
        <v>976</v>
      </c>
      <c r="G697" t="s">
        <v>37</v>
      </c>
      <c r="H697" t="s">
        <v>977</v>
      </c>
      <c r="I697">
        <v>3925</v>
      </c>
      <c r="K697" t="s">
        <v>3182</v>
      </c>
      <c r="L697" t="str">
        <f t="shared" si="145"/>
        <v>"id":"s679",</v>
      </c>
      <c r="M697" t="str">
        <v>"cate":"C330",</v>
      </c>
      <c r="N697" t="str">
        <v>"des":"C330P-50V10%0603",</v>
      </c>
      <c r="O697" t="str">
        <v>"mfg":"YAGEO",</v>
      </c>
      <c r="P697" t="str">
        <v>"pn":"CC0603KRX7R9BB331",</v>
      </c>
      <c r="Q697" t="str">
        <v>"qty":4022</v>
      </c>
      <c r="S697" t="s">
        <v>2498</v>
      </c>
      <c r="T697" t="str">
        <f t="shared" si="146"/>
        <v>"id":"s679","cate":"C330","des":"C330P-50V10%0603","mfg":"YAGEO","pn":"CC0603KRX7R9BB331","qty":4022</v>
      </c>
      <c r="U697" t="s">
        <v>2503</v>
      </c>
    </row>
    <row r="698" spans="5:21" x14ac:dyDescent="0.25">
      <c r="E698" t="s">
        <v>2193</v>
      </c>
      <c r="F698" t="s">
        <v>976</v>
      </c>
      <c r="G698" t="s">
        <v>510</v>
      </c>
      <c r="H698" t="s">
        <v>978</v>
      </c>
      <c r="I698">
        <v>3925</v>
      </c>
      <c r="K698" t="s">
        <v>3183</v>
      </c>
      <c r="L698" t="str">
        <f t="shared" si="145"/>
        <v>"id":"s680",</v>
      </c>
      <c r="M698" t="str">
        <v>"cate":"BLUETOOTH",</v>
      </c>
      <c r="N698" t="str">
        <v>"des":"BLE CYBLE-222014-01",</v>
      </c>
      <c r="O698" t="str">
        <v>"mfg":"INFINEON TECHNOLOGIES",</v>
      </c>
      <c r="P698" t="str">
        <v>"pn":"CYBLE-222014-01",</v>
      </c>
      <c r="Q698" t="str">
        <v>"qty":4018</v>
      </c>
      <c r="S698" t="s">
        <v>2498</v>
      </c>
      <c r="T698" t="str">
        <f t="shared" si="146"/>
        <v>"id":"s680","cate":"BLUETOOTH","des":"BLE CYBLE-222014-01","mfg":"INFINEON TECHNOLOGIES","pn":"CYBLE-222014-01","qty":4018</v>
      </c>
      <c r="U698" t="s">
        <v>2503</v>
      </c>
    </row>
    <row r="699" spans="5:21" x14ac:dyDescent="0.25">
      <c r="E699" t="s">
        <v>2193</v>
      </c>
      <c r="F699" t="s">
        <v>976</v>
      </c>
      <c r="G699" t="s">
        <v>89</v>
      </c>
      <c r="H699" t="s">
        <v>979</v>
      </c>
      <c r="I699">
        <v>3925</v>
      </c>
      <c r="K699" t="s">
        <v>3184</v>
      </c>
      <c r="L699" t="str">
        <f t="shared" si="145"/>
        <v>"id":"s681",</v>
      </c>
      <c r="M699" t="str">
        <v>"cate":"Resistor ",</v>
      </c>
      <c r="N699" t="str">
        <v>"des":"RST 392R 0,1W1%0603",</v>
      </c>
      <c r="O699" t="str">
        <v>"mfg":"ROYAL OHM",</v>
      </c>
      <c r="P699" t="str">
        <v>"pn":"0603WAF3920T5E",</v>
      </c>
      <c r="Q699" t="str">
        <v>"qty":4011</v>
      </c>
      <c r="S699" t="s">
        <v>2498</v>
      </c>
      <c r="T699" t="str">
        <f t="shared" si="146"/>
        <v>"id":"s681","cate":"Resistor ","des":"RST 392R 0,1W1%0603","mfg":"ROYAL OHM","pn":"0603WAF3920T5E","qty":4011</v>
      </c>
      <c r="U699" t="s">
        <v>2503</v>
      </c>
    </row>
    <row r="700" spans="5:21" x14ac:dyDescent="0.25">
      <c r="E700" t="s">
        <v>2194</v>
      </c>
      <c r="F700" t="s">
        <v>2270</v>
      </c>
      <c r="G700" t="s">
        <v>13</v>
      </c>
      <c r="H700" t="s">
        <v>980</v>
      </c>
      <c r="I700">
        <v>3923</v>
      </c>
      <c r="K700" t="s">
        <v>3185</v>
      </c>
      <c r="L700" t="str">
        <f t="shared" si="145"/>
        <v>"id":"s682",</v>
      </c>
      <c r="M700" t="str">
        <v>"cate":"Resistor ",</v>
      </c>
      <c r="N700" t="str">
        <v>"des":"RST 392R 0,1W1%0603",</v>
      </c>
      <c r="O700" t="str">
        <v>"mfg":"STACKPOLE ELECTRONICS INC",</v>
      </c>
      <c r="P700" t="str">
        <v>"pn":"RMCF0603FT392R",</v>
      </c>
      <c r="Q700" t="str">
        <v>"qty":4011</v>
      </c>
      <c r="S700" t="s">
        <v>2498</v>
      </c>
      <c r="T700" t="str">
        <f t="shared" si="146"/>
        <v>"id":"s682","cate":"Resistor ","des":"RST 392R 0,1W1%0603","mfg":"STACKPOLE ELECTRONICS INC","pn":"RMCF0603FT392R","qty":4011</v>
      </c>
      <c r="U700" t="s">
        <v>2503</v>
      </c>
    </row>
    <row r="701" spans="5:21" x14ac:dyDescent="0.25">
      <c r="E701" t="s">
        <v>2193</v>
      </c>
      <c r="F701" t="s">
        <v>981</v>
      </c>
      <c r="G701" t="s">
        <v>320</v>
      </c>
      <c r="H701" t="s">
        <v>982</v>
      </c>
      <c r="I701">
        <v>3905</v>
      </c>
      <c r="K701" t="s">
        <v>3186</v>
      </c>
      <c r="L701" t="str">
        <f t="shared" si="145"/>
        <v>"id":"s683",</v>
      </c>
      <c r="M701" t="str">
        <v>"cate":"Capacitor",</v>
      </c>
      <c r="N701" t="str">
        <v>"des":"Capacitor 100NF/50V 0805",</v>
      </c>
      <c r="O701" t="str">
        <v>"mfg":"YAGEO",</v>
      </c>
      <c r="P701" t="str">
        <v>"pn":"CC0805KRX7R9BB104",</v>
      </c>
      <c r="Q701" t="str">
        <v>"qty":3983</v>
      </c>
      <c r="S701" t="s">
        <v>2498</v>
      </c>
      <c r="T701" t="str">
        <f t="shared" si="146"/>
        <v>"id":"s683","cate":"Capacitor","des":"Capacitor 100NF/50V 0805","mfg":"YAGEO","pn":"CC0805KRX7R9BB104","qty":3983</v>
      </c>
      <c r="U701" t="s">
        <v>2503</v>
      </c>
    </row>
    <row r="702" spans="5:21" x14ac:dyDescent="0.25">
      <c r="E702" t="s">
        <v>2193</v>
      </c>
      <c r="F702" t="s">
        <v>983</v>
      </c>
      <c r="G702" t="s">
        <v>510</v>
      </c>
      <c r="H702" t="s">
        <v>984</v>
      </c>
      <c r="I702">
        <v>3902</v>
      </c>
      <c r="K702" t="s">
        <v>3187</v>
      </c>
      <c r="L702" t="str">
        <f t="shared" si="145"/>
        <v>"id":"s684",</v>
      </c>
      <c r="M702" t="str">
        <v>"cate":"Capacitor",</v>
      </c>
      <c r="N702" t="str">
        <v>"des":"Capacitor 100NF/50V 0805",</v>
      </c>
      <c r="O702" t="str">
        <v>"mfg":"SAMSUNG",</v>
      </c>
      <c r="P702" t="str">
        <v>"pn":"CL21B104KBCNNNC",</v>
      </c>
      <c r="Q702" t="str">
        <v>"qty":3983</v>
      </c>
      <c r="S702" t="s">
        <v>2498</v>
      </c>
      <c r="T702" t="str">
        <f t="shared" si="146"/>
        <v>"id":"s684","cate":"Capacitor","des":"Capacitor 100NF/50V 0805","mfg":"SAMSUNG","pn":"CL21B104KBCNNNC","qty":3983</v>
      </c>
      <c r="U702" t="s">
        <v>2503</v>
      </c>
    </row>
    <row r="703" spans="5:21" x14ac:dyDescent="0.25">
      <c r="E703" t="s">
        <v>2193</v>
      </c>
      <c r="F703" t="s">
        <v>983</v>
      </c>
      <c r="G703" t="s">
        <v>320</v>
      </c>
      <c r="H703" t="s">
        <v>985</v>
      </c>
      <c r="I703">
        <v>3902</v>
      </c>
      <c r="K703" t="s">
        <v>3188</v>
      </c>
      <c r="L703" t="str">
        <f t="shared" si="145"/>
        <v>"id":"s685",</v>
      </c>
      <c r="M703" t="str">
        <v>"cate":"CLIP",</v>
      </c>
      <c r="N703" t="str">
        <v>"des":"CLIP RM 4/I-02",</v>
      </c>
      <c r="O703" t="str">
        <v>"mfg":"FERROXCUBE",</v>
      </c>
      <c r="P703" t="str">
        <v>"pn":"CLI-RM4/5/I",</v>
      </c>
      <c r="Q703" t="str">
        <v>"qty":3982</v>
      </c>
      <c r="S703" t="s">
        <v>2498</v>
      </c>
      <c r="T703" t="str">
        <f t="shared" si="146"/>
        <v>"id":"s685","cate":"CLIP","des":"CLIP RM 4/I-02","mfg":"FERROXCUBE","pn":"CLI-RM4/5/I","qty":3982</v>
      </c>
      <c r="U703" t="s">
        <v>2503</v>
      </c>
    </row>
    <row r="704" spans="5:21" x14ac:dyDescent="0.25">
      <c r="E704" t="s">
        <v>2193</v>
      </c>
      <c r="F704" t="s">
        <v>986</v>
      </c>
      <c r="G704" t="s">
        <v>13</v>
      </c>
      <c r="H704" t="s">
        <v>987</v>
      </c>
      <c r="I704">
        <v>3885</v>
      </c>
      <c r="K704" t="s">
        <v>3189</v>
      </c>
      <c r="L704" t="str">
        <f t="shared" si="145"/>
        <v>"id":"s686",</v>
      </c>
      <c r="M704" t="str">
        <v>"cate":"Resistor ",</v>
      </c>
      <c r="N704" t="str">
        <v>"des":"RST 30K 1/8W 1%0805",</v>
      </c>
      <c r="O704" t="str">
        <v>"mfg":"ROYAL OHM",</v>
      </c>
      <c r="P704" t="str">
        <v>"pn":"0805W8F3002T5E",</v>
      </c>
      <c r="Q704" t="str">
        <v>"qty":3956</v>
      </c>
      <c r="S704" t="s">
        <v>2498</v>
      </c>
      <c r="T704" t="str">
        <f t="shared" si="146"/>
        <v>"id":"s686","cate":"Resistor ","des":"RST 30K 1/8W 1%0805","mfg":"ROYAL OHM","pn":"0805W8F3002T5E","qty":3956</v>
      </c>
      <c r="U704" t="s">
        <v>2503</v>
      </c>
    </row>
    <row r="705" spans="5:21" x14ac:dyDescent="0.25">
      <c r="E705" t="s">
        <v>2193</v>
      </c>
      <c r="F705" t="s">
        <v>986</v>
      </c>
      <c r="G705" t="s">
        <v>320</v>
      </c>
      <c r="H705" t="s">
        <v>988</v>
      </c>
      <c r="I705">
        <v>3885</v>
      </c>
      <c r="K705" t="s">
        <v>3190</v>
      </c>
      <c r="L705" t="str">
        <f t="shared" si="145"/>
        <v>"id":"s687",</v>
      </c>
      <c r="M705" t="str">
        <v>"cate":"Resistor ",</v>
      </c>
      <c r="N705" t="str">
        <v>"des":"RST 30K 1/8W 1%0805",</v>
      </c>
      <c r="O705" t="str">
        <v>"mfg":"STACKPOLE ELECTRONICS INC",</v>
      </c>
      <c r="P705" t="str">
        <v>"pn":"RMCF0805FT30K0",</v>
      </c>
      <c r="Q705" t="str">
        <v>"qty":3956</v>
      </c>
      <c r="S705" t="s">
        <v>2498</v>
      </c>
      <c r="T705" t="str">
        <f t="shared" si="146"/>
        <v>"id":"s687","cate":"Resistor ","des":"RST 30K 1/8W 1%0805","mfg":"STACKPOLE ELECTRONICS INC","pn":"RMCF0805FT30K0","qty":3956</v>
      </c>
      <c r="U705" t="s">
        <v>2503</v>
      </c>
    </row>
    <row r="706" spans="5:21" x14ac:dyDescent="0.25">
      <c r="E706" t="s">
        <v>2194</v>
      </c>
      <c r="F706" t="s">
        <v>2271</v>
      </c>
      <c r="G706" t="s">
        <v>13</v>
      </c>
      <c r="H706" t="s">
        <v>989</v>
      </c>
      <c r="I706">
        <v>3884</v>
      </c>
      <c r="K706" t="s">
        <v>3191</v>
      </c>
      <c r="L706" t="str">
        <f t="shared" si="145"/>
        <v>"id":"s688",</v>
      </c>
      <c r="M706" t="str">
        <v>"cate":"Resistor ",</v>
      </c>
      <c r="N706" t="str">
        <v>"des":"RST 2K74 1/4W1%1206",</v>
      </c>
      <c r="O706" t="str">
        <v>"mfg":"YAGEO",</v>
      </c>
      <c r="P706" t="str">
        <v>"pn":"RC1206FR-072K74L",</v>
      </c>
      <c r="Q706" t="str">
        <v>"qty":3955</v>
      </c>
      <c r="S706" t="s">
        <v>2498</v>
      </c>
      <c r="T706" t="str">
        <f t="shared" si="146"/>
        <v>"id":"s688","cate":"Resistor ","des":"RST 2K74 1/4W1%1206","mfg":"YAGEO","pn":"RC1206FR-072K74L","qty":3955</v>
      </c>
      <c r="U706" t="s">
        <v>2503</v>
      </c>
    </row>
    <row r="707" spans="5:21" x14ac:dyDescent="0.25">
      <c r="E707" t="s">
        <v>2194</v>
      </c>
      <c r="F707" t="s">
        <v>2271</v>
      </c>
      <c r="G707" t="s">
        <v>47</v>
      </c>
      <c r="H707" t="s">
        <v>990</v>
      </c>
      <c r="I707">
        <v>3884</v>
      </c>
      <c r="K707" t="s">
        <v>3192</v>
      </c>
      <c r="L707" t="str">
        <f t="shared" si="145"/>
        <v>"id":"s689",</v>
      </c>
      <c r="M707" t="str">
        <v>"cate":"Capacitor",</v>
      </c>
      <c r="N707" t="str">
        <v>"des":"Capacitor 1NF/300V 20%TH",</v>
      </c>
      <c r="O707" t="str">
        <v>"mfg":"EPCOS/TDK",</v>
      </c>
      <c r="P707" t="str">
        <v>"pn":"B32021A3102",</v>
      </c>
      <c r="Q707" t="str">
        <v>"qty":3930</v>
      </c>
      <c r="S707" t="s">
        <v>2498</v>
      </c>
      <c r="T707" t="str">
        <f t="shared" si="146"/>
        <v>"id":"s689","cate":"Capacitor","des":"Capacitor 1NF/300V 20%TH","mfg":"EPCOS/TDK","pn":"B32021A3102","qty":3930</v>
      </c>
      <c r="U707" t="s">
        <v>2503</v>
      </c>
    </row>
    <row r="708" spans="5:21" x14ac:dyDescent="0.25">
      <c r="E708" t="s">
        <v>2194</v>
      </c>
      <c r="F708" t="s">
        <v>2271</v>
      </c>
      <c r="G708" t="s">
        <v>8</v>
      </c>
      <c r="H708" t="s">
        <v>991</v>
      </c>
      <c r="I708">
        <v>3884</v>
      </c>
      <c r="K708" t="s">
        <v>3193</v>
      </c>
      <c r="L708" t="str">
        <f t="shared" si="145"/>
        <v>"id":"s690",</v>
      </c>
      <c r="M708" t="str">
        <v>"cate":"Capacitor",</v>
      </c>
      <c r="N708" t="str">
        <v>"des":"Capacitor 1NF/300V 20%TH",</v>
      </c>
      <c r="O708" t="str">
        <v>"mfg":"EPCOS/TDK",</v>
      </c>
      <c r="P708" t="str">
        <v>"pn":"B32021A3102M289",</v>
      </c>
      <c r="Q708" t="str">
        <v>"qty":3930</v>
      </c>
      <c r="S708" t="s">
        <v>2498</v>
      </c>
      <c r="T708" t="str">
        <f t="shared" si="146"/>
        <v>"id":"s690","cate":"Capacitor","des":"Capacitor 1NF/300V 20%TH","mfg":"EPCOS/TDK","pn":"B32021A3102M289","qty":3930</v>
      </c>
      <c r="U708" t="s">
        <v>2503</v>
      </c>
    </row>
    <row r="709" spans="5:21" x14ac:dyDescent="0.25">
      <c r="E709" t="s">
        <v>2194</v>
      </c>
      <c r="F709" t="s">
        <v>2271</v>
      </c>
      <c r="G709" t="s">
        <v>343</v>
      </c>
      <c r="H709" t="s">
        <v>992</v>
      </c>
      <c r="I709">
        <v>3884</v>
      </c>
      <c r="K709" t="s">
        <v>3194</v>
      </c>
      <c r="L709" t="str">
        <f t="shared" si="145"/>
        <v>"id":"s691",</v>
      </c>
      <c r="M709" t="str">
        <v>"cate":"Capacitor",</v>
      </c>
      <c r="N709" t="str">
        <v>"des":"Capacitor 1NF/300V 20%TH",</v>
      </c>
      <c r="O709" t="str">
        <v>"mfg":"KEMET",</v>
      </c>
      <c r="P709" t="str">
        <v>"pn":"R413F11000000M",</v>
      </c>
      <c r="Q709" t="str">
        <v>"qty":3930</v>
      </c>
      <c r="S709" t="s">
        <v>2498</v>
      </c>
      <c r="T709" t="str">
        <f t="shared" si="146"/>
        <v>"id":"s691","cate":"Capacitor","des":"Capacitor 1NF/300V 20%TH","mfg":"KEMET","pn":"R413F11000000M","qty":3930</v>
      </c>
      <c r="U709" t="s">
        <v>2503</v>
      </c>
    </row>
    <row r="710" spans="5:21" x14ac:dyDescent="0.25">
      <c r="E710" t="s">
        <v>2194</v>
      </c>
      <c r="F710" t="s">
        <v>2272</v>
      </c>
      <c r="G710" t="s">
        <v>13</v>
      </c>
      <c r="H710" t="s">
        <v>993</v>
      </c>
      <c r="I710">
        <v>3868</v>
      </c>
      <c r="K710" t="s">
        <v>3195</v>
      </c>
      <c r="L710" t="str">
        <f t="shared" si="145"/>
        <v>"id":"s692",</v>
      </c>
      <c r="M710" t="str">
        <v>"cate":"Resistor ",</v>
      </c>
      <c r="N710" t="str">
        <v>"des":"RST 0,0005 6W1%2512",</v>
      </c>
      <c r="O710" t="str">
        <v>"mfg":"VISHAY",</v>
      </c>
      <c r="P710" t="str">
        <v>"pn":"WSLF2512L5000FEA",</v>
      </c>
      <c r="Q710" t="str">
        <v>"qty":3925</v>
      </c>
      <c r="S710" t="s">
        <v>2498</v>
      </c>
      <c r="T710" t="str">
        <f t="shared" si="146"/>
        <v>"id":"s692","cate":"Resistor ","des":"RST 0,0005 6W1%2512","mfg":"VISHAY","pn":"WSLF2512L5000FEA","qty":3925</v>
      </c>
      <c r="U710" t="s">
        <v>2503</v>
      </c>
    </row>
    <row r="711" spans="5:21" x14ac:dyDescent="0.25">
      <c r="E711" t="s">
        <v>2194</v>
      </c>
      <c r="F711" t="s">
        <v>2272</v>
      </c>
      <c r="G711" t="s">
        <v>47</v>
      </c>
      <c r="H711" t="s">
        <v>994</v>
      </c>
      <c r="I711">
        <v>3868</v>
      </c>
      <c r="K711" t="s">
        <v>3196</v>
      </c>
      <c r="L711" t="str">
        <f t="shared" si="145"/>
        <v>"id":"s693",</v>
      </c>
      <c r="M711" t="str">
        <v>"cate":"Resistor ",</v>
      </c>
      <c r="N711" t="str">
        <v>"des":"RST 0,0005 6W1%2512",</v>
      </c>
      <c r="O711" t="str">
        <v>"mfg":"ROHM SEMICONDUCTOR",</v>
      </c>
      <c r="P711" t="str">
        <v>"pn":"PSR100KTQFF0L50",</v>
      </c>
      <c r="Q711" t="str">
        <v>"qty":3925</v>
      </c>
      <c r="S711" t="s">
        <v>2498</v>
      </c>
      <c r="T711" t="str">
        <f t="shared" si="146"/>
        <v>"id":"s693","cate":"Resistor ","des":"RST 0,0005 6W1%2512","mfg":"ROHM SEMICONDUCTOR","pn":"PSR100KTQFF0L50","qty":3925</v>
      </c>
      <c r="U711" t="s">
        <v>2503</v>
      </c>
    </row>
    <row r="712" spans="5:21" x14ac:dyDescent="0.25">
      <c r="E712" t="s">
        <v>2194</v>
      </c>
      <c r="F712" t="s">
        <v>2272</v>
      </c>
      <c r="G712" t="s">
        <v>47</v>
      </c>
      <c r="H712" t="s">
        <v>995</v>
      </c>
      <c r="I712">
        <v>3868</v>
      </c>
      <c r="K712" t="s">
        <v>3197</v>
      </c>
      <c r="L712" t="str">
        <f t="shared" si="145"/>
        <v>"id":"s694",</v>
      </c>
      <c r="M712" t="str">
        <v>"cate":"Resistor ",</v>
      </c>
      <c r="N712" t="str">
        <v>"des":"RST 0,0005 6W1%2512",</v>
      </c>
      <c r="O712" t="str">
        <v>"mfg":"BOURNS",</v>
      </c>
      <c r="P712" t="str">
        <v>"pn":"CSS2H-2512R-L500F",</v>
      </c>
      <c r="Q712" t="str">
        <v>"qty":3925</v>
      </c>
      <c r="S712" t="s">
        <v>2498</v>
      </c>
      <c r="T712" t="str">
        <f t="shared" si="146"/>
        <v>"id":"s694","cate":"Resistor ","des":"RST 0,0005 6W1%2512","mfg":"BOURNS","pn":"CSS2H-2512R-L500F","qty":3925</v>
      </c>
      <c r="U712" t="s">
        <v>2503</v>
      </c>
    </row>
    <row r="713" spans="5:21" x14ac:dyDescent="0.25">
      <c r="E713" t="s">
        <v>2194</v>
      </c>
      <c r="F713" t="s">
        <v>2273</v>
      </c>
      <c r="G713" t="s">
        <v>13</v>
      </c>
      <c r="H713" t="s">
        <v>996</v>
      </c>
      <c r="I713">
        <v>3860</v>
      </c>
      <c r="K713" t="s">
        <v>3198</v>
      </c>
      <c r="L713" t="str">
        <f t="shared" si="145"/>
        <v>"id":"s695",</v>
      </c>
      <c r="M713" t="str">
        <v>"cate":"Capacitor",</v>
      </c>
      <c r="N713" t="str">
        <v>"des":"Capacitor 22NF/16V10%603",</v>
      </c>
      <c r="O713" t="str">
        <v>"mfg":"YAGEO",</v>
      </c>
      <c r="P713" t="str">
        <v>"pn":"CC0603KPX7R7BB223",</v>
      </c>
      <c r="Q713" t="str">
        <v>"qty":3923</v>
      </c>
      <c r="S713" t="s">
        <v>2498</v>
      </c>
      <c r="T713" t="str">
        <f t="shared" si="146"/>
        <v>"id":"s695","cate":"Capacitor","des":"Capacitor 22NF/16V10%603","mfg":"YAGEO","pn":"CC0603KPX7R7BB223","qty":3923</v>
      </c>
      <c r="U713" t="s">
        <v>2503</v>
      </c>
    </row>
    <row r="714" spans="5:21" x14ac:dyDescent="0.25">
      <c r="E714" t="s">
        <v>2405</v>
      </c>
      <c r="F714" t="s">
        <v>2430</v>
      </c>
      <c r="G714" t="s">
        <v>30</v>
      </c>
      <c r="H714" t="s">
        <v>997</v>
      </c>
      <c r="I714">
        <v>3853</v>
      </c>
      <c r="K714" t="s">
        <v>3199</v>
      </c>
      <c r="L714" t="str">
        <f t="shared" si="145"/>
        <v>"id":"s696",</v>
      </c>
      <c r="M714" t="str">
        <v>"cate":"Resistor ",</v>
      </c>
      <c r="N714" t="str">
        <v>"des":"RST 1K8 1/16W1% 402",</v>
      </c>
      <c r="O714" t="str">
        <v>"mfg":"ROYAL OHM",</v>
      </c>
      <c r="P714" t="str">
        <v>"pn":"0402WGF1801TCE",</v>
      </c>
      <c r="Q714" t="str">
        <v>"qty":3905</v>
      </c>
      <c r="S714" t="s">
        <v>2498</v>
      </c>
      <c r="T714" t="str">
        <f t="shared" si="146"/>
        <v>"id":"s696","cate":"Resistor ","des":"RST 1K8 1/16W1% 402","mfg":"ROYAL OHM","pn":"0402WGF1801TCE","qty":3905</v>
      </c>
      <c r="U714" t="s">
        <v>2503</v>
      </c>
    </row>
    <row r="715" spans="5:21" x14ac:dyDescent="0.25">
      <c r="E715" t="s">
        <v>2193</v>
      </c>
      <c r="F715" t="s">
        <v>998</v>
      </c>
      <c r="G715" t="s">
        <v>13</v>
      </c>
      <c r="H715" t="s">
        <v>999</v>
      </c>
      <c r="I715">
        <v>3840</v>
      </c>
      <c r="K715" t="s">
        <v>3200</v>
      </c>
      <c r="L715" t="str">
        <f t="shared" si="145"/>
        <v>"id":"s697",</v>
      </c>
      <c r="M715" t="str">
        <v>"cate":"Resistor ",</v>
      </c>
      <c r="N715" t="str">
        <v>"des":"RST 150K 1/2W1%1206",</v>
      </c>
      <c r="O715" t="str">
        <v>"mfg":"ROHM SEMICONDUCTOR",</v>
      </c>
      <c r="P715" t="str">
        <v>"pn":"ESR18EZPF1503",</v>
      </c>
      <c r="Q715" t="str">
        <v>"qty":3902</v>
      </c>
      <c r="S715" t="s">
        <v>2498</v>
      </c>
      <c r="T715" t="str">
        <f t="shared" si="146"/>
        <v>"id":"s697","cate":"Resistor ","des":"RST 150K 1/2W1%1206","mfg":"ROHM SEMICONDUCTOR","pn":"ESR18EZPF1503","qty":3902</v>
      </c>
      <c r="U715" t="s">
        <v>2503</v>
      </c>
    </row>
    <row r="716" spans="5:21" x14ac:dyDescent="0.25">
      <c r="E716" t="s">
        <v>2193</v>
      </c>
      <c r="F716" t="s">
        <v>998</v>
      </c>
      <c r="G716" t="s">
        <v>37</v>
      </c>
      <c r="H716" t="s">
        <v>1000</v>
      </c>
      <c r="I716">
        <v>3840</v>
      </c>
      <c r="K716" t="s">
        <v>3201</v>
      </c>
      <c r="L716" t="str">
        <f t="shared" si="145"/>
        <v>"id":"s698",</v>
      </c>
      <c r="M716" t="str">
        <v>"cate":"Resistor ",</v>
      </c>
      <c r="N716" t="str">
        <v>"des":"RST 150K 1/2W1%1206",</v>
      </c>
      <c r="O716" t="str">
        <v>"mfg":"ROYAL OHM",</v>
      </c>
      <c r="P716" t="str">
        <v>"pn":"HP06W2F1503T5E",</v>
      </c>
      <c r="Q716" t="str">
        <v>"qty":3902</v>
      </c>
      <c r="S716" t="s">
        <v>2498</v>
      </c>
      <c r="T716" t="str">
        <f t="shared" si="146"/>
        <v>"id":"s698","cate":"Resistor ","des":"RST 150K 1/2W1%1206","mfg":"ROYAL OHM","pn":"HP06W2F1503T5E","qty":3902</v>
      </c>
      <c r="U716" t="s">
        <v>2503</v>
      </c>
    </row>
    <row r="717" spans="5:21" x14ac:dyDescent="0.25">
      <c r="E717" t="s">
        <v>2193</v>
      </c>
      <c r="F717" t="s">
        <v>998</v>
      </c>
      <c r="G717" t="s">
        <v>320</v>
      </c>
      <c r="H717" t="s">
        <v>1001</v>
      </c>
      <c r="I717">
        <v>3840</v>
      </c>
      <c r="K717" t="s">
        <v>3202</v>
      </c>
      <c r="L717" t="str">
        <f t="shared" si="145"/>
        <v>"id":"s699",</v>
      </c>
      <c r="M717" t="str">
        <v>"cate":"Resistor ",</v>
      </c>
      <c r="N717" t="str">
        <v>"des":"RST 10K 1/8W 1%805A",</v>
      </c>
      <c r="O717" t="str">
        <v>"mfg":"YAGEO",</v>
      </c>
      <c r="P717" t="str">
        <v>"pn":"RC0805FR-0710KL",</v>
      </c>
      <c r="Q717" t="str">
        <v>"qty":3885</v>
      </c>
      <c r="S717" t="s">
        <v>2498</v>
      </c>
      <c r="T717" t="str">
        <f t="shared" si="146"/>
        <v>"id":"s699","cate":"Resistor ","des":"RST 10K 1/8W 1%805A","mfg":"YAGEO","pn":"RC0805FR-0710KL","qty":3885</v>
      </c>
      <c r="U717" t="s">
        <v>2503</v>
      </c>
    </row>
    <row r="718" spans="5:21" x14ac:dyDescent="0.25">
      <c r="E718" t="s">
        <v>2394</v>
      </c>
      <c r="F718" t="s">
        <v>2401</v>
      </c>
      <c r="G718" t="s">
        <v>64</v>
      </c>
      <c r="H718" t="s">
        <v>1002</v>
      </c>
      <c r="I718">
        <v>3837</v>
      </c>
      <c r="K718" t="s">
        <v>3203</v>
      </c>
      <c r="L718" t="str">
        <f t="shared" si="145"/>
        <v>"id":"s700",</v>
      </c>
      <c r="M718" t="str">
        <v>"cate":"Resistor ",</v>
      </c>
      <c r="N718" t="str">
        <v>"des":"RST 10K 1/8W 1%805A",</v>
      </c>
      <c r="O718" t="str">
        <v>"mfg":"ROYAL OHM",</v>
      </c>
      <c r="P718" t="str">
        <v>"pn":"0805W8F1002T5E",</v>
      </c>
      <c r="Q718" t="str">
        <v>"qty":3885</v>
      </c>
      <c r="S718" t="s">
        <v>2498</v>
      </c>
      <c r="T718" t="str">
        <f t="shared" si="146"/>
        <v>"id":"s700","cate":"Resistor ","des":"RST 10K 1/8W 1%805A","mfg":"ROYAL OHM","pn":"0805W8F1002T5E","qty":3885</v>
      </c>
      <c r="U718" t="s">
        <v>2503</v>
      </c>
    </row>
    <row r="719" spans="5:21" x14ac:dyDescent="0.25">
      <c r="E719" t="s">
        <v>2193</v>
      </c>
      <c r="F719" t="s">
        <v>1003</v>
      </c>
      <c r="G719" t="s">
        <v>207</v>
      </c>
      <c r="H719" t="s">
        <v>1004</v>
      </c>
      <c r="I719">
        <v>3835</v>
      </c>
      <c r="K719" t="s">
        <v>3204</v>
      </c>
      <c r="L719" t="str">
        <f t="shared" si="145"/>
        <v>"id":"s701",</v>
      </c>
      <c r="M719" t="str">
        <v>"cate":"Capacitor",</v>
      </c>
      <c r="N719" t="str">
        <v>"des":"Capacitor 10PF/50V 5%603",</v>
      </c>
      <c r="O719" t="str">
        <v>"mfg":"YAGEO",</v>
      </c>
      <c r="P719" t="str">
        <v>"pn":"CC0603JRNPO9BN100",</v>
      </c>
      <c r="Q719" t="str">
        <v>"qty":3884</v>
      </c>
      <c r="S719" t="s">
        <v>2498</v>
      </c>
      <c r="T719" t="str">
        <f t="shared" si="146"/>
        <v>"id":"s701","cate":"Capacitor","des":"Capacitor 10PF/50V 5%603","mfg":"YAGEO","pn":"CC0603JRNPO9BN100","qty":3884</v>
      </c>
      <c r="U719" t="s">
        <v>2503</v>
      </c>
    </row>
    <row r="720" spans="5:21" x14ac:dyDescent="0.25">
      <c r="E720" t="s">
        <v>2194</v>
      </c>
      <c r="F720" t="s">
        <v>2274</v>
      </c>
      <c r="G720" t="s">
        <v>13</v>
      </c>
      <c r="H720" t="s">
        <v>1005</v>
      </c>
      <c r="I720">
        <v>3833</v>
      </c>
      <c r="K720" t="s">
        <v>3205</v>
      </c>
      <c r="L720" t="str">
        <f t="shared" si="145"/>
        <v>"id":"s702",</v>
      </c>
      <c r="M720" t="str">
        <v>"cate":"Capacitor",</v>
      </c>
      <c r="N720" t="str">
        <v>"des":"Capacitor 10PF/50V 5%603",</v>
      </c>
      <c r="O720" t="str">
        <v>"mfg":"KEMET",</v>
      </c>
      <c r="P720" t="str">
        <v>"pn":"C0603C100J5GACTU",</v>
      </c>
      <c r="Q720" t="str">
        <v>"qty":3884</v>
      </c>
      <c r="S720" t="s">
        <v>2498</v>
      </c>
      <c r="T720" t="str">
        <f t="shared" si="146"/>
        <v>"id":"s702","cate":"Capacitor","des":"Capacitor 10PF/50V 5%603","mfg":"KEMET","pn":"C0603C100J5GACTU","qty":3884</v>
      </c>
      <c r="U720" t="s">
        <v>2503</v>
      </c>
    </row>
    <row r="721" spans="5:21" x14ac:dyDescent="0.25">
      <c r="E721" t="s">
        <v>2194</v>
      </c>
      <c r="F721" t="s">
        <v>2275</v>
      </c>
      <c r="G721" t="s">
        <v>13</v>
      </c>
      <c r="H721" t="s">
        <v>1006</v>
      </c>
      <c r="I721">
        <v>3826</v>
      </c>
      <c r="K721" t="s">
        <v>3206</v>
      </c>
      <c r="L721" t="str">
        <f t="shared" si="145"/>
        <v>"id":"s703",</v>
      </c>
      <c r="M721" t="str">
        <v>"cate":"Capacitor",</v>
      </c>
      <c r="N721" t="str">
        <v>"des":"Capacitor 10PF/50V 5%603",</v>
      </c>
      <c r="O721" t="str">
        <v>"mfg":"SAMSUNG",</v>
      </c>
      <c r="P721" t="str">
        <v>"pn":"CL10C100JB8NCNC",</v>
      </c>
      <c r="Q721" t="str">
        <v>"qty":3884</v>
      </c>
      <c r="S721" t="s">
        <v>2498</v>
      </c>
      <c r="T721" t="str">
        <f t="shared" si="146"/>
        <v>"id":"s703","cate":"Capacitor","des":"Capacitor 10PF/50V 5%603","mfg":"SAMSUNG","pn":"CL10C100JB8NCNC","qty":3884</v>
      </c>
      <c r="U721" t="s">
        <v>2503</v>
      </c>
    </row>
    <row r="722" spans="5:21" x14ac:dyDescent="0.25">
      <c r="E722" t="s">
        <v>2194</v>
      </c>
      <c r="F722" t="s">
        <v>2275</v>
      </c>
      <c r="G722" t="s">
        <v>47</v>
      </c>
      <c r="H722" t="s">
        <v>1007</v>
      </c>
      <c r="I722">
        <v>3826</v>
      </c>
      <c r="K722" t="s">
        <v>3207</v>
      </c>
      <c r="L722" t="str">
        <f t="shared" si="145"/>
        <v>"id":"s704",</v>
      </c>
      <c r="M722" t="str">
        <v>"cate":"Capacitor",</v>
      </c>
      <c r="N722" t="str">
        <v>"des":"Capacitor 10PF/50V 5%603",</v>
      </c>
      <c r="O722" t="str">
        <v>"mfg":"JOHANSON",</v>
      </c>
      <c r="P722" t="str">
        <v>"pn":"500R14N100JV4T",</v>
      </c>
      <c r="Q722" t="str">
        <v>"qty":3884</v>
      </c>
      <c r="S722" t="s">
        <v>2498</v>
      </c>
      <c r="T722" t="str">
        <f t="shared" si="146"/>
        <v>"id":"s704","cate":"Capacitor","des":"Capacitor 10PF/50V 5%603","mfg":"JOHANSON","pn":"500R14N100JV4T","qty":3884</v>
      </c>
      <c r="U722" t="s">
        <v>2503</v>
      </c>
    </row>
    <row r="723" spans="5:21" x14ac:dyDescent="0.25">
      <c r="E723" t="s">
        <v>2194</v>
      </c>
      <c r="F723" t="s">
        <v>2275</v>
      </c>
      <c r="G723" t="s">
        <v>49</v>
      </c>
      <c r="H723" t="s">
        <v>1008</v>
      </c>
      <c r="I723">
        <v>3826</v>
      </c>
      <c r="K723" t="s">
        <v>3208</v>
      </c>
      <c r="L723" t="str">
        <f t="shared" si="145"/>
        <v>"id":"s705",</v>
      </c>
      <c r="M723" t="str">
        <v>"cate":"Capacitor",</v>
      </c>
      <c r="N723" t="str">
        <v>"des":"Capacitor 47PF/100V 805A",</v>
      </c>
      <c r="O723" t="str">
        <v>"mfg":"YAGEO",</v>
      </c>
      <c r="P723" t="str">
        <v>"pn":"CC0805JRNPO0BN470",</v>
      </c>
      <c r="Q723" t="str">
        <v>"qty":3868</v>
      </c>
      <c r="S723" t="s">
        <v>2498</v>
      </c>
      <c r="T723" t="str">
        <f t="shared" si="146"/>
        <v>"id":"s705","cate":"Capacitor","des":"Capacitor 47PF/100V 805A","mfg":"YAGEO","pn":"CC0805JRNPO0BN470","qty":3868</v>
      </c>
      <c r="U723" t="s">
        <v>2503</v>
      </c>
    </row>
    <row r="724" spans="5:21" x14ac:dyDescent="0.25">
      <c r="E724" t="s">
        <v>2194</v>
      </c>
      <c r="F724" t="s">
        <v>2276</v>
      </c>
      <c r="G724" t="s">
        <v>13</v>
      </c>
      <c r="H724" t="s">
        <v>1009</v>
      </c>
      <c r="I724">
        <v>3820</v>
      </c>
      <c r="K724" t="s">
        <v>3209</v>
      </c>
      <c r="L724" t="str">
        <f t="shared" ref="L724:L787" si="147">_xlfn.CONCAT("""","id","""",":","""",K724,"""",",")</f>
        <v>"id":"s706",</v>
      </c>
      <c r="M724" t="str">
        <v>"cate":"Capacitor",</v>
      </c>
      <c r="N724" t="str">
        <v>"des":"Capacitor 47PF/100V 805A",</v>
      </c>
      <c r="O724" t="str">
        <v>"mfg":"KEMET",</v>
      </c>
      <c r="P724" t="str">
        <v>"pn":"C0805C470J1GAC",</v>
      </c>
      <c r="Q724" t="str">
        <v>"qty":3868</v>
      </c>
      <c r="S724" t="s">
        <v>2498</v>
      </c>
      <c r="T724" t="str">
        <f t="shared" ref="T724:T787" si="148">_xlfn.CONCAT(L724:Q724)</f>
        <v>"id":"s706","cate":"Capacitor","des":"Capacitor 47PF/100V 805A","mfg":"KEMET","pn":"C0805C470J1GAC","qty":3868</v>
      </c>
      <c r="U724" t="s">
        <v>2503</v>
      </c>
    </row>
    <row r="725" spans="5:21" x14ac:dyDescent="0.25">
      <c r="E725" t="s">
        <v>2194</v>
      </c>
      <c r="F725" t="s">
        <v>2276</v>
      </c>
      <c r="G725" t="s">
        <v>47</v>
      </c>
      <c r="H725" t="s">
        <v>1010</v>
      </c>
      <c r="I725">
        <v>3820</v>
      </c>
      <c r="K725" t="s">
        <v>3210</v>
      </c>
      <c r="L725" t="str">
        <f t="shared" si="147"/>
        <v>"id":"s707",</v>
      </c>
      <c r="M725" t="str">
        <v>"cate":"Capacitor",</v>
      </c>
      <c r="N725" t="str">
        <v>"des":"Capacitor 47PF/100V 805A",</v>
      </c>
      <c r="O725" t="str">
        <v>"mfg":"KEMET",</v>
      </c>
      <c r="P725" t="str">
        <v>"pn":"C0805C470J1GACTU",</v>
      </c>
      <c r="Q725" t="str">
        <v>"qty":3868</v>
      </c>
      <c r="S725" t="s">
        <v>2498</v>
      </c>
      <c r="T725" t="str">
        <f t="shared" si="148"/>
        <v>"id":"s707","cate":"Capacitor","des":"Capacitor 47PF/100V 805A","mfg":"KEMET","pn":"C0805C470J1GACTU","qty":3868</v>
      </c>
      <c r="U725" t="s">
        <v>2503</v>
      </c>
    </row>
    <row r="726" spans="5:21" x14ac:dyDescent="0.25">
      <c r="E726" t="s">
        <v>2194</v>
      </c>
      <c r="F726" t="s">
        <v>2276</v>
      </c>
      <c r="G726" t="s">
        <v>64</v>
      </c>
      <c r="H726" t="s">
        <v>1011</v>
      </c>
      <c r="I726">
        <v>3820</v>
      </c>
      <c r="K726" t="s">
        <v>3211</v>
      </c>
      <c r="L726" t="str">
        <f t="shared" si="147"/>
        <v>"id":"s708",</v>
      </c>
      <c r="M726" t="str">
        <v>"cate":"Capacitor",</v>
      </c>
      <c r="N726" t="str">
        <v>"des":"Capacitor 220PF/50V 0805",</v>
      </c>
      <c r="O726" t="str">
        <v>"mfg":"YAGEO",</v>
      </c>
      <c r="P726" t="str">
        <v>"pn":"CC0805KRX7R9BB221",</v>
      </c>
      <c r="Q726" t="str">
        <v>"qty":3860</v>
      </c>
      <c r="S726" t="s">
        <v>2498</v>
      </c>
      <c r="T726" t="str">
        <f t="shared" si="148"/>
        <v>"id":"s708","cate":"Capacitor","des":"Capacitor 220PF/50V 0805","mfg":"YAGEO","pn":"CC0805KRX7R9BB221","qty":3860</v>
      </c>
      <c r="U726" t="s">
        <v>2503</v>
      </c>
    </row>
    <row r="727" spans="5:21" x14ac:dyDescent="0.25">
      <c r="E727" t="s">
        <v>2193</v>
      </c>
      <c r="F727" t="s">
        <v>1012</v>
      </c>
      <c r="G727" t="s">
        <v>37</v>
      </c>
      <c r="H727" t="s">
        <v>1013</v>
      </c>
      <c r="I727">
        <v>3820</v>
      </c>
      <c r="K727" t="s">
        <v>3212</v>
      </c>
      <c r="L727" t="str">
        <f t="shared" si="147"/>
        <v>"id":"s709",</v>
      </c>
      <c r="M727" t="str">
        <v>"cate":"Diode",</v>
      </c>
      <c r="N727" t="str">
        <v>"des":"DiodeE 0,15A 100VSMT",</v>
      </c>
      <c r="O727" t="str">
        <v>"mfg":"NEXPERIA",</v>
      </c>
      <c r="P727" t="str">
        <v>"pn":"BAV99W,115",</v>
      </c>
      <c r="Q727" t="str">
        <v>"qty":3853</v>
      </c>
      <c r="S727" t="s">
        <v>2498</v>
      </c>
      <c r="T727" t="str">
        <f t="shared" si="148"/>
        <v>"id":"s709","cate":"Diode","des":"DiodeE 0,15A 100VSMT","mfg":"NEXPERIA","pn":"BAV99W,115","qty":3853</v>
      </c>
      <c r="U727" t="s">
        <v>2503</v>
      </c>
    </row>
    <row r="728" spans="5:21" x14ac:dyDescent="0.25">
      <c r="E728" t="s">
        <v>2193</v>
      </c>
      <c r="F728" t="s">
        <v>1014</v>
      </c>
      <c r="G728" t="s">
        <v>13</v>
      </c>
      <c r="H728" t="s">
        <v>1015</v>
      </c>
      <c r="I728">
        <v>3815</v>
      </c>
      <c r="K728" t="s">
        <v>3213</v>
      </c>
      <c r="L728" t="str">
        <f t="shared" si="147"/>
        <v>"id":"s710",</v>
      </c>
      <c r="M728" t="str">
        <v>"cate":"Resistor ",</v>
      </c>
      <c r="N728" t="str">
        <v>"des":"RST 0,68 1W 5% 2512",</v>
      </c>
      <c r="O728" t="str">
        <v>"mfg":"YAGEO",</v>
      </c>
      <c r="P728" t="str">
        <v>"pn":"RL2512JK-070R68L",</v>
      </c>
      <c r="Q728" t="str">
        <v>"qty":3840</v>
      </c>
      <c r="S728" t="s">
        <v>2498</v>
      </c>
      <c r="T728" t="str">
        <f t="shared" si="148"/>
        <v>"id":"s710","cate":"Resistor ","des":"RST 0,68 1W 5% 2512","mfg":"YAGEO","pn":"RL2512JK-070R68L","qty":3840</v>
      </c>
      <c r="U728" t="s">
        <v>2503</v>
      </c>
    </row>
    <row r="729" spans="5:21" x14ac:dyDescent="0.25">
      <c r="E729" t="s">
        <v>2193</v>
      </c>
      <c r="F729" t="s">
        <v>1016</v>
      </c>
      <c r="G729" t="s">
        <v>13</v>
      </c>
      <c r="H729" t="s">
        <v>1017</v>
      </c>
      <c r="I729">
        <v>3814</v>
      </c>
      <c r="K729" t="s">
        <v>3214</v>
      </c>
      <c r="L729" t="str">
        <f t="shared" si="147"/>
        <v>"id":"s711",</v>
      </c>
      <c r="M729" t="str">
        <v>"cate":"Resistor ",</v>
      </c>
      <c r="N729" t="str">
        <v>"des":"RST 0,68 1W 5% 2512",</v>
      </c>
      <c r="O729" t="str">
        <v>"mfg":"VISHAY",</v>
      </c>
      <c r="P729" t="str">
        <v>"pn":"RCWL2512R680JNEA",</v>
      </c>
      <c r="Q729" t="str">
        <v>"qty":3840</v>
      </c>
      <c r="S729" t="s">
        <v>2498</v>
      </c>
      <c r="T729" t="str">
        <f t="shared" si="148"/>
        <v>"id":"s711","cate":"Resistor ","des":"RST 0,68 1W 5% 2512","mfg":"VISHAY","pn":"RCWL2512R680JNEA","qty":3840</v>
      </c>
      <c r="U729" t="s">
        <v>2503</v>
      </c>
    </row>
    <row r="730" spans="5:21" x14ac:dyDescent="0.25">
      <c r="E730" t="s">
        <v>2193</v>
      </c>
      <c r="F730" t="s">
        <v>1016</v>
      </c>
      <c r="G730" t="s">
        <v>10</v>
      </c>
      <c r="H730" t="s">
        <v>1018</v>
      </c>
      <c r="I730">
        <v>3814</v>
      </c>
      <c r="K730" t="s">
        <v>3215</v>
      </c>
      <c r="L730" t="str">
        <f t="shared" si="147"/>
        <v>"id":"s712",</v>
      </c>
      <c r="M730" t="str">
        <v>"cate":"Resistor ",</v>
      </c>
      <c r="N730" t="str">
        <v>"des":"RST 0,68 1W 5% 2512",</v>
      </c>
      <c r="O730" t="str">
        <v>"mfg":"ROYAL OHM",</v>
      </c>
      <c r="P730" t="str">
        <v>"pn":"25121WJ068KT4E",</v>
      </c>
      <c r="Q730" t="str">
        <v>"qty":3840</v>
      </c>
      <c r="S730" t="s">
        <v>2498</v>
      </c>
      <c r="T730" t="str">
        <f t="shared" si="148"/>
        <v>"id":"s712","cate":"Resistor ","des":"RST 0,68 1W 5% 2512","mfg":"ROYAL OHM","pn":"25121WJ068KT4E","qty":3840</v>
      </c>
      <c r="U730" t="s">
        <v>2503</v>
      </c>
    </row>
    <row r="731" spans="5:21" x14ac:dyDescent="0.25">
      <c r="E731" t="s">
        <v>2193</v>
      </c>
      <c r="F731" t="s">
        <v>1019</v>
      </c>
      <c r="G731" t="s">
        <v>176</v>
      </c>
      <c r="H731" t="s">
        <v>1020</v>
      </c>
      <c r="I731">
        <v>3806</v>
      </c>
      <c r="K731" t="s">
        <v>3216</v>
      </c>
      <c r="L731" t="str">
        <f t="shared" si="147"/>
        <v>"id":"s713",</v>
      </c>
      <c r="M731" t="str">
        <v>"cate":"Choke Coil",</v>
      </c>
      <c r="N731" t="str">
        <v>"des":"Choke CoilE 2200OHM 0,2A",</v>
      </c>
      <c r="O731" t="str">
        <v>"mfg":"MURATA MANUFACTURING",</v>
      </c>
      <c r="P731" t="str">
        <v>"pn":"BLM21BD222TN1D",</v>
      </c>
      <c r="Q731" t="str">
        <v>"qty":3837</v>
      </c>
      <c r="S731" t="s">
        <v>2498</v>
      </c>
      <c r="T731" t="str">
        <f t="shared" si="148"/>
        <v>"id":"s713","cate":"Choke Coil","des":"Choke CoilE 2200OHM 0,2A","mfg":"MURATA MANUFACTURING","pn":"BLM21BD222TN1D","qty":3837</v>
      </c>
      <c r="U731" t="s">
        <v>2503</v>
      </c>
    </row>
    <row r="732" spans="5:21" x14ac:dyDescent="0.25">
      <c r="E732" t="s">
        <v>2193</v>
      </c>
      <c r="F732" t="s">
        <v>1019</v>
      </c>
      <c r="G732" t="s">
        <v>5</v>
      </c>
      <c r="H732" t="s">
        <v>1021</v>
      </c>
      <c r="I732">
        <v>3806</v>
      </c>
      <c r="K732" t="s">
        <v>3217</v>
      </c>
      <c r="L732" t="str">
        <f t="shared" si="147"/>
        <v>"id":"s714",</v>
      </c>
      <c r="M732" t="str">
        <v>"cate":"Resistor ",</v>
      </c>
      <c r="N732" t="str">
        <v>"des":"RST 1K 1/8W 1%805-2",</v>
      </c>
      <c r="O732" t="str">
        <v>"mfg":"STACKPOLE ELECTRONICS INC",</v>
      </c>
      <c r="P732" t="str">
        <v>"pn":"RMCF0805FT1K00",</v>
      </c>
      <c r="Q732" t="str">
        <v>"qty":3835</v>
      </c>
      <c r="S732" t="s">
        <v>2498</v>
      </c>
      <c r="T732" t="str">
        <f t="shared" si="148"/>
        <v>"id":"s714","cate":"Resistor ","des":"RST 1K 1/8W 1%805-2","mfg":"STACKPOLE ELECTRONICS INC","pn":"RMCF0805FT1K00","qty":3835</v>
      </c>
      <c r="U732" t="s">
        <v>2503</v>
      </c>
    </row>
    <row r="733" spans="5:21" x14ac:dyDescent="0.25">
      <c r="E733" t="s">
        <v>2193</v>
      </c>
      <c r="F733" t="s">
        <v>1019</v>
      </c>
      <c r="G733" t="s">
        <v>320</v>
      </c>
      <c r="H733" t="s">
        <v>1022</v>
      </c>
      <c r="I733">
        <v>3806</v>
      </c>
      <c r="K733" t="s">
        <v>3218</v>
      </c>
      <c r="L733" t="str">
        <f t="shared" si="147"/>
        <v>"id":"s715",</v>
      </c>
      <c r="M733" t="str">
        <v>"cate":"Capacitor",</v>
      </c>
      <c r="N733" t="str">
        <v>"des":"Capacitor 100PF/50V 603",</v>
      </c>
      <c r="O733" t="str">
        <v>"mfg":"YAGEO",</v>
      </c>
      <c r="P733" t="str">
        <v>"pn":"CC0603JRNPO9BN101",</v>
      </c>
      <c r="Q733" t="str">
        <v>"qty":3833</v>
      </c>
      <c r="S733" t="s">
        <v>2498</v>
      </c>
      <c r="T733" t="str">
        <f t="shared" si="148"/>
        <v>"id":"s715","cate":"Capacitor","des":"Capacitor 100PF/50V 603","mfg":"YAGEO","pn":"CC0603JRNPO9BN101","qty":3833</v>
      </c>
      <c r="U733" t="s">
        <v>2503</v>
      </c>
    </row>
    <row r="734" spans="5:21" x14ac:dyDescent="0.25">
      <c r="E734" t="s">
        <v>2194</v>
      </c>
      <c r="F734" t="s">
        <v>2277</v>
      </c>
      <c r="G734" t="s">
        <v>47</v>
      </c>
      <c r="H734" t="s">
        <v>1023</v>
      </c>
      <c r="I734">
        <v>3795</v>
      </c>
      <c r="K734" t="s">
        <v>3219</v>
      </c>
      <c r="L734" t="str">
        <f t="shared" si="147"/>
        <v>"id":"s716",</v>
      </c>
      <c r="M734" t="str">
        <v>"cate":"Capacitor",</v>
      </c>
      <c r="N734" t="str">
        <v>"des":"Capacitor 47PF50V 5%603A",</v>
      </c>
      <c r="O734" t="str">
        <v>"mfg":"YAGEO",</v>
      </c>
      <c r="P734" t="str">
        <v>"pn":"CC0603JRNPO9BN470",</v>
      </c>
      <c r="Q734" t="str">
        <v>"qty":3826</v>
      </c>
      <c r="S734" t="s">
        <v>2498</v>
      </c>
      <c r="T734" t="str">
        <f t="shared" si="148"/>
        <v>"id":"s716","cate":"Capacitor","des":"Capacitor 47PF50V 5%603A","mfg":"YAGEO","pn":"CC0603JRNPO9BN470","qty":3826</v>
      </c>
      <c r="U734" t="s">
        <v>2503</v>
      </c>
    </row>
    <row r="735" spans="5:21" x14ac:dyDescent="0.25">
      <c r="E735" t="s">
        <v>2194</v>
      </c>
      <c r="F735" t="s">
        <v>2277</v>
      </c>
      <c r="G735" t="s">
        <v>49</v>
      </c>
      <c r="H735" t="s">
        <v>1024</v>
      </c>
      <c r="I735">
        <v>3795</v>
      </c>
      <c r="K735" t="s">
        <v>3220</v>
      </c>
      <c r="L735" t="str">
        <f t="shared" si="147"/>
        <v>"id":"s717",</v>
      </c>
      <c r="M735" t="str">
        <v>"cate":"Capacitor",</v>
      </c>
      <c r="N735" t="str">
        <v>"des":"Capacitor 47PF50V 5%603A",</v>
      </c>
      <c r="O735" t="str">
        <v>"mfg":"KEMET",</v>
      </c>
      <c r="P735" t="str">
        <v>"pn":"C0603C470J1GACTU",</v>
      </c>
      <c r="Q735" t="str">
        <v>"qty":3826</v>
      </c>
      <c r="S735" t="s">
        <v>2498</v>
      </c>
      <c r="T735" t="str">
        <f t="shared" si="148"/>
        <v>"id":"s717","cate":"Capacitor","des":"Capacitor 47PF50V 5%603A","mfg":"KEMET","pn":"C0603C470J1GACTU","qty":3826</v>
      </c>
      <c r="U735" t="s">
        <v>2503</v>
      </c>
    </row>
    <row r="736" spans="5:21" x14ac:dyDescent="0.25">
      <c r="E736" t="s">
        <v>2194</v>
      </c>
      <c r="F736" t="s">
        <v>2278</v>
      </c>
      <c r="G736" t="s">
        <v>13</v>
      </c>
      <c r="H736" t="s">
        <v>1025</v>
      </c>
      <c r="I736">
        <v>3792</v>
      </c>
      <c r="K736" t="s">
        <v>3221</v>
      </c>
      <c r="L736" t="str">
        <f t="shared" si="147"/>
        <v>"id":"s718",</v>
      </c>
      <c r="M736" t="str">
        <v>"cate":"Capacitor",</v>
      </c>
      <c r="N736" t="str">
        <v>"des":"Capacitor 47PF50V 5%603A",</v>
      </c>
      <c r="O736" t="str">
        <v>"mfg":"AVX",</v>
      </c>
      <c r="P736" t="str">
        <v>"pn":"06031A470JAT2A",</v>
      </c>
      <c r="Q736" t="str">
        <v>"qty":3826</v>
      </c>
      <c r="S736" t="s">
        <v>2498</v>
      </c>
      <c r="T736" t="str">
        <f t="shared" si="148"/>
        <v>"id":"s718","cate":"Capacitor","des":"Capacitor 47PF50V 5%603A","mfg":"AVX","pn":"06031A470JAT2A","qty":3826</v>
      </c>
      <c r="U736" t="s">
        <v>2503</v>
      </c>
    </row>
    <row r="737" spans="5:21" x14ac:dyDescent="0.25">
      <c r="E737" t="s">
        <v>2405</v>
      </c>
      <c r="F737" t="s">
        <v>2431</v>
      </c>
      <c r="G737" t="s">
        <v>26</v>
      </c>
      <c r="H737" t="s">
        <v>1026</v>
      </c>
      <c r="I737">
        <v>3783</v>
      </c>
      <c r="K737" t="s">
        <v>3222</v>
      </c>
      <c r="L737" t="str">
        <f t="shared" si="147"/>
        <v>"id":"s719",</v>
      </c>
      <c r="M737" t="str">
        <v>"cate":"Capacitor",</v>
      </c>
      <c r="N737" t="str">
        <v>"des":"Capacitor 1UF 10V 0603",</v>
      </c>
      <c r="O737" t="str">
        <v>"mfg":"YAGEO",</v>
      </c>
      <c r="P737" t="str">
        <v>"pn":"CC0603KRX5R6BB105",</v>
      </c>
      <c r="Q737" t="str">
        <v>"qty":3820</v>
      </c>
      <c r="S737" t="s">
        <v>2498</v>
      </c>
      <c r="T737" t="str">
        <f t="shared" si="148"/>
        <v>"id":"s719","cate":"Capacitor","des":"Capacitor 1UF 10V 0603","mfg":"YAGEO","pn":"CC0603KRX5R6BB105","qty":3820</v>
      </c>
      <c r="U737" t="s">
        <v>2503</v>
      </c>
    </row>
    <row r="738" spans="5:21" x14ac:dyDescent="0.25">
      <c r="E738" t="s">
        <v>2193</v>
      </c>
      <c r="F738" t="s">
        <v>1027</v>
      </c>
      <c r="G738" t="s">
        <v>13</v>
      </c>
      <c r="H738" t="s">
        <v>1028</v>
      </c>
      <c r="I738">
        <v>3779</v>
      </c>
      <c r="K738" t="s">
        <v>3223</v>
      </c>
      <c r="L738" t="str">
        <f t="shared" si="147"/>
        <v>"id":"s720",</v>
      </c>
      <c r="M738" t="str">
        <v>"cate":"Capacitor",</v>
      </c>
      <c r="N738" t="str">
        <v>"des":"Capacitor 1UF 10V 0603",</v>
      </c>
      <c r="O738" t="str">
        <v>"mfg":"KEMET",</v>
      </c>
      <c r="P738" t="str">
        <v>"pn":"C0603C105K8PACTU",</v>
      </c>
      <c r="Q738" t="str">
        <v>"qty":3820</v>
      </c>
      <c r="S738" t="s">
        <v>2498</v>
      </c>
      <c r="T738" t="str">
        <f t="shared" si="148"/>
        <v>"id":"s720","cate":"Capacitor","des":"Capacitor 1UF 10V 0603","mfg":"KEMET","pn":"C0603C105K8PACTU","qty":3820</v>
      </c>
      <c r="U738" t="s">
        <v>2503</v>
      </c>
    </row>
    <row r="739" spans="5:21" x14ac:dyDescent="0.25">
      <c r="E739" t="s">
        <v>2193</v>
      </c>
      <c r="F739" t="s">
        <v>1027</v>
      </c>
      <c r="G739" t="s">
        <v>89</v>
      </c>
      <c r="H739" t="s">
        <v>1029</v>
      </c>
      <c r="I739">
        <v>3779</v>
      </c>
      <c r="K739" t="s">
        <v>3224</v>
      </c>
      <c r="L739" t="str">
        <f t="shared" si="147"/>
        <v>"id":"s721",</v>
      </c>
      <c r="M739" t="str">
        <v>"cate":"Capacitor",</v>
      </c>
      <c r="N739" t="str">
        <v>"des":"Capacitor 1UF 10V 0603",</v>
      </c>
      <c r="O739" t="str">
        <v>"mfg":"MURATA MANUFACTURING",</v>
      </c>
      <c r="P739" t="str">
        <v>"pn":"GRM188R61A105K",</v>
      </c>
      <c r="Q739" t="str">
        <v>"qty":3820</v>
      </c>
      <c r="S739" t="s">
        <v>2498</v>
      </c>
      <c r="T739" t="str">
        <f t="shared" si="148"/>
        <v>"id":"s721","cate":"Capacitor","des":"Capacitor 1UF 10V 0603","mfg":"MURATA MANUFACTURING","pn":"GRM188R61A105K","qty":3820</v>
      </c>
      <c r="U739" t="s">
        <v>2503</v>
      </c>
    </row>
    <row r="740" spans="5:21" x14ac:dyDescent="0.25">
      <c r="E740" t="s">
        <v>2193</v>
      </c>
      <c r="F740" t="s">
        <v>1030</v>
      </c>
      <c r="G740" t="s">
        <v>37</v>
      </c>
      <c r="H740" t="s">
        <v>1031</v>
      </c>
      <c r="I740">
        <v>3776</v>
      </c>
      <c r="K740" t="s">
        <v>3225</v>
      </c>
      <c r="L740" t="str">
        <f t="shared" si="147"/>
        <v>"id":"s722",</v>
      </c>
      <c r="M740" t="str">
        <v>"cate":"Resistor ",</v>
      </c>
      <c r="N740" t="str">
        <v>"des":"RST 52K3 1/8W 1%805",</v>
      </c>
      <c r="O740" t="str">
        <v>"mfg":"VISHAY",</v>
      </c>
      <c r="P740" t="str">
        <v>"pn":"CRCW080552K3FKEA",</v>
      </c>
      <c r="Q740" t="str">
        <v>"qty":3820</v>
      </c>
      <c r="S740" t="s">
        <v>2498</v>
      </c>
      <c r="T740" t="str">
        <f t="shared" si="148"/>
        <v>"id":"s722","cate":"Resistor ","des":"RST 52K3 1/8W 1%805","mfg":"VISHAY","pn":"CRCW080552K3FKEA","qty":3820</v>
      </c>
      <c r="U740" t="s">
        <v>2503</v>
      </c>
    </row>
    <row r="741" spans="5:21" x14ac:dyDescent="0.25">
      <c r="E741" t="s">
        <v>2193</v>
      </c>
      <c r="F741" t="s">
        <v>1030</v>
      </c>
      <c r="G741" t="s">
        <v>320</v>
      </c>
      <c r="H741" t="s">
        <v>1032</v>
      </c>
      <c r="I741">
        <v>3776</v>
      </c>
      <c r="K741" t="s">
        <v>3226</v>
      </c>
      <c r="L741" t="str">
        <f t="shared" si="147"/>
        <v>"id":"s723",</v>
      </c>
      <c r="M741" t="str">
        <v>"cate":"Resistor ",</v>
      </c>
      <c r="N741" t="str">
        <v>"des":"RST 221K 1/8W1%805",</v>
      </c>
      <c r="O741" t="str">
        <v>"mfg":"YAGEO",</v>
      </c>
      <c r="P741" t="str">
        <v>"pn":"RC0805FR-07221KL",</v>
      </c>
      <c r="Q741" t="str">
        <v>"qty":3815</v>
      </c>
      <c r="S741" t="s">
        <v>2498</v>
      </c>
      <c r="T741" t="str">
        <f t="shared" si="148"/>
        <v>"id":"s723","cate":"Resistor ","des":"RST 221K 1/8W1%805","mfg":"YAGEO","pn":"RC0805FR-07221KL","qty":3815</v>
      </c>
      <c r="U741" t="s">
        <v>2503</v>
      </c>
    </row>
    <row r="742" spans="5:21" x14ac:dyDescent="0.25">
      <c r="E742" t="s">
        <v>2193</v>
      </c>
      <c r="F742" t="s">
        <v>1033</v>
      </c>
      <c r="G742" t="s">
        <v>320</v>
      </c>
      <c r="H742" t="s">
        <v>1034</v>
      </c>
      <c r="I742">
        <v>3774</v>
      </c>
      <c r="K742" t="s">
        <v>3227</v>
      </c>
      <c r="L742" t="str">
        <f t="shared" si="147"/>
        <v>"id":"s724",</v>
      </c>
      <c r="M742" t="str">
        <v>"cate":"Resistor ",</v>
      </c>
      <c r="N742" t="str">
        <v>"des":"RST 12K 1/8W 5% 805",</v>
      </c>
      <c r="O742" t="str">
        <v>"mfg":"YAGEO",</v>
      </c>
      <c r="P742" t="str">
        <v>"pn":"RC0805FR-0712KL",</v>
      </c>
      <c r="Q742" t="str">
        <v>"qty":3814</v>
      </c>
      <c r="S742" t="s">
        <v>2498</v>
      </c>
      <c r="T742" t="str">
        <f t="shared" si="148"/>
        <v>"id":"s724","cate":"Resistor ","des":"RST 12K 1/8W 5% 805","mfg":"YAGEO","pn":"RC0805FR-0712KL","qty":3814</v>
      </c>
      <c r="U742" t="s">
        <v>2503</v>
      </c>
    </row>
    <row r="743" spans="5:21" x14ac:dyDescent="0.25">
      <c r="E743" t="s">
        <v>2193</v>
      </c>
      <c r="F743" t="s">
        <v>1033</v>
      </c>
      <c r="G743" t="s">
        <v>207</v>
      </c>
      <c r="H743" t="s">
        <v>1035</v>
      </c>
      <c r="I743">
        <v>3774</v>
      </c>
      <c r="K743" t="s">
        <v>3228</v>
      </c>
      <c r="L743" t="str">
        <f t="shared" si="147"/>
        <v>"id":"s725",</v>
      </c>
      <c r="M743" t="str">
        <v>"cate":"Resistor ",</v>
      </c>
      <c r="N743" t="str">
        <v>"des":"RST 12K 1/8W 5% 805",</v>
      </c>
      <c r="O743" t="str">
        <v>"mfg":"WALSIN",</v>
      </c>
      <c r="P743" t="str">
        <v>"pn":"WR08X1202FTL",</v>
      </c>
      <c r="Q743" t="str">
        <v>"qty":3814</v>
      </c>
      <c r="S743" t="s">
        <v>2498</v>
      </c>
      <c r="T743" t="str">
        <f t="shared" si="148"/>
        <v>"id":"s725","cate":"Resistor ","des":"RST 12K 1/8W 5% 805","mfg":"WALSIN","pn":"WR08X1202FTL","qty":3814</v>
      </c>
      <c r="U743" t="s">
        <v>2503</v>
      </c>
    </row>
    <row r="744" spans="5:21" x14ac:dyDescent="0.25">
      <c r="E744" t="s">
        <v>2193</v>
      </c>
      <c r="F744" t="s">
        <v>1036</v>
      </c>
      <c r="G744" t="s">
        <v>5</v>
      </c>
      <c r="H744" t="s">
        <v>1037</v>
      </c>
      <c r="I744">
        <v>3768</v>
      </c>
      <c r="K744" t="s">
        <v>3229</v>
      </c>
      <c r="L744" t="str">
        <f t="shared" si="147"/>
        <v>"id":"s726",</v>
      </c>
      <c r="M744" t="str">
        <v>"cate":"Resistor ",</v>
      </c>
      <c r="N744" t="str">
        <v>"des":"RST 3,32K 0,1W 1%SM",</v>
      </c>
      <c r="O744" t="str">
        <v>"mfg":"PANASONIC",</v>
      </c>
      <c r="P744" t="str">
        <v>"pn":"ERJ-3EKF3321V",</v>
      </c>
      <c r="Q744" t="str">
        <v>"qty":3806</v>
      </c>
      <c r="S744" t="s">
        <v>2498</v>
      </c>
      <c r="T744" t="str">
        <f t="shared" si="148"/>
        <v>"id":"s726","cate":"Resistor ","des":"RST 3,32K 0,1W 1%SM","mfg":"PANASONIC","pn":"ERJ-3EKF3321V","qty":3806</v>
      </c>
      <c r="U744" t="s">
        <v>2503</v>
      </c>
    </row>
    <row r="745" spans="5:21" x14ac:dyDescent="0.25">
      <c r="E745" t="s">
        <v>2193</v>
      </c>
      <c r="F745" t="s">
        <v>1036</v>
      </c>
      <c r="G745" t="s">
        <v>320</v>
      </c>
      <c r="H745" t="s">
        <v>1038</v>
      </c>
      <c r="I745">
        <v>3768</v>
      </c>
      <c r="K745" t="s">
        <v>3230</v>
      </c>
      <c r="L745" t="str">
        <f t="shared" si="147"/>
        <v>"id":"s727",</v>
      </c>
      <c r="M745" t="str">
        <v>"cate":"Resistor ",</v>
      </c>
      <c r="N745" t="str">
        <v>"des":"RST 3,32K 0,1W 1%SM",</v>
      </c>
      <c r="O745" t="str">
        <v>"mfg":"KOA",</v>
      </c>
      <c r="P745" t="str">
        <v>"pn":"RK73H1JTTD3321F",</v>
      </c>
      <c r="Q745" t="str">
        <v>"qty":3806</v>
      </c>
      <c r="S745" t="s">
        <v>2498</v>
      </c>
      <c r="T745" t="str">
        <f t="shared" si="148"/>
        <v>"id":"s727","cate":"Resistor ","des":"RST 3,32K 0,1W 1%SM","mfg":"KOA","pn":"RK73H1JTTD3321F","qty":3806</v>
      </c>
      <c r="U745" t="s">
        <v>2503</v>
      </c>
    </row>
    <row r="746" spans="5:21" x14ac:dyDescent="0.25">
      <c r="E746" t="s">
        <v>2193</v>
      </c>
      <c r="F746" t="s">
        <v>1039</v>
      </c>
      <c r="G746" t="s">
        <v>37</v>
      </c>
      <c r="H746" t="s">
        <v>1040</v>
      </c>
      <c r="I746">
        <v>3766</v>
      </c>
      <c r="K746" t="s">
        <v>3231</v>
      </c>
      <c r="L746" t="str">
        <f t="shared" si="147"/>
        <v>"id":"s728",</v>
      </c>
      <c r="M746" t="str">
        <v>"cate":"Resistor ",</v>
      </c>
      <c r="N746" t="str">
        <v>"des":"RST 3,32K 0,1W 1%SM",</v>
      </c>
      <c r="O746" t="str">
        <v>"mfg":"ROYAL OHM",</v>
      </c>
      <c r="P746" t="str">
        <v>"pn":"0603WAF3321T5E",</v>
      </c>
      <c r="Q746" t="str">
        <v>"qty":3806</v>
      </c>
      <c r="S746" t="s">
        <v>2498</v>
      </c>
      <c r="T746" t="str">
        <f t="shared" si="148"/>
        <v>"id":"s728","cate":"Resistor ","des":"RST 3,32K 0,1W 1%SM","mfg":"ROYAL OHM","pn":"0603WAF3321T5E","qty":3806</v>
      </c>
      <c r="U746" t="s">
        <v>2503</v>
      </c>
    </row>
    <row r="747" spans="5:21" x14ac:dyDescent="0.25">
      <c r="E747" t="s">
        <v>2193</v>
      </c>
      <c r="F747" t="s">
        <v>1039</v>
      </c>
      <c r="G747" t="s">
        <v>320</v>
      </c>
      <c r="H747" t="s">
        <v>1041</v>
      </c>
      <c r="I747">
        <v>3766</v>
      </c>
      <c r="K747" t="s">
        <v>3232</v>
      </c>
      <c r="L747" t="str">
        <f t="shared" si="147"/>
        <v>"id":"s729",</v>
      </c>
      <c r="M747" t="str">
        <v>"cate":"Capacitor",</v>
      </c>
      <c r="N747" t="str">
        <v>"des":"Capacitor 10NF 200V 0805",</v>
      </c>
      <c r="O747" t="str">
        <v>"mfg":"KEMET",</v>
      </c>
      <c r="P747" t="str">
        <v>"pn":"C0805C103K2RACTU",</v>
      </c>
      <c r="Q747" t="str">
        <v>"qty":3795</v>
      </c>
      <c r="S747" t="s">
        <v>2498</v>
      </c>
      <c r="T747" t="str">
        <f t="shared" si="148"/>
        <v>"id":"s729","cate":"Capacitor","des":"Capacitor 10NF 200V 0805","mfg":"KEMET","pn":"C0805C103K2RACTU","qty":3795</v>
      </c>
      <c r="U747" t="s">
        <v>2503</v>
      </c>
    </row>
    <row r="748" spans="5:21" x14ac:dyDescent="0.25">
      <c r="E748" t="s">
        <v>2193</v>
      </c>
      <c r="F748" t="s">
        <v>1042</v>
      </c>
      <c r="G748" t="s">
        <v>320</v>
      </c>
      <c r="H748" t="s">
        <v>1043</v>
      </c>
      <c r="I748">
        <v>3750</v>
      </c>
      <c r="K748" t="s">
        <v>3233</v>
      </c>
      <c r="L748" t="str">
        <f t="shared" si="147"/>
        <v>"id":"s730",</v>
      </c>
      <c r="M748" t="str">
        <v>"cate":"Capacitor",</v>
      </c>
      <c r="N748" t="str">
        <v>"des":"Capacitor 10NF 200V 0805",</v>
      </c>
      <c r="O748" t="str">
        <v>"mfg":"AVX",</v>
      </c>
      <c r="P748" t="str">
        <v>"pn":"08052C103KAT2A",</v>
      </c>
      <c r="Q748" t="str">
        <v>"qty":3795</v>
      </c>
      <c r="S748" t="s">
        <v>2498</v>
      </c>
      <c r="T748" t="str">
        <f t="shared" si="148"/>
        <v>"id":"s730","cate":"Capacitor","des":"Capacitor 10NF 200V 0805","mfg":"AVX","pn":"08052C103KAT2A","qty":3795</v>
      </c>
      <c r="U748" t="s">
        <v>2503</v>
      </c>
    </row>
    <row r="749" spans="5:21" x14ac:dyDescent="0.25">
      <c r="E749" t="s">
        <v>2193</v>
      </c>
      <c r="F749" t="s">
        <v>1042</v>
      </c>
      <c r="G749" t="s">
        <v>89</v>
      </c>
      <c r="H749" t="s">
        <v>1044</v>
      </c>
      <c r="I749">
        <v>3750</v>
      </c>
      <c r="K749" t="s">
        <v>3234</v>
      </c>
      <c r="L749" t="str">
        <f t="shared" si="147"/>
        <v>"id":"s731",</v>
      </c>
      <c r="M749" t="str">
        <v>"cate":"Capacitor",</v>
      </c>
      <c r="N749" t="str">
        <v>"des":"Capacitor 4,7NF 50V0603",</v>
      </c>
      <c r="O749" t="str">
        <v>"mfg":"YAGEO",</v>
      </c>
      <c r="P749" t="str">
        <v>"pn":"CC0603KRX7R9BB472",</v>
      </c>
      <c r="Q749" t="str">
        <v>"qty":3792</v>
      </c>
      <c r="S749" t="s">
        <v>2498</v>
      </c>
      <c r="T749" t="str">
        <f t="shared" si="148"/>
        <v>"id":"s731","cate":"Capacitor","des":"Capacitor 4,7NF 50V0603","mfg":"YAGEO","pn":"CC0603KRX7R9BB472","qty":3792</v>
      </c>
      <c r="U749" t="s">
        <v>2503</v>
      </c>
    </row>
    <row r="750" spans="5:21" x14ac:dyDescent="0.25">
      <c r="E750" t="s">
        <v>2193</v>
      </c>
      <c r="F750" t="s">
        <v>1045</v>
      </c>
      <c r="G750" t="s">
        <v>13</v>
      </c>
      <c r="H750" t="s">
        <v>1046</v>
      </c>
      <c r="I750">
        <v>3743</v>
      </c>
      <c r="K750" t="s">
        <v>3235</v>
      </c>
      <c r="L750" t="str">
        <f t="shared" si="147"/>
        <v>"id":"s732",</v>
      </c>
      <c r="M750" t="str">
        <v>"cate":"Diode",</v>
      </c>
      <c r="N750" t="str">
        <v>"des":"DiodeE 0,2A 30V SOT",</v>
      </c>
      <c r="O750" t="str">
        <v>"mfg":"NXP SEMICONDUCTORS",</v>
      </c>
      <c r="P750" t="str">
        <v>"pn":"BAT54S,215",</v>
      </c>
      <c r="Q750" t="str">
        <v>"qty":3783</v>
      </c>
      <c r="S750" t="s">
        <v>2498</v>
      </c>
      <c r="T750" t="str">
        <f t="shared" si="148"/>
        <v>"id":"s732","cate":"Diode","des":"DiodeE 0,2A 30V SOT","mfg":"NXP SEMICONDUCTORS","pn":"BAT54S,215","qty":3783</v>
      </c>
      <c r="U750" t="s">
        <v>2503</v>
      </c>
    </row>
    <row r="751" spans="5:21" x14ac:dyDescent="0.25">
      <c r="E751" t="s">
        <v>2193</v>
      </c>
      <c r="F751" t="s">
        <v>1045</v>
      </c>
      <c r="G751" t="s">
        <v>89</v>
      </c>
      <c r="H751" t="s">
        <v>1047</v>
      </c>
      <c r="I751">
        <v>3743</v>
      </c>
      <c r="K751" t="s">
        <v>3236</v>
      </c>
      <c r="L751" t="str">
        <f t="shared" si="147"/>
        <v>"id":"s733",</v>
      </c>
      <c r="M751" t="str">
        <v>"cate":"Resistor ",</v>
      </c>
      <c r="N751" t="str">
        <v>"des":"RST 470K 0,1W1%603A",</v>
      </c>
      <c r="O751" t="str">
        <v>"mfg":"YAGEO",</v>
      </c>
      <c r="P751" t="str">
        <v>"pn":"RC0603FR-07470KL",</v>
      </c>
      <c r="Q751" t="str">
        <v>"qty":3779</v>
      </c>
      <c r="S751" t="s">
        <v>2498</v>
      </c>
      <c r="T751" t="str">
        <f t="shared" si="148"/>
        <v>"id":"s733","cate":"Resistor ","des":"RST 470K 0,1W1%603A","mfg":"YAGEO","pn":"RC0603FR-07470KL","qty":3779</v>
      </c>
      <c r="U751" t="s">
        <v>2503</v>
      </c>
    </row>
    <row r="752" spans="5:21" x14ac:dyDescent="0.25">
      <c r="E752" t="s">
        <v>2194</v>
      </c>
      <c r="F752" t="s">
        <v>2279</v>
      </c>
      <c r="G752" t="s">
        <v>47</v>
      </c>
      <c r="H752" t="s">
        <v>1048</v>
      </c>
      <c r="I752">
        <v>3734</v>
      </c>
      <c r="K752" t="s">
        <v>3237</v>
      </c>
      <c r="L752" t="str">
        <f t="shared" si="147"/>
        <v>"id":"s734",</v>
      </c>
      <c r="M752" t="str">
        <v>"cate":"Resistor ",</v>
      </c>
      <c r="N752" t="str">
        <v>"des":"RST 470K 0,1W1%603A",</v>
      </c>
      <c r="O752" t="str">
        <v>"mfg":"BOURNS",</v>
      </c>
      <c r="P752" t="str">
        <v>"pn":"CR0603FX4703ELF",</v>
      </c>
      <c r="Q752" t="str">
        <v>"qty":3779</v>
      </c>
      <c r="S752" t="s">
        <v>2498</v>
      </c>
      <c r="T752" t="str">
        <f t="shared" si="148"/>
        <v>"id":"s734","cate":"Resistor ","des":"RST 470K 0,1W1%603A","mfg":"BOURNS","pn":"CR0603FX4703ELF","qty":3779</v>
      </c>
      <c r="U752" t="s">
        <v>2503</v>
      </c>
    </row>
    <row r="753" spans="5:21" x14ac:dyDescent="0.25">
      <c r="E753" t="s">
        <v>2194</v>
      </c>
      <c r="F753" t="s">
        <v>2279</v>
      </c>
      <c r="G753" t="s">
        <v>47</v>
      </c>
      <c r="H753" t="s">
        <v>1049</v>
      </c>
      <c r="I753">
        <v>3734</v>
      </c>
      <c r="K753" t="s">
        <v>3238</v>
      </c>
      <c r="L753" t="str">
        <f t="shared" si="147"/>
        <v>"id":"s735",</v>
      </c>
      <c r="M753" t="str">
        <v>"cate":"Resistor ",</v>
      </c>
      <c r="N753" t="str">
        <v>"des":"RST 0R 1/4W 5%1206A",</v>
      </c>
      <c r="O753" t="str">
        <v>"mfg":"VISHAY",</v>
      </c>
      <c r="P753" t="str">
        <v>"pn":"WSL120600000ZEA9",</v>
      </c>
      <c r="Q753" t="str">
        <v>"qty":3776</v>
      </c>
      <c r="S753" t="s">
        <v>2498</v>
      </c>
      <c r="T753" t="str">
        <f t="shared" si="148"/>
        <v>"id":"s735","cate":"Resistor ","des":"RST 0R 1/4W 5%1206A","mfg":"VISHAY","pn":"WSL120600000ZEA9","qty":3776</v>
      </c>
      <c r="U753" t="s">
        <v>2503</v>
      </c>
    </row>
    <row r="754" spans="5:21" x14ac:dyDescent="0.25">
      <c r="E754" t="s">
        <v>2193</v>
      </c>
      <c r="F754" t="s">
        <v>1050</v>
      </c>
      <c r="G754" t="s">
        <v>5</v>
      </c>
      <c r="H754" t="s">
        <v>1051</v>
      </c>
      <c r="I754">
        <v>3720</v>
      </c>
      <c r="K754" t="s">
        <v>3239</v>
      </c>
      <c r="L754" t="str">
        <f t="shared" si="147"/>
        <v>"id":"s736",</v>
      </c>
      <c r="M754" t="str">
        <v>"cate":"Resistor ",</v>
      </c>
      <c r="N754" t="str">
        <v>"des":"RST 0R 1/4W 5%1206A",</v>
      </c>
      <c r="O754" t="str">
        <v>"mfg":"ROYAL OHM",</v>
      </c>
      <c r="P754" t="str">
        <v>"pn":"1206W4J0000T5E",</v>
      </c>
      <c r="Q754" t="str">
        <v>"qty":3776</v>
      </c>
      <c r="S754" t="s">
        <v>2498</v>
      </c>
      <c r="T754" t="str">
        <f t="shared" si="148"/>
        <v>"id":"s736","cate":"Resistor ","des":"RST 0R 1/4W 5%1206A","mfg":"ROYAL OHM","pn":"1206W4J0000T5E","qty":3776</v>
      </c>
      <c r="U754" t="s">
        <v>2503</v>
      </c>
    </row>
    <row r="755" spans="5:21" x14ac:dyDescent="0.25">
      <c r="E755" t="s">
        <v>2194</v>
      </c>
      <c r="F755" t="s">
        <v>2280</v>
      </c>
      <c r="G755" t="s">
        <v>290</v>
      </c>
      <c r="H755" t="s">
        <v>1052</v>
      </c>
      <c r="I755">
        <v>3718</v>
      </c>
      <c r="K755" t="s">
        <v>3240</v>
      </c>
      <c r="L755" t="str">
        <f t="shared" si="147"/>
        <v>"id":"s737",</v>
      </c>
      <c r="M755" t="str">
        <v>"cate":"Resistor ",</v>
      </c>
      <c r="N755" t="str">
        <v>"des":"RST SHUNT 2512",</v>
      </c>
      <c r="O755" t="str">
        <v>"mfg":"ROYAL OHM",</v>
      </c>
      <c r="P755" t="str">
        <v>"pn":"HP122WJ0000T4E",</v>
      </c>
      <c r="Q755" t="str">
        <v>"qty":3774</v>
      </c>
      <c r="S755" t="s">
        <v>2498</v>
      </c>
      <c r="T755" t="str">
        <f t="shared" si="148"/>
        <v>"id":"s737","cate":"Resistor ","des":"RST SHUNT 2512","mfg":"ROYAL OHM","pn":"HP122WJ0000T4E","qty":3774</v>
      </c>
      <c r="U755" t="s">
        <v>2503</v>
      </c>
    </row>
    <row r="756" spans="5:21" x14ac:dyDescent="0.25">
      <c r="E756" t="s">
        <v>2193</v>
      </c>
      <c r="F756" t="s">
        <v>1053</v>
      </c>
      <c r="G756" t="s">
        <v>13</v>
      </c>
      <c r="H756" t="s">
        <v>1054</v>
      </c>
      <c r="I756">
        <v>3711</v>
      </c>
      <c r="K756" t="s">
        <v>3241</v>
      </c>
      <c r="L756" t="str">
        <f t="shared" si="147"/>
        <v>"id":"s738",</v>
      </c>
      <c r="M756" t="str">
        <v>"cate":"Resistor ",</v>
      </c>
      <c r="N756" t="str">
        <v>"des":"RST SHUNT 2512",</v>
      </c>
      <c r="O756" t="str">
        <v>"mfg":"STACKPOLE ELECTRONICS INC",</v>
      </c>
      <c r="P756" t="str">
        <v>"pn":"HCJ2512ZT0R00",</v>
      </c>
      <c r="Q756" t="str">
        <v>"qty":3774</v>
      </c>
      <c r="S756" t="s">
        <v>2498</v>
      </c>
      <c r="T756" t="str">
        <f t="shared" si="148"/>
        <v>"id":"s738","cate":"Resistor ","des":"RST SHUNT 2512","mfg":"STACKPOLE ELECTRONICS INC","pn":"HCJ2512ZT0R00","qty":3774</v>
      </c>
      <c r="U756" t="s">
        <v>2503</v>
      </c>
    </row>
    <row r="757" spans="5:21" x14ac:dyDescent="0.25">
      <c r="E757" t="s">
        <v>2193</v>
      </c>
      <c r="F757" t="s">
        <v>1053</v>
      </c>
      <c r="G757" t="s">
        <v>320</v>
      </c>
      <c r="H757" t="s">
        <v>1055</v>
      </c>
      <c r="I757">
        <v>3711</v>
      </c>
      <c r="K757" t="s">
        <v>3242</v>
      </c>
      <c r="L757" t="str">
        <f t="shared" si="147"/>
        <v>"id":"s739",</v>
      </c>
      <c r="M757" t="str">
        <v>"cate":"Resistor ",</v>
      </c>
      <c r="N757" t="str">
        <v>"des":"RST 10 1/4W 5% 1206",</v>
      </c>
      <c r="O757" t="str">
        <v>"mfg":"KOA",</v>
      </c>
      <c r="P757" t="str">
        <v>"pn":"RK73B2BTTD100J",</v>
      </c>
      <c r="Q757" t="str">
        <v>"qty":3768</v>
      </c>
      <c r="S757" t="s">
        <v>2498</v>
      </c>
      <c r="T757" t="str">
        <f t="shared" si="148"/>
        <v>"id":"s739","cate":"Resistor ","des":"RST 10 1/4W 5% 1206","mfg":"KOA","pn":"RK73B2BTTD100J","qty":3768</v>
      </c>
      <c r="U757" t="s">
        <v>2503</v>
      </c>
    </row>
    <row r="758" spans="5:21" x14ac:dyDescent="0.25">
      <c r="E758" t="s">
        <v>2193</v>
      </c>
      <c r="F758" t="s">
        <v>1056</v>
      </c>
      <c r="G758" t="s">
        <v>13</v>
      </c>
      <c r="H758" t="s">
        <v>1057</v>
      </c>
      <c r="I758">
        <v>3703</v>
      </c>
      <c r="K758" t="s">
        <v>3243</v>
      </c>
      <c r="L758" t="str">
        <f t="shared" si="147"/>
        <v>"id":"s740",</v>
      </c>
      <c r="M758" t="str">
        <v>"cate":"Resistor ",</v>
      </c>
      <c r="N758" t="str">
        <v>"des":"RST 10 1/4W 5% 1206",</v>
      </c>
      <c r="O758" t="str">
        <v>"mfg":"ROYAL OHM",</v>
      </c>
      <c r="P758" t="str">
        <v>"pn":"1206W4F100JT5E",</v>
      </c>
      <c r="Q758" t="str">
        <v>"qty":3768</v>
      </c>
      <c r="S758" t="s">
        <v>2498</v>
      </c>
      <c r="T758" t="str">
        <f t="shared" si="148"/>
        <v>"id":"s740","cate":"Resistor ","des":"RST 10 1/4W 5% 1206","mfg":"ROYAL OHM","pn":"1206W4F100JT5E","qty":3768</v>
      </c>
      <c r="U758" t="s">
        <v>2503</v>
      </c>
    </row>
    <row r="759" spans="5:21" x14ac:dyDescent="0.25">
      <c r="E759" t="s">
        <v>2194</v>
      </c>
      <c r="F759" t="s">
        <v>2281</v>
      </c>
      <c r="G759" t="s">
        <v>47</v>
      </c>
      <c r="H759" t="s">
        <v>1058</v>
      </c>
      <c r="I759">
        <v>3700</v>
      </c>
      <c r="K759" t="s">
        <v>3244</v>
      </c>
      <c r="L759" t="str">
        <f t="shared" si="147"/>
        <v>"id":"s741",</v>
      </c>
      <c r="M759" t="str">
        <v>"cate":"Resistor ",</v>
      </c>
      <c r="N759" t="str">
        <v>"des":"RST 47R 1/8W 1% 805",</v>
      </c>
      <c r="O759" t="str">
        <v>"mfg":"VISHAY",</v>
      </c>
      <c r="P759" t="str">
        <v>"pn":"CRCW080547R0FKEA",</v>
      </c>
      <c r="Q759" t="str">
        <v>"qty":3766</v>
      </c>
      <c r="S759" t="s">
        <v>2498</v>
      </c>
      <c r="T759" t="str">
        <f t="shared" si="148"/>
        <v>"id":"s741","cate":"Resistor ","des":"RST 47R 1/8W 1% 805","mfg":"VISHAY","pn":"CRCW080547R0FKEA","qty":3766</v>
      </c>
      <c r="U759" t="s">
        <v>2503</v>
      </c>
    </row>
    <row r="760" spans="5:21" x14ac:dyDescent="0.25">
      <c r="E760" t="s">
        <v>2194</v>
      </c>
      <c r="F760" t="s">
        <v>2281</v>
      </c>
      <c r="G760" t="s">
        <v>8</v>
      </c>
      <c r="H760" t="s">
        <v>1059</v>
      </c>
      <c r="I760">
        <v>3700</v>
      </c>
      <c r="K760" t="s">
        <v>3245</v>
      </c>
      <c r="L760" t="str">
        <f t="shared" si="147"/>
        <v>"id":"s742",</v>
      </c>
      <c r="M760" t="str">
        <v>"cate":"Resistor ",</v>
      </c>
      <c r="N760" t="str">
        <v>"des":"RST 47R 1/8W 1% 805",</v>
      </c>
      <c r="O760" t="str">
        <v>"mfg":"ROYAL OHM",</v>
      </c>
      <c r="P760" t="str">
        <v>"pn":"0805W8F470JT5E",</v>
      </c>
      <c r="Q760" t="str">
        <v>"qty":3766</v>
      </c>
      <c r="S760" t="s">
        <v>2498</v>
      </c>
      <c r="T760" t="str">
        <f t="shared" si="148"/>
        <v>"id":"s742","cate":"Resistor ","des":"RST 47R 1/8W 1% 805","mfg":"ROYAL OHM","pn":"0805W8F470JT5E","qty":3766</v>
      </c>
      <c r="U760" t="s">
        <v>2503</v>
      </c>
    </row>
    <row r="761" spans="5:21" x14ac:dyDescent="0.25">
      <c r="E761" t="s">
        <v>2394</v>
      </c>
      <c r="F761" t="s">
        <v>2402</v>
      </c>
      <c r="G761" t="s">
        <v>45</v>
      </c>
      <c r="H761" t="s">
        <v>1060</v>
      </c>
      <c r="I761">
        <v>3676</v>
      </c>
      <c r="K761" t="s">
        <v>3246</v>
      </c>
      <c r="L761" t="str">
        <f t="shared" si="147"/>
        <v>"id":"s743",</v>
      </c>
      <c r="M761" t="str">
        <v>"cate":"Resistor ",</v>
      </c>
      <c r="N761" t="str">
        <v>"des":"RST 18K 1/8W 1%805B",</v>
      </c>
      <c r="O761" t="str">
        <v>"mfg":"ROYAL OHM",</v>
      </c>
      <c r="P761" t="str">
        <v>"pn":"0805W8F1802T5E",</v>
      </c>
      <c r="Q761" t="str">
        <v>"qty":3750</v>
      </c>
      <c r="S761" t="s">
        <v>2498</v>
      </c>
      <c r="T761" t="str">
        <f t="shared" si="148"/>
        <v>"id":"s743","cate":"Resistor ","des":"RST 18K 1/8W 1%805B","mfg":"ROYAL OHM","pn":"0805W8F1802T5E","qty":3750</v>
      </c>
      <c r="U761" t="s">
        <v>2503</v>
      </c>
    </row>
    <row r="762" spans="5:21" x14ac:dyDescent="0.25">
      <c r="E762" t="s">
        <v>2126</v>
      </c>
      <c r="F762" t="s">
        <v>1061</v>
      </c>
      <c r="G762" t="s">
        <v>507</v>
      </c>
      <c r="H762" t="s">
        <v>1062</v>
      </c>
      <c r="I762">
        <v>3664</v>
      </c>
      <c r="K762" t="s">
        <v>3247</v>
      </c>
      <c r="L762" t="str">
        <f t="shared" si="147"/>
        <v>"id":"s744",</v>
      </c>
      <c r="M762" t="str">
        <v>"cate":"Resistor ",</v>
      </c>
      <c r="N762" t="str">
        <v>"des":"RST 18K 1/8W 1%805B",</v>
      </c>
      <c r="O762" t="str">
        <v>"mfg":"BOURNS",</v>
      </c>
      <c r="P762" t="str">
        <v>"pn":"CR0805-FX-1802ELF",</v>
      </c>
      <c r="Q762" t="str">
        <v>"qty":3750</v>
      </c>
      <c r="S762" t="s">
        <v>2498</v>
      </c>
      <c r="T762" t="str">
        <f t="shared" si="148"/>
        <v>"id":"s744","cate":"Resistor ","des":"RST 18K 1/8W 1%805B","mfg":"BOURNS","pn":"CR0805-FX-1802ELF","qty":3750</v>
      </c>
      <c r="U762" t="s">
        <v>2503</v>
      </c>
    </row>
    <row r="763" spans="5:21" x14ac:dyDescent="0.25">
      <c r="E763" t="s">
        <v>2193</v>
      </c>
      <c r="F763" t="s">
        <v>1063</v>
      </c>
      <c r="G763" t="s">
        <v>10</v>
      </c>
      <c r="H763" t="s">
        <v>1064</v>
      </c>
      <c r="I763">
        <v>3654</v>
      </c>
      <c r="K763" t="s">
        <v>3248</v>
      </c>
      <c r="L763" t="str">
        <f t="shared" si="147"/>
        <v>"id":"s745",</v>
      </c>
      <c r="M763" t="str">
        <v>"cate":"Resistor ",</v>
      </c>
      <c r="N763" t="str">
        <v>"des":"RST 20K 0,1W1% 603B",</v>
      </c>
      <c r="O763" t="str">
        <v>"mfg":"YAGEO",</v>
      </c>
      <c r="P763" t="str">
        <v>"pn":"RC0603FR-0720KL",</v>
      </c>
      <c r="Q763" t="str">
        <v>"qty":3743</v>
      </c>
      <c r="S763" t="s">
        <v>2498</v>
      </c>
      <c r="T763" t="str">
        <f t="shared" si="148"/>
        <v>"id":"s745","cate":"Resistor ","des":"RST 20K 0,1W1% 603B","mfg":"YAGEO","pn":"RC0603FR-0720KL","qty":3743</v>
      </c>
      <c r="U763" t="s">
        <v>2503</v>
      </c>
    </row>
    <row r="764" spans="5:21" x14ac:dyDescent="0.25">
      <c r="E764" t="s">
        <v>2193</v>
      </c>
      <c r="F764" t="s">
        <v>1065</v>
      </c>
      <c r="G764" t="s">
        <v>13</v>
      </c>
      <c r="H764" t="s">
        <v>1066</v>
      </c>
      <c r="I764">
        <v>3619</v>
      </c>
      <c r="K764" t="s">
        <v>3249</v>
      </c>
      <c r="L764" t="str">
        <f t="shared" si="147"/>
        <v>"id":"s746",</v>
      </c>
      <c r="M764" t="str">
        <v>"cate":"Resistor ",</v>
      </c>
      <c r="N764" t="str">
        <v>"des":"RST 20K 0,1W1% 603B",</v>
      </c>
      <c r="O764" t="str">
        <v>"mfg":"BOURNS",</v>
      </c>
      <c r="P764" t="str">
        <v>"pn":"CR0603FX202ELF",</v>
      </c>
      <c r="Q764" t="str">
        <v>"qty":3743</v>
      </c>
      <c r="S764" t="s">
        <v>2498</v>
      </c>
      <c r="T764" t="str">
        <f t="shared" si="148"/>
        <v>"id":"s746","cate":"Resistor ","des":"RST 20K 0,1W1% 603B","mfg":"BOURNS","pn":"CR0603FX202ELF","qty":3743</v>
      </c>
      <c r="U764" t="s">
        <v>2503</v>
      </c>
    </row>
    <row r="765" spans="5:21" x14ac:dyDescent="0.25">
      <c r="E765" t="s">
        <v>2193</v>
      </c>
      <c r="F765" t="s">
        <v>1065</v>
      </c>
      <c r="G765" t="s">
        <v>320</v>
      </c>
      <c r="H765" t="s">
        <v>1067</v>
      </c>
      <c r="I765">
        <v>3619</v>
      </c>
      <c r="K765" t="s">
        <v>3250</v>
      </c>
      <c r="L765" t="str">
        <f t="shared" si="147"/>
        <v>"id":"s747",</v>
      </c>
      <c r="M765" t="str">
        <v>"cate":"Capacitor",</v>
      </c>
      <c r="N765" t="str">
        <v>"des":"Capacitor 120PF/50V 0805",</v>
      </c>
      <c r="O765" t="str">
        <v>"mfg":"KEMET",</v>
      </c>
      <c r="P765" t="str">
        <v>"pn":"C0805C121J5GACTU",</v>
      </c>
      <c r="Q765" t="str">
        <v>"qty":3734</v>
      </c>
      <c r="S765" t="s">
        <v>2498</v>
      </c>
      <c r="T765" t="str">
        <f t="shared" si="148"/>
        <v>"id":"s747","cate":"Capacitor","des":"Capacitor 120PF/50V 0805","mfg":"KEMET","pn":"C0805C121J5GACTU","qty":3734</v>
      </c>
      <c r="U765" t="s">
        <v>2503</v>
      </c>
    </row>
    <row r="766" spans="5:21" x14ac:dyDescent="0.25">
      <c r="E766" t="s">
        <v>2193</v>
      </c>
      <c r="F766" t="s">
        <v>1065</v>
      </c>
      <c r="G766" t="s">
        <v>320</v>
      </c>
      <c r="H766" t="s">
        <v>1068</v>
      </c>
      <c r="I766">
        <v>3619</v>
      </c>
      <c r="K766" t="s">
        <v>3251</v>
      </c>
      <c r="L766" t="str">
        <f t="shared" si="147"/>
        <v>"id":"s748",</v>
      </c>
      <c r="M766" t="str">
        <v>"cate":"Capacitor",</v>
      </c>
      <c r="N766" t="str">
        <v>"des":"Capacitor 120PF/50V 0805",</v>
      </c>
      <c r="O766" t="str">
        <v>"mfg":"KEMET",</v>
      </c>
      <c r="P766" t="str">
        <v>"pn":"C0805C121J5GAC7800",</v>
      </c>
      <c r="Q766" t="str">
        <v>"qty":3734</v>
      </c>
      <c r="S766" t="s">
        <v>2498</v>
      </c>
      <c r="T766" t="str">
        <f t="shared" si="148"/>
        <v>"id":"s748","cate":"Capacitor","des":"Capacitor 120PF/50V 0805","mfg":"KEMET","pn":"C0805C121J5GAC7800","qty":3734</v>
      </c>
      <c r="U766" t="s">
        <v>2503</v>
      </c>
    </row>
    <row r="767" spans="5:21" x14ac:dyDescent="0.25">
      <c r="E767" t="s">
        <v>2193</v>
      </c>
      <c r="F767" t="s">
        <v>1069</v>
      </c>
      <c r="G767" t="s">
        <v>13</v>
      </c>
      <c r="H767" t="s">
        <v>1070</v>
      </c>
      <c r="I767">
        <v>3595</v>
      </c>
      <c r="K767" t="s">
        <v>3252</v>
      </c>
      <c r="L767" t="str">
        <f t="shared" si="147"/>
        <v>"id":"s749",</v>
      </c>
      <c r="M767" t="str">
        <v>"cate":"Resistor ",</v>
      </c>
      <c r="N767" t="str">
        <v>"des":"RST 470 1/4W 5% 805",</v>
      </c>
      <c r="O767" t="str">
        <v>"mfg":"KOA",</v>
      </c>
      <c r="P767" t="str">
        <v>"pn":"RK73B2ATTD471J",</v>
      </c>
      <c r="Q767" t="str">
        <v>"qty":3720</v>
      </c>
      <c r="S767" t="s">
        <v>2498</v>
      </c>
      <c r="T767" t="str">
        <f t="shared" si="148"/>
        <v>"id":"s749","cate":"Resistor ","des":"RST 470 1/4W 5% 805","mfg":"KOA","pn":"RK73B2ATTD471J","qty":3720</v>
      </c>
      <c r="U767" t="s">
        <v>2503</v>
      </c>
    </row>
    <row r="768" spans="5:21" x14ac:dyDescent="0.25">
      <c r="E768" t="s">
        <v>2193</v>
      </c>
      <c r="F768" t="s">
        <v>1069</v>
      </c>
      <c r="G768" t="s">
        <v>13</v>
      </c>
      <c r="H768" t="s">
        <v>1071</v>
      </c>
      <c r="I768">
        <v>3595</v>
      </c>
      <c r="K768" t="s">
        <v>3253</v>
      </c>
      <c r="L768" t="str">
        <f t="shared" si="147"/>
        <v>"id":"s750",</v>
      </c>
      <c r="M768" t="str">
        <v>"cate":"Capacitor",</v>
      </c>
      <c r="N768" t="str">
        <v>"des":"Capacitor 4,7NF/305V Y2",</v>
      </c>
      <c r="O768" t="str">
        <v>"mfg":"FARATRONIC",</v>
      </c>
      <c r="P768" t="str">
        <v>"pn":"C43Q1472K30C000",</v>
      </c>
      <c r="Q768" t="str">
        <v>"qty":3718</v>
      </c>
      <c r="S768" t="s">
        <v>2498</v>
      </c>
      <c r="T768" t="str">
        <f t="shared" si="148"/>
        <v>"id":"s750","cate":"Capacitor","des":"Capacitor 4,7NF/305V Y2","mfg":"FARATRONIC","pn":"C43Q1472K30C000","qty":3718</v>
      </c>
      <c r="U768" t="s">
        <v>2503</v>
      </c>
    </row>
    <row r="769" spans="5:21" x14ac:dyDescent="0.25">
      <c r="E769" t="s">
        <v>2193</v>
      </c>
      <c r="F769" t="s">
        <v>1069</v>
      </c>
      <c r="G769" t="s">
        <v>10</v>
      </c>
      <c r="H769" t="s">
        <v>1072</v>
      </c>
      <c r="I769">
        <v>3595</v>
      </c>
      <c r="K769" t="s">
        <v>3254</v>
      </c>
      <c r="L769" t="str">
        <f t="shared" si="147"/>
        <v>"id":"s751",</v>
      </c>
      <c r="M769" t="str">
        <v>"cate":"Resistor ",</v>
      </c>
      <c r="N769" t="str">
        <v>"des":"RST 8,2K 1/8W 1%805",</v>
      </c>
      <c r="O769" t="str">
        <v>"mfg":"YAGEO",</v>
      </c>
      <c r="P769" t="str">
        <v>"pn":"RC0805FR-078K2L",</v>
      </c>
      <c r="Q769" t="str">
        <v>"qty":3711</v>
      </c>
      <c r="S769" t="s">
        <v>2498</v>
      </c>
      <c r="T769" t="str">
        <f t="shared" si="148"/>
        <v>"id":"s751","cate":"Resistor ","des":"RST 8,2K 1/8W 1%805","mfg":"YAGEO","pn":"RC0805FR-078K2L","qty":3711</v>
      </c>
      <c r="U769" t="s">
        <v>2503</v>
      </c>
    </row>
    <row r="770" spans="5:21" x14ac:dyDescent="0.25">
      <c r="E770" t="s">
        <v>2193</v>
      </c>
      <c r="F770" t="s">
        <v>1073</v>
      </c>
      <c r="G770" t="s">
        <v>37</v>
      </c>
      <c r="H770" t="s">
        <v>1074</v>
      </c>
      <c r="I770">
        <v>3593</v>
      </c>
      <c r="K770" t="s">
        <v>3255</v>
      </c>
      <c r="L770" t="str">
        <f t="shared" si="147"/>
        <v>"id":"s752",</v>
      </c>
      <c r="M770" t="str">
        <v>"cate":"Resistor ",</v>
      </c>
      <c r="N770" t="str">
        <v>"des":"RST 8,2K 1/8W 1%805",</v>
      </c>
      <c r="O770" t="str">
        <v>"mfg":"ROYAL OHM",</v>
      </c>
      <c r="P770" t="str">
        <v>"pn":"0805W8F8201T5E",</v>
      </c>
      <c r="Q770" t="str">
        <v>"qty":3711</v>
      </c>
      <c r="S770" t="s">
        <v>2498</v>
      </c>
      <c r="T770" t="str">
        <f t="shared" si="148"/>
        <v>"id":"s752","cate":"Resistor ","des":"RST 8,2K 1/8W 1%805","mfg":"ROYAL OHM","pn":"0805W8F8201T5E","qty":3711</v>
      </c>
      <c r="U770" t="s">
        <v>2503</v>
      </c>
    </row>
    <row r="771" spans="5:21" x14ac:dyDescent="0.25">
      <c r="E771" t="s">
        <v>2193</v>
      </c>
      <c r="F771" t="s">
        <v>1075</v>
      </c>
      <c r="G771" t="s">
        <v>320</v>
      </c>
      <c r="H771" t="s">
        <v>1076</v>
      </c>
      <c r="I771">
        <v>3590</v>
      </c>
      <c r="K771" t="s">
        <v>3256</v>
      </c>
      <c r="L771" t="str">
        <f t="shared" si="147"/>
        <v>"id":"s753",</v>
      </c>
      <c r="M771" t="str">
        <v>"cate":"Resistor ",</v>
      </c>
      <c r="N771" t="str">
        <v>"des":"RST 220R 0,1W1%603B",</v>
      </c>
      <c r="O771" t="str">
        <v>"mfg":"YAGEO",</v>
      </c>
      <c r="P771" t="str">
        <v>"pn":"RC0603FR-07220RL",</v>
      </c>
      <c r="Q771" t="str">
        <v>"qty":3703</v>
      </c>
      <c r="S771" t="s">
        <v>2498</v>
      </c>
      <c r="T771" t="str">
        <f t="shared" si="148"/>
        <v>"id":"s753","cate":"Resistor ","des":"RST 220R 0,1W1%603B","mfg":"YAGEO","pn":"RC0603FR-07220RL","qty":3703</v>
      </c>
      <c r="U771" t="s">
        <v>2503</v>
      </c>
    </row>
    <row r="772" spans="5:21" x14ac:dyDescent="0.25">
      <c r="E772" t="s">
        <v>2193</v>
      </c>
      <c r="F772" t="s">
        <v>1077</v>
      </c>
      <c r="G772" t="s">
        <v>176</v>
      </c>
      <c r="H772" t="s">
        <v>1078</v>
      </c>
      <c r="I772">
        <v>3584</v>
      </c>
      <c r="K772" t="s">
        <v>3257</v>
      </c>
      <c r="L772" t="str">
        <f t="shared" si="147"/>
        <v>"id":"s754",</v>
      </c>
      <c r="M772" t="str">
        <v>"cate":"Capacitor",</v>
      </c>
      <c r="N772" t="str">
        <v>"des":"Capacitor 10UF/25V20%603",</v>
      </c>
      <c r="O772" t="str">
        <v>"mfg":"KEMET",</v>
      </c>
      <c r="P772" t="str">
        <v>"pn":"C0603C106M9PACTU",</v>
      </c>
      <c r="Q772" t="str">
        <v>"qty":3700</v>
      </c>
      <c r="S772" t="s">
        <v>2498</v>
      </c>
      <c r="T772" t="str">
        <f t="shared" si="148"/>
        <v>"id":"s754","cate":"Capacitor","des":"Capacitor 10UF/25V20%603","mfg":"KEMET","pn":"C0603C106M9PACTU","qty":3700</v>
      </c>
      <c r="U772" t="s">
        <v>2503</v>
      </c>
    </row>
    <row r="773" spans="5:21" x14ac:dyDescent="0.25">
      <c r="E773" t="s">
        <v>2194</v>
      </c>
      <c r="F773" t="s">
        <v>2282</v>
      </c>
      <c r="G773" t="s">
        <v>45</v>
      </c>
      <c r="H773" t="s">
        <v>1079</v>
      </c>
      <c r="I773">
        <v>3582</v>
      </c>
      <c r="K773" t="s">
        <v>3258</v>
      </c>
      <c r="L773" t="str">
        <f t="shared" si="147"/>
        <v>"id":"s755",</v>
      </c>
      <c r="M773" t="str">
        <v>"cate":"Capacitor",</v>
      </c>
      <c r="N773" t="str">
        <v>"des":"Capacitor 10UF/25V20%603",</v>
      </c>
      <c r="O773" t="str">
        <v>"mfg":"SAMSUNG",</v>
      </c>
      <c r="P773" t="str">
        <v>"pn":"CL10A106MQ8NNNC",</v>
      </c>
      <c r="Q773" t="str">
        <v>"qty":3700</v>
      </c>
      <c r="S773" t="s">
        <v>2498</v>
      </c>
      <c r="T773" t="str">
        <f t="shared" si="148"/>
        <v>"id":"s755","cate":"Capacitor","des":"Capacitor 10UF/25V20%603","mfg":"SAMSUNG","pn":"CL10A106MQ8NNNC","qty":3700</v>
      </c>
      <c r="U773" t="s">
        <v>2503</v>
      </c>
    </row>
    <row r="774" spans="5:21" x14ac:dyDescent="0.25">
      <c r="E774" t="s">
        <v>2194</v>
      </c>
      <c r="F774" t="s">
        <v>2282</v>
      </c>
      <c r="G774" t="s">
        <v>45</v>
      </c>
      <c r="H774" t="s">
        <v>1080</v>
      </c>
      <c r="I774">
        <v>3582</v>
      </c>
      <c r="K774" t="s">
        <v>3259</v>
      </c>
      <c r="L774" t="str">
        <f t="shared" si="147"/>
        <v>"id":"s756",</v>
      </c>
      <c r="M774" t="str">
        <v>"cate":"Choke Coil",</v>
      </c>
      <c r="N774" t="str">
        <v>"des":"Choke CoilE 330OHM 2,5A",</v>
      </c>
      <c r="O774" t="str">
        <v>"mfg":"EPCOS/TDK",</v>
      </c>
      <c r="P774" t="str">
        <v>"pn":"MPZ2012S331AT000",</v>
      </c>
      <c r="Q774" t="str">
        <v>"qty":3676</v>
      </c>
      <c r="S774" t="s">
        <v>2498</v>
      </c>
      <c r="T774" t="str">
        <f t="shared" si="148"/>
        <v>"id":"s756","cate":"Choke Coil","des":"Choke CoilE 330OHM 2,5A","mfg":"EPCOS/TDK","pn":"MPZ2012S331AT000","qty":3676</v>
      </c>
      <c r="U774" t="s">
        <v>2503</v>
      </c>
    </row>
    <row r="775" spans="5:21" x14ac:dyDescent="0.25">
      <c r="E775" t="s">
        <v>2194</v>
      </c>
      <c r="F775" t="s">
        <v>2282</v>
      </c>
      <c r="G775" t="s">
        <v>45</v>
      </c>
      <c r="H775" t="s">
        <v>1081</v>
      </c>
      <c r="I775">
        <v>3582</v>
      </c>
      <c r="K775" t="s">
        <v>3260</v>
      </c>
      <c r="L775" t="str">
        <f t="shared" si="147"/>
        <v>"id":"s757",</v>
      </c>
      <c r="M775" t="str">
        <v>"cate":"FUSE",</v>
      </c>
      <c r="N775" t="str">
        <v>"des":"FUSE 80A 250V",</v>
      </c>
      <c r="O775" t="str">
        <v>"mfg":"EATON",</v>
      </c>
      <c r="P775" t="str">
        <v>"pn":"80LET",</v>
      </c>
      <c r="Q775" t="str">
        <v>"qty":3664</v>
      </c>
      <c r="S775" t="s">
        <v>2498</v>
      </c>
      <c r="T775" t="str">
        <f t="shared" si="148"/>
        <v>"id":"s757","cate":"FUSE","des":"FUSE 80A 250V","mfg":"EATON","pn":"80LET","qty":3664</v>
      </c>
      <c r="U775" t="s">
        <v>2503</v>
      </c>
    </row>
    <row r="776" spans="5:21" x14ac:dyDescent="0.25">
      <c r="E776" t="s">
        <v>2194</v>
      </c>
      <c r="F776" t="s">
        <v>2282</v>
      </c>
      <c r="G776" t="s">
        <v>45</v>
      </c>
      <c r="H776" t="s">
        <v>1082</v>
      </c>
      <c r="I776">
        <v>3582</v>
      </c>
      <c r="K776" t="s">
        <v>3261</v>
      </c>
      <c r="L776" t="str">
        <f t="shared" si="147"/>
        <v>"id":"s758",</v>
      </c>
      <c r="M776" t="str">
        <v>"cate":"Resistor ",</v>
      </c>
      <c r="N776" t="str">
        <v>"des":"RST 220 1/4W 5%1206",</v>
      </c>
      <c r="O776" t="str">
        <v>"mfg":"WALSIN",</v>
      </c>
      <c r="P776" t="str">
        <v>"pn":"WR12X221JTL",</v>
      </c>
      <c r="Q776" t="str">
        <v>"qty":3654</v>
      </c>
      <c r="S776" t="s">
        <v>2498</v>
      </c>
      <c r="T776" t="str">
        <f t="shared" si="148"/>
        <v>"id":"s758","cate":"Resistor ","des":"RST 220 1/4W 5%1206","mfg":"WALSIN","pn":"WR12X221JTL","qty":3654</v>
      </c>
      <c r="U776" t="s">
        <v>2503</v>
      </c>
    </row>
    <row r="777" spans="5:21" x14ac:dyDescent="0.25">
      <c r="E777" t="s">
        <v>2474</v>
      </c>
      <c r="F777" t="s">
        <v>2479</v>
      </c>
      <c r="G777" t="s">
        <v>37</v>
      </c>
      <c r="H777" t="s">
        <v>1083</v>
      </c>
      <c r="I777">
        <v>3556</v>
      </c>
      <c r="K777" t="s">
        <v>3262</v>
      </c>
      <c r="L777" t="str">
        <f t="shared" si="147"/>
        <v>"id":"s759",</v>
      </c>
      <c r="M777" t="str">
        <v>"cate":"Resistor ",</v>
      </c>
      <c r="N777" t="str">
        <v>"des":"RST 1K 2W 5% 2512",</v>
      </c>
      <c r="O777" t="str">
        <v>"mfg":"YAGEO",</v>
      </c>
      <c r="P777" t="str">
        <v>"pn":"SR2512JK-7W1KL",</v>
      </c>
      <c r="Q777" t="str">
        <v>"qty":3619</v>
      </c>
      <c r="S777" t="s">
        <v>2498</v>
      </c>
      <c r="T777" t="str">
        <f t="shared" si="148"/>
        <v>"id":"s759","cate":"Resistor ","des":"RST 1K 2W 5% 2512","mfg":"YAGEO","pn":"SR2512JK-7W1KL","qty":3619</v>
      </c>
      <c r="U777" t="s">
        <v>2503</v>
      </c>
    </row>
    <row r="778" spans="5:21" x14ac:dyDescent="0.25">
      <c r="E778" t="s">
        <v>2474</v>
      </c>
      <c r="F778" t="s">
        <v>2479</v>
      </c>
      <c r="G778" t="s">
        <v>37</v>
      </c>
      <c r="H778" t="s">
        <v>1084</v>
      </c>
      <c r="I778">
        <v>3556</v>
      </c>
      <c r="K778" t="s">
        <v>3263</v>
      </c>
      <c r="L778" t="str">
        <f t="shared" si="147"/>
        <v>"id":"s760",</v>
      </c>
      <c r="M778" t="str">
        <v>"cate":"Resistor ",</v>
      </c>
      <c r="N778" t="str">
        <v>"des":"RST 1K 2W 5% 2512",</v>
      </c>
      <c r="O778" t="str">
        <v>"mfg":"ROYAL OHM",</v>
      </c>
      <c r="P778" t="str">
        <v>"pn":"AS122WJ0102T4E",</v>
      </c>
      <c r="Q778" t="str">
        <v>"qty":3619</v>
      </c>
      <c r="S778" t="s">
        <v>2498</v>
      </c>
      <c r="T778" t="str">
        <f t="shared" si="148"/>
        <v>"id":"s760","cate":"Resistor ","des":"RST 1K 2W 5% 2512","mfg":"ROYAL OHM","pn":"AS122WJ0102T4E","qty":3619</v>
      </c>
      <c r="U778" t="s">
        <v>2503</v>
      </c>
    </row>
    <row r="779" spans="5:21" x14ac:dyDescent="0.25">
      <c r="E779" s="6" t="s">
        <v>2495</v>
      </c>
      <c r="F779" t="s">
        <v>1085</v>
      </c>
      <c r="G779" t="s">
        <v>678</v>
      </c>
      <c r="H779" t="s">
        <v>1086</v>
      </c>
      <c r="I779">
        <v>3544</v>
      </c>
      <c r="K779" t="s">
        <v>3264</v>
      </c>
      <c r="L779" t="str">
        <f t="shared" si="147"/>
        <v>"id":"s761",</v>
      </c>
      <c r="M779" t="str">
        <v>"cate":"Resistor ",</v>
      </c>
      <c r="N779" t="str">
        <v>"des":"RST 1K 2W 5% 2512",</v>
      </c>
      <c r="O779" t="str">
        <v>"mfg":"ROYAL OHM",</v>
      </c>
      <c r="P779" t="str">
        <v>"pn":"HP122WJ0102T4E",</v>
      </c>
      <c r="Q779" t="str">
        <v>"qty":3619</v>
      </c>
      <c r="S779" t="s">
        <v>2498</v>
      </c>
      <c r="T779" t="str">
        <f t="shared" si="148"/>
        <v>"id":"s761","cate":"Resistor ","des":"RST 1K 2W 5% 2512","mfg":"ROYAL OHM","pn":"HP122WJ0102T4E","qty":3619</v>
      </c>
      <c r="U779" t="s">
        <v>2503</v>
      </c>
    </row>
    <row r="780" spans="5:21" x14ac:dyDescent="0.25">
      <c r="E780" s="6" t="s">
        <v>2495</v>
      </c>
      <c r="F780" t="s">
        <v>1085</v>
      </c>
      <c r="G780" t="s">
        <v>678</v>
      </c>
      <c r="H780" t="s">
        <v>1087</v>
      </c>
      <c r="I780">
        <v>3544</v>
      </c>
      <c r="K780" t="s">
        <v>3265</v>
      </c>
      <c r="L780" t="str">
        <f t="shared" si="147"/>
        <v>"id":"s762",</v>
      </c>
      <c r="M780" t="str">
        <v>"cate":"Resistor ",</v>
      </c>
      <c r="N780" t="str">
        <v>"des":"RST 82K5 1/4W1%206A",</v>
      </c>
      <c r="O780" t="str">
        <v>"mfg":"YAGEO",</v>
      </c>
      <c r="P780" t="str">
        <v>"pn":"RC1206FR-(**)82K5L",</v>
      </c>
      <c r="Q780" t="str">
        <v>"qty":3595</v>
      </c>
      <c r="S780" t="s">
        <v>2498</v>
      </c>
      <c r="T780" t="str">
        <f t="shared" si="148"/>
        <v>"id":"s762","cate":"Resistor ","des":"RST 82K5 1/4W1%206A","mfg":"YAGEO","pn":"RC1206FR-(**)82K5L","qty":3595</v>
      </c>
      <c r="U780" t="s">
        <v>2503</v>
      </c>
    </row>
    <row r="781" spans="5:21" x14ac:dyDescent="0.25">
      <c r="E781" t="s">
        <v>2193</v>
      </c>
      <c r="F781" t="s">
        <v>1088</v>
      </c>
      <c r="G781" t="s">
        <v>176</v>
      </c>
      <c r="H781" t="s">
        <v>1089</v>
      </c>
      <c r="I781">
        <v>3539</v>
      </c>
      <c r="K781" t="s">
        <v>3266</v>
      </c>
      <c r="L781" t="str">
        <f t="shared" si="147"/>
        <v>"id":"s763",</v>
      </c>
      <c r="M781" t="str">
        <v>"cate":"Resistor ",</v>
      </c>
      <c r="N781" t="str">
        <v>"des":"RST 82K5 1/4W1%206A",</v>
      </c>
      <c r="O781" t="str">
        <v>"mfg":"YAGEO",</v>
      </c>
      <c r="P781" t="str">
        <v>"pn":"RC1206FR-0782K5L",</v>
      </c>
      <c r="Q781" t="str">
        <v>"qty":3595</v>
      </c>
      <c r="S781" t="s">
        <v>2498</v>
      </c>
      <c r="T781" t="str">
        <f t="shared" si="148"/>
        <v>"id":"s763","cate":"Resistor ","des":"RST 82K5 1/4W1%206A","mfg":"YAGEO","pn":"RC1206FR-0782K5L","qty":3595</v>
      </c>
      <c r="U781" t="s">
        <v>2503</v>
      </c>
    </row>
    <row r="782" spans="5:21" x14ac:dyDescent="0.25">
      <c r="E782" t="s">
        <v>2193</v>
      </c>
      <c r="F782" t="s">
        <v>1088</v>
      </c>
      <c r="G782" t="s">
        <v>320</v>
      </c>
      <c r="H782" t="s">
        <v>1090</v>
      </c>
      <c r="I782">
        <v>3539</v>
      </c>
      <c r="K782" t="s">
        <v>3267</v>
      </c>
      <c r="L782" t="str">
        <f t="shared" si="147"/>
        <v>"id":"s764",</v>
      </c>
      <c r="M782" t="str">
        <v>"cate":"Resistor ",</v>
      </c>
      <c r="N782" t="str">
        <v>"des":"RST 82K5 1/4W1%206A",</v>
      </c>
      <c r="O782" t="str">
        <v>"mfg":"WALSIN",</v>
      </c>
      <c r="P782" t="str">
        <v>"pn":"WR12X8252FTL",</v>
      </c>
      <c r="Q782" t="str">
        <v>"qty":3595</v>
      </c>
      <c r="S782" t="s">
        <v>2498</v>
      </c>
      <c r="T782" t="str">
        <f t="shared" si="148"/>
        <v>"id":"s764","cate":"Resistor ","des":"RST 82K5 1/4W1%206A","mfg":"WALSIN","pn":"WR12X8252FTL","qty":3595</v>
      </c>
      <c r="U782" t="s">
        <v>2503</v>
      </c>
    </row>
    <row r="783" spans="5:21" x14ac:dyDescent="0.25">
      <c r="E783" t="s">
        <v>2193</v>
      </c>
      <c r="F783" t="s">
        <v>1088</v>
      </c>
      <c r="G783" t="s">
        <v>207</v>
      </c>
      <c r="H783" t="s">
        <v>1091</v>
      </c>
      <c r="I783">
        <v>3539</v>
      </c>
      <c r="K783" t="s">
        <v>3268</v>
      </c>
      <c r="L783" t="str">
        <f t="shared" si="147"/>
        <v>"id":"s765",</v>
      </c>
      <c r="M783" t="str">
        <v>"cate":"Resistor ",</v>
      </c>
      <c r="N783" t="str">
        <v>"des":"RST 60R4 1/4W1%1206",</v>
      </c>
      <c r="O783" t="str">
        <v>"mfg":"VISHAY",</v>
      </c>
      <c r="P783" t="str">
        <v>"pn":"CRCW120660R4FKEA",</v>
      </c>
      <c r="Q783" t="str">
        <v>"qty":3593</v>
      </c>
      <c r="S783" t="s">
        <v>2498</v>
      </c>
      <c r="T783" t="str">
        <f t="shared" si="148"/>
        <v>"id":"s765","cate":"Resistor ","des":"RST 60R4 1/4W1%1206","mfg":"VISHAY","pn":"CRCW120660R4FKEA","qty":3593</v>
      </c>
      <c r="U783" t="s">
        <v>2503</v>
      </c>
    </row>
    <row r="784" spans="5:21" x14ac:dyDescent="0.25">
      <c r="E784" t="s">
        <v>2193</v>
      </c>
      <c r="F784" t="s">
        <v>1092</v>
      </c>
      <c r="G784" t="s">
        <v>13</v>
      </c>
      <c r="H784" t="s">
        <v>1093</v>
      </c>
      <c r="I784">
        <v>3536</v>
      </c>
      <c r="K784" t="s">
        <v>3269</v>
      </c>
      <c r="L784" t="str">
        <f t="shared" si="147"/>
        <v>"id":"s766",</v>
      </c>
      <c r="M784" t="str">
        <v>"cate":"Resistor ",</v>
      </c>
      <c r="N784" t="str">
        <v>"des":"RST 22K 0,1W1%603A",</v>
      </c>
      <c r="O784" t="str">
        <v>"mfg":"ROYAL OHM",</v>
      </c>
      <c r="P784" t="str">
        <v>"pn":"0603WAF2202T5E",</v>
      </c>
      <c r="Q784" t="str">
        <v>"qty":3590</v>
      </c>
      <c r="S784" t="s">
        <v>2498</v>
      </c>
      <c r="T784" t="str">
        <f t="shared" si="148"/>
        <v>"id":"s766","cate":"Resistor ","des":"RST 22K 0,1W1%603A","mfg":"ROYAL OHM","pn":"0603WAF2202T5E","qty":3590</v>
      </c>
      <c r="U784" t="s">
        <v>2503</v>
      </c>
    </row>
    <row r="785" spans="5:21" x14ac:dyDescent="0.25">
      <c r="E785" t="s">
        <v>2193</v>
      </c>
      <c r="F785" t="s">
        <v>1092</v>
      </c>
      <c r="G785" t="s">
        <v>37</v>
      </c>
      <c r="H785" t="s">
        <v>1094</v>
      </c>
      <c r="I785">
        <v>3536</v>
      </c>
      <c r="K785" t="s">
        <v>3270</v>
      </c>
      <c r="L785" t="str">
        <f t="shared" si="147"/>
        <v>"id":"s767",</v>
      </c>
      <c r="M785" t="str">
        <v>"cate":"Resistor ",</v>
      </c>
      <c r="N785" t="str">
        <v>"des":"RST 30K1 ,1W ,1%603",</v>
      </c>
      <c r="O785" t="str">
        <v>"mfg":"PANASONIC",</v>
      </c>
      <c r="P785" t="str">
        <v>"pn":"ERA-3ARB3012V",</v>
      </c>
      <c r="Q785" t="str">
        <v>"qty":3584</v>
      </c>
      <c r="S785" t="s">
        <v>2498</v>
      </c>
      <c r="T785" t="str">
        <f t="shared" si="148"/>
        <v>"id":"s767","cate":"Resistor ","des":"RST 30K1 ,1W ,1%603","mfg":"PANASONIC","pn":"ERA-3ARB3012V","qty":3584</v>
      </c>
      <c r="U785" t="s">
        <v>2503</v>
      </c>
    </row>
    <row r="786" spans="5:21" x14ac:dyDescent="0.25">
      <c r="E786" t="s">
        <v>2193</v>
      </c>
      <c r="F786" t="s">
        <v>1092</v>
      </c>
      <c r="G786" t="s">
        <v>356</v>
      </c>
      <c r="H786" t="s">
        <v>1095</v>
      </c>
      <c r="I786">
        <v>3536</v>
      </c>
      <c r="K786" t="s">
        <v>3271</v>
      </c>
      <c r="L786" t="str">
        <f t="shared" si="147"/>
        <v>"id":"s768",</v>
      </c>
      <c r="M786" t="str">
        <v>"cate":"Capacitor",</v>
      </c>
      <c r="N786" t="str">
        <v>"des":"Capacitor 47NF/300V 20%2",</v>
      </c>
      <c r="O786" t="str">
        <v>"mfg":"EPCOS/TDK",</v>
      </c>
      <c r="P786" t="str">
        <v>"pn":"B32022B3473M",</v>
      </c>
      <c r="Q786" t="str">
        <v>"qty":3582</v>
      </c>
      <c r="S786" t="s">
        <v>2498</v>
      </c>
      <c r="T786" t="str">
        <f t="shared" si="148"/>
        <v>"id":"s768","cate":"Capacitor","des":"Capacitor 47NF/300V 20%2","mfg":"EPCOS/TDK","pn":"B32022B3473M","qty":3582</v>
      </c>
      <c r="U786" t="s">
        <v>2503</v>
      </c>
    </row>
    <row r="787" spans="5:21" x14ac:dyDescent="0.25">
      <c r="E787" t="s">
        <v>2193</v>
      </c>
      <c r="F787" t="s">
        <v>1092</v>
      </c>
      <c r="G787" t="s">
        <v>89</v>
      </c>
      <c r="H787" t="s">
        <v>1096</v>
      </c>
      <c r="I787">
        <v>3536</v>
      </c>
      <c r="K787" t="s">
        <v>3272</v>
      </c>
      <c r="L787" t="str">
        <f t="shared" si="147"/>
        <v>"id":"s769",</v>
      </c>
      <c r="M787" t="str">
        <v>"cate":"Capacitor",</v>
      </c>
      <c r="N787" t="str">
        <v>"des":"Capacitor 47NF/300V 20%2",</v>
      </c>
      <c r="O787" t="str">
        <v>"mfg":"EPCOS/TDK",</v>
      </c>
      <c r="P787" t="str">
        <v>"pn":"B32022B3473M  4N 1",</v>
      </c>
      <c r="Q787" t="str">
        <v>"qty":3582</v>
      </c>
      <c r="S787" t="s">
        <v>2498</v>
      </c>
      <c r="T787" t="str">
        <f t="shared" si="148"/>
        <v>"id":"s769","cate":"Capacitor","des":"Capacitor 47NF/300V 20%2","mfg":"EPCOS/TDK","pn":"B32022B3473M  4N 1","qty":3582</v>
      </c>
      <c r="U787" t="s">
        <v>2503</v>
      </c>
    </row>
    <row r="788" spans="5:21" x14ac:dyDescent="0.25">
      <c r="E788" t="s">
        <v>2193</v>
      </c>
      <c r="F788" t="s">
        <v>1097</v>
      </c>
      <c r="G788" t="s">
        <v>37</v>
      </c>
      <c r="H788" t="s">
        <v>1098</v>
      </c>
      <c r="I788">
        <v>3534</v>
      </c>
      <c r="K788" t="s">
        <v>3273</v>
      </c>
      <c r="L788" t="str">
        <f t="shared" ref="L788:L851" si="149">_xlfn.CONCAT("""","id","""",":","""",K788,"""",",")</f>
        <v>"id":"s770",</v>
      </c>
      <c r="M788" t="str">
        <v>"cate":"Capacitor",</v>
      </c>
      <c r="N788" t="str">
        <v>"des":"Capacitor 47NF/300V 20%2",</v>
      </c>
      <c r="O788" t="str">
        <v>"mfg":"EPCOS/TDK",</v>
      </c>
      <c r="P788" t="str">
        <v>"pn":"B32022B3473M000",</v>
      </c>
      <c r="Q788" t="str">
        <v>"qty":3582</v>
      </c>
      <c r="S788" t="s">
        <v>2498</v>
      </c>
      <c r="T788" t="str">
        <f t="shared" ref="T788:T851" si="150">_xlfn.CONCAT(L788:Q788)</f>
        <v>"id":"s770","cate":"Capacitor","des":"Capacitor 47NF/300V 20%2","mfg":"EPCOS/TDK","pn":"B32022B3473M000","qty":3582</v>
      </c>
      <c r="U788" t="s">
        <v>2503</v>
      </c>
    </row>
    <row r="789" spans="5:21" x14ac:dyDescent="0.25">
      <c r="E789" t="s">
        <v>2193</v>
      </c>
      <c r="F789" t="s">
        <v>1099</v>
      </c>
      <c r="G789" t="s">
        <v>37</v>
      </c>
      <c r="H789" t="s">
        <v>1100</v>
      </c>
      <c r="I789">
        <v>3525</v>
      </c>
      <c r="K789" t="s">
        <v>3274</v>
      </c>
      <c r="L789" t="str">
        <f t="shared" si="149"/>
        <v>"id":"s771",</v>
      </c>
      <c r="M789" t="str">
        <v>"cate":"Capacitor",</v>
      </c>
      <c r="N789" t="str">
        <v>"des":"Capacitor 47NF/300V 20%2",</v>
      </c>
      <c r="O789" t="str">
        <v>"mfg":"EPCOS/TDK",</v>
      </c>
      <c r="P789" t="str">
        <v>"pn":"B32022B3473M189",</v>
      </c>
      <c r="Q789" t="str">
        <v>"qty":3582</v>
      </c>
      <c r="S789" t="s">
        <v>2498</v>
      </c>
      <c r="T789" t="str">
        <f t="shared" si="150"/>
        <v>"id":"s771","cate":"Capacitor","des":"Capacitor 47NF/300V 20%2","mfg":"EPCOS/TDK","pn":"B32022B3473M189","qty":3582</v>
      </c>
      <c r="U789" t="s">
        <v>2503</v>
      </c>
    </row>
    <row r="790" spans="5:21" x14ac:dyDescent="0.25">
      <c r="E790" t="s">
        <v>2193</v>
      </c>
      <c r="F790" t="s">
        <v>1099</v>
      </c>
      <c r="G790" t="s">
        <v>37</v>
      </c>
      <c r="H790" t="s">
        <v>1101</v>
      </c>
      <c r="I790">
        <v>3525</v>
      </c>
      <c r="K790" t="s">
        <v>3275</v>
      </c>
      <c r="L790" t="str">
        <f t="shared" si="149"/>
        <v>"id":"s772",</v>
      </c>
      <c r="M790" t="str">
        <v>"cate":"MOSFET",</v>
      </c>
      <c r="N790" t="str">
        <v>"des":"MOSFETET SI2301",</v>
      </c>
      <c r="O790" t="str">
        <v>"mfg":"VISHAY",</v>
      </c>
      <c r="P790" t="str">
        <v>"pn":"SI2301CDS-T1-E3",</v>
      </c>
      <c r="Q790" t="str">
        <v>"qty":3556</v>
      </c>
      <c r="S790" t="s">
        <v>2498</v>
      </c>
      <c r="T790" t="str">
        <f t="shared" si="150"/>
        <v>"id":"s772","cate":"MOSFET","des":"MOSFETET SI2301","mfg":"VISHAY","pn":"SI2301CDS-T1-E3","qty":3556</v>
      </c>
      <c r="U790" t="s">
        <v>2503</v>
      </c>
    </row>
    <row r="791" spans="5:21" x14ac:dyDescent="0.25">
      <c r="E791" t="s">
        <v>2193</v>
      </c>
      <c r="F791" t="s">
        <v>1099</v>
      </c>
      <c r="G791" t="s">
        <v>320</v>
      </c>
      <c r="H791" t="s">
        <v>1102</v>
      </c>
      <c r="I791">
        <v>3525</v>
      </c>
      <c r="K791" t="s">
        <v>3276</v>
      </c>
      <c r="L791" t="str">
        <f t="shared" si="149"/>
        <v>"id":"s773",</v>
      </c>
      <c r="M791" t="str">
        <v>"cate":"MOSFET",</v>
      </c>
      <c r="N791" t="str">
        <v>"des":"MOSFETET SI2301",</v>
      </c>
      <c r="O791" t="str">
        <v>"mfg":"VISHAY",</v>
      </c>
      <c r="P791" t="str">
        <v>"pn":"SI2301CDS-T1-GE3",</v>
      </c>
      <c r="Q791" t="str">
        <v>"qty":3556</v>
      </c>
      <c r="S791" t="s">
        <v>2498</v>
      </c>
      <c r="T791" t="str">
        <f t="shared" si="150"/>
        <v>"id":"s773","cate":"MOSFET","des":"MOSFETET SI2301","mfg":"VISHAY","pn":"SI2301CDS-T1-GE3","qty":3556</v>
      </c>
      <c r="U791" t="s">
        <v>2503</v>
      </c>
    </row>
    <row r="792" spans="5:21" x14ac:dyDescent="0.25">
      <c r="E792" t="s">
        <v>2193</v>
      </c>
      <c r="F792" t="s">
        <v>1099</v>
      </c>
      <c r="G792" t="s">
        <v>10</v>
      </c>
      <c r="H792" t="s">
        <v>1103</v>
      </c>
      <c r="I792">
        <v>3525</v>
      </c>
      <c r="K792" t="s">
        <v>3277</v>
      </c>
      <c r="L792" t="str">
        <f t="shared" si="149"/>
        <v>"id":"s774",</v>
      </c>
      <c r="M792" t="str">
        <v>"cate":"Terminal",</v>
      </c>
      <c r="N792" t="str">
        <v>"des":"CNT 1774030",</v>
      </c>
      <c r="O792" t="str">
        <v>"mfg":"PHOENIX CONTACT",</v>
      </c>
      <c r="P792" t="str">
        <v>"pn":"MKDSP 10N/ 2-10,16",</v>
      </c>
      <c r="Q792" t="str">
        <v>"qty":3544</v>
      </c>
      <c r="S792" t="s">
        <v>2498</v>
      </c>
      <c r="T792" t="str">
        <f t="shared" si="150"/>
        <v>"id":"s774","cate":"Terminal","des":"CNT 1774030","mfg":"PHOENIX CONTACT","pn":"MKDSP 10N/ 2-10,16","qty":3544</v>
      </c>
      <c r="U792" t="s">
        <v>2503</v>
      </c>
    </row>
    <row r="793" spans="5:21" x14ac:dyDescent="0.25">
      <c r="E793" t="s">
        <v>2193</v>
      </c>
      <c r="F793" t="s">
        <v>1099</v>
      </c>
      <c r="G793" t="s">
        <v>89</v>
      </c>
      <c r="H793" t="s">
        <v>1104</v>
      </c>
      <c r="I793">
        <v>3525</v>
      </c>
      <c r="K793" t="s">
        <v>3278</v>
      </c>
      <c r="L793" t="str">
        <f t="shared" si="149"/>
        <v>"id":"s775",</v>
      </c>
      <c r="M793" t="str">
        <v>"cate":"Terminal",</v>
      </c>
      <c r="N793" t="str">
        <v>"des":"CNT 1774030",</v>
      </c>
      <c r="O793" t="str">
        <v>"mfg":"PHOENIX CONTACT",</v>
      </c>
      <c r="P793" t="str">
        <v>"pn":"MKDSP10N/2-10,16GY",</v>
      </c>
      <c r="Q793" t="str">
        <v>"qty":3544</v>
      </c>
      <c r="S793" t="s">
        <v>2498</v>
      </c>
      <c r="T793" t="str">
        <f t="shared" si="150"/>
        <v>"id":"s775","cate":"Terminal","des":"CNT 1774030","mfg":"PHOENIX CONTACT","pn":"MKDSP10N/2-10,16GY","qty":3544</v>
      </c>
      <c r="U793" t="s">
        <v>2503</v>
      </c>
    </row>
    <row r="794" spans="5:21" x14ac:dyDescent="0.25">
      <c r="E794" t="s">
        <v>2193</v>
      </c>
      <c r="F794" t="s">
        <v>1105</v>
      </c>
      <c r="G794" t="s">
        <v>946</v>
      </c>
      <c r="H794" t="s">
        <v>1106</v>
      </c>
      <c r="I794">
        <v>3520</v>
      </c>
      <c r="K794" t="s">
        <v>3279</v>
      </c>
      <c r="L794" t="str">
        <f t="shared" si="149"/>
        <v>"id":"s776",</v>
      </c>
      <c r="M794" t="str">
        <v>"cate":"Resistor ",</v>
      </c>
      <c r="N794" t="str">
        <v>"des":"RST 1,5K 1/8W1%0805",</v>
      </c>
      <c r="O794" t="str">
        <v>"mfg":"PANASONIC",</v>
      </c>
      <c r="P794" t="str">
        <v>"pn":"ERJ-6ENF1501V",</v>
      </c>
      <c r="Q794" t="str">
        <v>"qty":3539</v>
      </c>
      <c r="S794" t="s">
        <v>2498</v>
      </c>
      <c r="T794" t="str">
        <f t="shared" si="150"/>
        <v>"id":"s776","cate":"Resistor ","des":"RST 1,5K 1/8W1%0805","mfg":"PANASONIC","pn":"ERJ-6ENF1501V","qty":3539</v>
      </c>
      <c r="U794" t="s">
        <v>2503</v>
      </c>
    </row>
    <row r="795" spans="5:21" x14ac:dyDescent="0.25">
      <c r="E795" t="s">
        <v>2193</v>
      </c>
      <c r="F795" t="s">
        <v>1105</v>
      </c>
      <c r="G795" t="s">
        <v>320</v>
      </c>
      <c r="H795" t="s">
        <v>1107</v>
      </c>
      <c r="I795">
        <v>3520</v>
      </c>
      <c r="K795" t="s">
        <v>3280</v>
      </c>
      <c r="L795" t="str">
        <f t="shared" si="149"/>
        <v>"id":"s777",</v>
      </c>
      <c r="M795" t="str">
        <v>"cate":"Resistor ",</v>
      </c>
      <c r="N795" t="str">
        <v>"des":"RST 1,5K 1/8W1%0805",</v>
      </c>
      <c r="O795" t="str">
        <v>"mfg":"ROYAL OHM",</v>
      </c>
      <c r="P795" t="str">
        <v>"pn":"0805W8F1501T5E",</v>
      </c>
      <c r="Q795" t="str">
        <v>"qty":3539</v>
      </c>
      <c r="S795" t="s">
        <v>2498</v>
      </c>
      <c r="T795" t="str">
        <f t="shared" si="150"/>
        <v>"id":"s777","cate":"Resistor ","des":"RST 1,5K 1/8W1%0805","mfg":"ROYAL OHM","pn":"0805W8F1501T5E","qty":3539</v>
      </c>
      <c r="U795" t="s">
        <v>2503</v>
      </c>
    </row>
    <row r="796" spans="5:21" x14ac:dyDescent="0.25">
      <c r="E796" t="s">
        <v>2193</v>
      </c>
      <c r="F796" t="s">
        <v>1108</v>
      </c>
      <c r="G796" t="s">
        <v>13</v>
      </c>
      <c r="H796" t="s">
        <v>1054</v>
      </c>
      <c r="I796">
        <v>3519</v>
      </c>
      <c r="K796" t="s">
        <v>3281</v>
      </c>
      <c r="L796" t="str">
        <f t="shared" si="149"/>
        <v>"id":"s778",</v>
      </c>
      <c r="M796" t="str">
        <v>"cate":"Resistor ",</v>
      </c>
      <c r="N796" t="str">
        <v>"des":"RST 1,5K 1/8W1%0805",</v>
      </c>
      <c r="O796" t="str">
        <v>"mfg":"STACKPOLE ELECTRONICS INC",</v>
      </c>
      <c r="P796" t="str">
        <v>"pn":"RMCF0805FT1K50",</v>
      </c>
      <c r="Q796" t="str">
        <v>"qty":3539</v>
      </c>
      <c r="S796" t="s">
        <v>2498</v>
      </c>
      <c r="T796" t="str">
        <f t="shared" si="150"/>
        <v>"id":"s778","cate":"Resistor ","des":"RST 1,5K 1/8W1%0805","mfg":"STACKPOLE ELECTRONICS INC","pn":"RMCF0805FT1K50","qty":3539</v>
      </c>
      <c r="U796" t="s">
        <v>2503</v>
      </c>
    </row>
    <row r="797" spans="5:21" x14ac:dyDescent="0.25">
      <c r="E797" t="s">
        <v>2193</v>
      </c>
      <c r="F797" t="s">
        <v>1108</v>
      </c>
      <c r="G797" t="s">
        <v>37</v>
      </c>
      <c r="H797" t="s">
        <v>1109</v>
      </c>
      <c r="I797">
        <v>3519</v>
      </c>
      <c r="K797" t="s">
        <v>3282</v>
      </c>
      <c r="L797" t="str">
        <f t="shared" si="149"/>
        <v>"id":"s779",</v>
      </c>
      <c r="M797" t="str">
        <v>"cate":"Resistor ",</v>
      </c>
      <c r="N797" t="str">
        <v>"des":"RST 1,5K 1/4W 5%206",</v>
      </c>
      <c r="O797" t="str">
        <v>"mfg":"YAGEO",</v>
      </c>
      <c r="P797" t="str">
        <v>"pn":"YC164-JR-071K5L",</v>
      </c>
      <c r="Q797" t="str">
        <v>"qty":3536</v>
      </c>
      <c r="S797" t="s">
        <v>2498</v>
      </c>
      <c r="T797" t="str">
        <f t="shared" si="150"/>
        <v>"id":"s779","cate":"Resistor ","des":"RST 1,5K 1/4W 5%206","mfg":"YAGEO","pn":"YC164-JR-071K5L","qty":3536</v>
      </c>
      <c r="U797" t="s">
        <v>2503</v>
      </c>
    </row>
    <row r="798" spans="5:21" x14ac:dyDescent="0.25">
      <c r="E798" t="s">
        <v>2193</v>
      </c>
      <c r="F798" t="s">
        <v>1108</v>
      </c>
      <c r="G798" t="s">
        <v>320</v>
      </c>
      <c r="H798" t="s">
        <v>1055</v>
      </c>
      <c r="I798">
        <v>3519</v>
      </c>
      <c r="K798" t="s">
        <v>3283</v>
      </c>
      <c r="L798" t="str">
        <f t="shared" si="149"/>
        <v>"id":"s780",</v>
      </c>
      <c r="M798" t="str">
        <v>"cate":"Resistor ",</v>
      </c>
      <c r="N798" t="str">
        <v>"des":"RST 1,5K 1/4W 5%206",</v>
      </c>
      <c r="O798" t="str">
        <v>"mfg":"VISHAY",</v>
      </c>
      <c r="P798" t="str">
        <v>"pn":"CRA06S0831K50FTA",</v>
      </c>
      <c r="Q798" t="str">
        <v>"qty":3536</v>
      </c>
      <c r="S798" t="s">
        <v>2498</v>
      </c>
      <c r="T798" t="str">
        <f t="shared" si="150"/>
        <v>"id":"s780","cate":"Resistor ","des":"RST 1,5K 1/4W 5%206","mfg":"VISHAY","pn":"CRA06S0831K50FTA","qty":3536</v>
      </c>
      <c r="U798" t="s">
        <v>2503</v>
      </c>
    </row>
    <row r="799" spans="5:21" x14ac:dyDescent="0.25">
      <c r="E799" t="s">
        <v>2193</v>
      </c>
      <c r="F799" t="s">
        <v>1110</v>
      </c>
      <c r="G799" t="s">
        <v>176</v>
      </c>
      <c r="H799" t="s">
        <v>1111</v>
      </c>
      <c r="I799">
        <v>3505</v>
      </c>
      <c r="K799" t="s">
        <v>3284</v>
      </c>
      <c r="L799" t="str">
        <f t="shared" si="149"/>
        <v>"id":"s781",</v>
      </c>
      <c r="M799" t="str">
        <v>"cate":"Resistor ",</v>
      </c>
      <c r="N799" t="str">
        <v>"des":"RST 1,5K 1/4W 5%206",</v>
      </c>
      <c r="O799" t="str">
        <v>"mfg":"BI TECHNOLOGIES",</v>
      </c>
      <c r="P799" t="str">
        <v>"pn":"BCN164A152J7",</v>
      </c>
      <c r="Q799" t="str">
        <v>"qty":3536</v>
      </c>
      <c r="S799" t="s">
        <v>2498</v>
      </c>
      <c r="T799" t="str">
        <f t="shared" si="150"/>
        <v>"id":"s781","cate":"Resistor ","des":"RST 1,5K 1/4W 5%206","mfg":"BI TECHNOLOGIES","pn":"BCN164A152J7","qty":3536</v>
      </c>
      <c r="U799" t="s">
        <v>2503</v>
      </c>
    </row>
    <row r="800" spans="5:21" x14ac:dyDescent="0.25">
      <c r="E800" t="s">
        <v>2193</v>
      </c>
      <c r="F800" t="s">
        <v>1110</v>
      </c>
      <c r="G800" t="s">
        <v>320</v>
      </c>
      <c r="H800" t="s">
        <v>1112</v>
      </c>
      <c r="I800">
        <v>3505</v>
      </c>
      <c r="K800" t="s">
        <v>3285</v>
      </c>
      <c r="L800" t="str">
        <f t="shared" si="149"/>
        <v>"id":"s782",</v>
      </c>
      <c r="M800" t="str">
        <v>"cate":"Resistor ",</v>
      </c>
      <c r="N800" t="str">
        <v>"des":"RST 1,5K 1/4W 5%206",</v>
      </c>
      <c r="O800" t="str">
        <v>"mfg":"BOURNS",</v>
      </c>
      <c r="P800" t="str">
        <v>"pn":"CAY16-152J4LF",</v>
      </c>
      <c r="Q800" t="str">
        <v>"qty":3536</v>
      </c>
      <c r="S800" t="s">
        <v>2498</v>
      </c>
      <c r="T800" t="str">
        <f t="shared" si="150"/>
        <v>"id":"s782","cate":"Resistor ","des":"RST 1,5K 1/4W 5%206","mfg":"BOURNS","pn":"CAY16-152J4LF","qty":3536</v>
      </c>
      <c r="U800" t="s">
        <v>2503</v>
      </c>
    </row>
    <row r="801" spans="5:21" x14ac:dyDescent="0.25">
      <c r="E801" t="s">
        <v>2394</v>
      </c>
      <c r="F801" t="s">
        <v>2403</v>
      </c>
      <c r="G801" t="s">
        <v>184</v>
      </c>
      <c r="H801" t="s">
        <v>1113</v>
      </c>
      <c r="I801">
        <v>3501</v>
      </c>
      <c r="K801" t="s">
        <v>3286</v>
      </c>
      <c r="L801" t="str">
        <f t="shared" si="149"/>
        <v>"id":"s783",</v>
      </c>
      <c r="M801" t="str">
        <v>"cate":"Resistor ",</v>
      </c>
      <c r="N801" t="str">
        <v>"des":"RST 180 1/8W1%805-T",</v>
      </c>
      <c r="O801" t="str">
        <v>"mfg":"VISHAY",</v>
      </c>
      <c r="P801" t="str">
        <v>"pn":"CRCW0805180RFKEA",</v>
      </c>
      <c r="Q801" t="str">
        <v>"qty":3534</v>
      </c>
      <c r="S801" t="s">
        <v>2498</v>
      </c>
      <c r="T801" t="str">
        <f t="shared" si="150"/>
        <v>"id":"s783","cate":"Resistor ","des":"RST 180 1/8W1%805-T","mfg":"VISHAY","pn":"CRCW0805180RFKEA","qty":3534</v>
      </c>
      <c r="U801" t="s">
        <v>2503</v>
      </c>
    </row>
    <row r="802" spans="5:21" x14ac:dyDescent="0.25">
      <c r="E802" t="s">
        <v>2382</v>
      </c>
      <c r="F802" t="s">
        <v>2387</v>
      </c>
      <c r="G802" t="s">
        <v>26</v>
      </c>
      <c r="H802" t="s">
        <v>1114</v>
      </c>
      <c r="I802">
        <v>3470</v>
      </c>
      <c r="K802" t="s">
        <v>3287</v>
      </c>
      <c r="L802" t="str">
        <f t="shared" si="149"/>
        <v>"id":"s784",</v>
      </c>
      <c r="M802" t="str">
        <v>"cate":"Resistor ",</v>
      </c>
      <c r="N802" t="str">
        <v>"des":"RST 1M 1W 5% 2512-2",</v>
      </c>
      <c r="O802" t="str">
        <v>"mfg":"VISHAY",</v>
      </c>
      <c r="P802" t="str">
        <v>"pn":"CRCW25121M00FKEG",</v>
      </c>
      <c r="Q802" t="str">
        <v>"qty":3525</v>
      </c>
      <c r="S802" t="s">
        <v>2498</v>
      </c>
      <c r="T802" t="str">
        <f t="shared" si="150"/>
        <v>"id":"s784","cate":"Resistor ","des":"RST 1M 1W 5% 2512-2","mfg":"VISHAY","pn":"CRCW25121M00FKEG","qty":3525</v>
      </c>
      <c r="U802" t="s">
        <v>2503</v>
      </c>
    </row>
    <row r="803" spans="5:21" x14ac:dyDescent="0.25">
      <c r="E803" t="s">
        <v>2382</v>
      </c>
      <c r="F803" t="s">
        <v>2387</v>
      </c>
      <c r="G803" t="s">
        <v>26</v>
      </c>
      <c r="H803" t="s">
        <v>1115</v>
      </c>
      <c r="I803">
        <v>3470</v>
      </c>
      <c r="K803" t="s">
        <v>3288</v>
      </c>
      <c r="L803" t="str">
        <f t="shared" si="149"/>
        <v>"id":"s785",</v>
      </c>
      <c r="M803" t="str">
        <v>"cate":"Resistor ",</v>
      </c>
      <c r="N803" t="str">
        <v>"des":"RST 1M 1W 5% 2512-2",</v>
      </c>
      <c r="O803" t="str">
        <v>"mfg":"VISHAY",</v>
      </c>
      <c r="P803" t="str">
        <v>"pn":"CRCW25121M00JNEG",</v>
      </c>
      <c r="Q803" t="str">
        <v>"qty":3525</v>
      </c>
      <c r="S803" t="s">
        <v>2498</v>
      </c>
      <c r="T803" t="str">
        <f t="shared" si="150"/>
        <v>"id":"s785","cate":"Resistor ","des":"RST 1M 1W 5% 2512-2","mfg":"VISHAY","pn":"CRCW25121M00JNEG","qty":3525</v>
      </c>
      <c r="U803" t="s">
        <v>2503</v>
      </c>
    </row>
    <row r="804" spans="5:21" x14ac:dyDescent="0.25">
      <c r="E804" t="s">
        <v>2382</v>
      </c>
      <c r="F804" t="s">
        <v>2387</v>
      </c>
      <c r="G804" t="s">
        <v>26</v>
      </c>
      <c r="H804" t="s">
        <v>1116</v>
      </c>
      <c r="I804">
        <v>3470</v>
      </c>
      <c r="K804" t="s">
        <v>3289</v>
      </c>
      <c r="L804" t="str">
        <f t="shared" si="149"/>
        <v>"id":"s786",</v>
      </c>
      <c r="M804" t="str">
        <v>"cate":"Resistor ",</v>
      </c>
      <c r="N804" t="str">
        <v>"des":"RST 1M 1W 5% 2512-2",</v>
      </c>
      <c r="O804" t="str">
        <v>"mfg":"ROYAL OHM",</v>
      </c>
      <c r="P804" t="str">
        <v>"pn":"25121WJ0105T4E",</v>
      </c>
      <c r="Q804" t="str">
        <v>"qty":3525</v>
      </c>
      <c r="S804" t="s">
        <v>2498</v>
      </c>
      <c r="T804" t="str">
        <f t="shared" si="150"/>
        <v>"id":"s786","cate":"Resistor ","des":"RST 1M 1W 5% 2512-2","mfg":"ROYAL OHM","pn":"25121WJ0105T4E","qty":3525</v>
      </c>
      <c r="U804" t="s">
        <v>2503</v>
      </c>
    </row>
    <row r="805" spans="5:21" x14ac:dyDescent="0.25">
      <c r="E805" t="s">
        <v>2405</v>
      </c>
      <c r="F805" t="s">
        <v>2432</v>
      </c>
      <c r="G805" t="s">
        <v>521</v>
      </c>
      <c r="H805" t="s">
        <v>1117</v>
      </c>
      <c r="I805">
        <v>3442</v>
      </c>
      <c r="K805" t="s">
        <v>3290</v>
      </c>
      <c r="L805" t="str">
        <f t="shared" si="149"/>
        <v>"id":"s787",</v>
      </c>
      <c r="M805" t="str">
        <v>"cate":"Resistor ",</v>
      </c>
      <c r="N805" t="str">
        <v>"des":"RST 1M 1W 5% 2512-2",</v>
      </c>
      <c r="O805" t="str">
        <v>"mfg":"WALSIN",</v>
      </c>
      <c r="P805" t="str">
        <v>"pn":"WK25V105JTL",</v>
      </c>
      <c r="Q805" t="str">
        <v>"qty":3525</v>
      </c>
      <c r="S805" t="s">
        <v>2498</v>
      </c>
      <c r="T805" t="str">
        <f t="shared" si="150"/>
        <v>"id":"s787","cate":"Resistor ","des":"RST 1M 1W 5% 2512-2","mfg":"WALSIN","pn":"WK25V105JTL","qty":3525</v>
      </c>
      <c r="U805" t="s">
        <v>2503</v>
      </c>
    </row>
    <row r="806" spans="5:21" x14ac:dyDescent="0.25">
      <c r="E806" t="s">
        <v>2193</v>
      </c>
      <c r="F806" t="s">
        <v>1118</v>
      </c>
      <c r="G806" t="s">
        <v>13</v>
      </c>
      <c r="H806" t="s">
        <v>1119</v>
      </c>
      <c r="I806">
        <v>3437</v>
      </c>
      <c r="K806" t="s">
        <v>3291</v>
      </c>
      <c r="L806" t="str">
        <f t="shared" si="149"/>
        <v>"id":"s788",</v>
      </c>
      <c r="M806" t="str">
        <v>"cate":"Resistor ",</v>
      </c>
      <c r="N806" t="str">
        <v>"des":"RST 1M 1W 5% 2512-2",</v>
      </c>
      <c r="O806" t="str">
        <v>"mfg":"BOURNS",</v>
      </c>
      <c r="P806" t="str">
        <v>"pn":"CHV2512-JW-105ELF",</v>
      </c>
      <c r="Q806" t="str">
        <v>"qty":3525</v>
      </c>
      <c r="S806" t="s">
        <v>2498</v>
      </c>
      <c r="T806" t="str">
        <f t="shared" si="150"/>
        <v>"id":"s788","cate":"Resistor ","des":"RST 1M 1W 5% 2512-2","mfg":"BOURNS","pn":"CHV2512-JW-105ELF","qty":3525</v>
      </c>
      <c r="U806" t="s">
        <v>2503</v>
      </c>
    </row>
    <row r="807" spans="5:21" x14ac:dyDescent="0.25">
      <c r="E807" s="6" t="s">
        <v>2488</v>
      </c>
      <c r="F807" t="s">
        <v>1120</v>
      </c>
      <c r="G807" t="s">
        <v>28</v>
      </c>
      <c r="H807" t="s">
        <v>1121</v>
      </c>
      <c r="I807">
        <v>3436</v>
      </c>
      <c r="K807" t="s">
        <v>3292</v>
      </c>
      <c r="L807" t="str">
        <f t="shared" si="149"/>
        <v>"id":"s789",</v>
      </c>
      <c r="M807" t="str">
        <v>"cate":"Resistor ",</v>
      </c>
      <c r="N807" t="str">
        <v>"des":"RST 220K 2W 5%2512",</v>
      </c>
      <c r="O807" t="str">
        <v>"mfg":"TE",</v>
      </c>
      <c r="P807" t="str">
        <v>"pn":"CRGH2512J220K",</v>
      </c>
      <c r="Q807" t="str">
        <v>"qty":3520</v>
      </c>
      <c r="S807" t="s">
        <v>2498</v>
      </c>
      <c r="T807" t="str">
        <f t="shared" si="150"/>
        <v>"id":"s789","cate":"Resistor ","des":"RST 220K 2W 5%2512","mfg":"TE","pn":"CRGH2512J220K","qty":3520</v>
      </c>
      <c r="U807" t="s">
        <v>2503</v>
      </c>
    </row>
    <row r="808" spans="5:21" x14ac:dyDescent="0.25">
      <c r="E808" s="6" t="s">
        <v>2494</v>
      </c>
      <c r="F808" t="s">
        <v>1122</v>
      </c>
      <c r="G808" t="s">
        <v>160</v>
      </c>
      <c r="H808">
        <v>8500113</v>
      </c>
      <c r="I808">
        <v>3429</v>
      </c>
      <c r="K808" t="s">
        <v>3293</v>
      </c>
      <c r="L808" t="str">
        <f t="shared" si="149"/>
        <v>"id":"s790",</v>
      </c>
      <c r="M808" t="str">
        <v>"cate":"Resistor ",</v>
      </c>
      <c r="N808" t="str">
        <v>"des":"RST 220K 2W 5%2512",</v>
      </c>
      <c r="O808" t="str">
        <v>"mfg":"ROYAL OHM",</v>
      </c>
      <c r="P808" t="str">
        <v>"pn":"HP122WJ0224T4E",</v>
      </c>
      <c r="Q808" t="str">
        <v>"qty":3520</v>
      </c>
      <c r="S808" t="s">
        <v>2498</v>
      </c>
      <c r="T808" t="str">
        <f t="shared" si="150"/>
        <v>"id":"s790","cate":"Resistor ","des":"RST 220K 2W 5%2512","mfg":"ROYAL OHM","pn":"HP122WJ0224T4E","qty":3520</v>
      </c>
      <c r="U808" t="s">
        <v>2503</v>
      </c>
    </row>
    <row r="809" spans="5:21" x14ac:dyDescent="0.25">
      <c r="E809" t="s">
        <v>2405</v>
      </c>
      <c r="F809" t="s">
        <v>2433</v>
      </c>
      <c r="G809" t="s">
        <v>2467</v>
      </c>
      <c r="H809" t="s">
        <v>1124</v>
      </c>
      <c r="I809">
        <v>3408</v>
      </c>
      <c r="K809" t="s">
        <v>3294</v>
      </c>
      <c r="L809" t="str">
        <f t="shared" si="149"/>
        <v>"id":"s791",</v>
      </c>
      <c r="M809" t="str">
        <v>"cate":"Resistor ",</v>
      </c>
      <c r="N809" t="str">
        <v>"des":"RST 8K2 1/8W 1% 805",</v>
      </c>
      <c r="O809" t="str">
        <v>"mfg":"YAGEO",</v>
      </c>
      <c r="P809" t="str">
        <v>"pn":"RC0805FR-078K2L",</v>
      </c>
      <c r="Q809" t="str">
        <v>"qty":3519</v>
      </c>
      <c r="S809" t="s">
        <v>2498</v>
      </c>
      <c r="T809" t="str">
        <f t="shared" si="150"/>
        <v>"id":"s791","cate":"Resistor ","des":"RST 8K2 1/8W 1% 805","mfg":"YAGEO","pn":"RC0805FR-078K2L","qty":3519</v>
      </c>
      <c r="U809" t="s">
        <v>2503</v>
      </c>
    </row>
    <row r="810" spans="5:21" x14ac:dyDescent="0.25">
      <c r="E810" t="s">
        <v>2405</v>
      </c>
      <c r="F810" t="s">
        <v>2433</v>
      </c>
      <c r="G810" t="s">
        <v>30</v>
      </c>
      <c r="H810" t="s">
        <v>1125</v>
      </c>
      <c r="I810">
        <v>3408</v>
      </c>
      <c r="K810" t="s">
        <v>3295</v>
      </c>
      <c r="L810" t="str">
        <f t="shared" si="149"/>
        <v>"id":"s792",</v>
      </c>
      <c r="M810" t="str">
        <v>"cate":"Resistor ",</v>
      </c>
      <c r="N810" t="str">
        <v>"des":"RST 8K2 1/8W 1% 805",</v>
      </c>
      <c r="O810" t="str">
        <v>"mfg":"VISHAY",</v>
      </c>
      <c r="P810" t="str">
        <v>"pn":"CRCW08058K20FKEA",</v>
      </c>
      <c r="Q810" t="str">
        <v>"qty":3519</v>
      </c>
      <c r="S810" t="s">
        <v>2498</v>
      </c>
      <c r="T810" t="str">
        <f t="shared" si="150"/>
        <v>"id":"s792","cate":"Resistor ","des":"RST 8K2 1/8W 1% 805","mfg":"VISHAY","pn":"CRCW08058K20FKEA","qty":3519</v>
      </c>
      <c r="U810" t="s">
        <v>2503</v>
      </c>
    </row>
    <row r="811" spans="5:21" x14ac:dyDescent="0.25">
      <c r="E811" t="s">
        <v>2193</v>
      </c>
      <c r="F811" t="s">
        <v>1126</v>
      </c>
      <c r="G811" t="s">
        <v>13</v>
      </c>
      <c r="H811" t="s">
        <v>1127</v>
      </c>
      <c r="I811">
        <v>3386</v>
      </c>
      <c r="K811" t="s">
        <v>3296</v>
      </c>
      <c r="L811" t="str">
        <f t="shared" si="149"/>
        <v>"id":"s793",</v>
      </c>
      <c r="M811" t="str">
        <v>"cate":"Resistor ",</v>
      </c>
      <c r="N811" t="str">
        <v>"des":"RST 8K2 1/8W 1% 805",</v>
      </c>
      <c r="O811" t="str">
        <v>"mfg":"ROYAL OHM",</v>
      </c>
      <c r="P811" t="str">
        <v>"pn":"0805W8F8201T5E",</v>
      </c>
      <c r="Q811" t="str">
        <v>"qty":3519</v>
      </c>
      <c r="S811" t="s">
        <v>2498</v>
      </c>
      <c r="T811" t="str">
        <f t="shared" si="150"/>
        <v>"id":"s793","cate":"Resistor ","des":"RST 8K2 1/8W 1% 805","mfg":"ROYAL OHM","pn":"0805W8F8201T5E","qty":3519</v>
      </c>
      <c r="U811" t="s">
        <v>2503</v>
      </c>
    </row>
    <row r="812" spans="5:21" x14ac:dyDescent="0.25">
      <c r="E812" t="s">
        <v>2193</v>
      </c>
      <c r="F812" t="s">
        <v>1126</v>
      </c>
      <c r="G812" t="s">
        <v>320</v>
      </c>
      <c r="H812" t="s">
        <v>1128</v>
      </c>
      <c r="I812">
        <v>3386</v>
      </c>
      <c r="K812" t="s">
        <v>3297</v>
      </c>
      <c r="L812" t="str">
        <f t="shared" si="149"/>
        <v>"id":"s794",</v>
      </c>
      <c r="M812" t="str">
        <v>"cate":"Resistor ",</v>
      </c>
      <c r="N812" t="str">
        <v>"des":"RST 1K 1W 1% 2512",</v>
      </c>
      <c r="O812" t="str">
        <v>"mfg":"PANASONIC",</v>
      </c>
      <c r="P812" t="str">
        <v>"pn":"ERJU1TF1001U",</v>
      </c>
      <c r="Q812" t="str">
        <v>"qty":3505</v>
      </c>
      <c r="S812" t="s">
        <v>2498</v>
      </c>
      <c r="T812" t="str">
        <f t="shared" si="150"/>
        <v>"id":"s794","cate":"Resistor ","des":"RST 1K 1W 1% 2512","mfg":"PANASONIC","pn":"ERJU1TF1001U","qty":3505</v>
      </c>
      <c r="U812" t="s">
        <v>2503</v>
      </c>
    </row>
    <row r="813" spans="5:21" x14ac:dyDescent="0.25">
      <c r="E813" t="s">
        <v>2193</v>
      </c>
      <c r="F813" t="s">
        <v>1129</v>
      </c>
      <c r="G813" t="s">
        <v>10</v>
      </c>
      <c r="H813" t="s">
        <v>1130</v>
      </c>
      <c r="I813">
        <v>3384</v>
      </c>
      <c r="K813" t="s">
        <v>3298</v>
      </c>
      <c r="L813" t="str">
        <f t="shared" si="149"/>
        <v>"id":"s795",</v>
      </c>
      <c r="M813" t="str">
        <v>"cate":"Resistor ",</v>
      </c>
      <c r="N813" t="str">
        <v>"des":"RST 1K 1W 1% 2512",</v>
      </c>
      <c r="O813" t="str">
        <v>"mfg":"ROYAL OHM",</v>
      </c>
      <c r="P813" t="str">
        <v>"pn":"25121WF1001T4E",</v>
      </c>
      <c r="Q813" t="str">
        <v>"qty":3505</v>
      </c>
      <c r="S813" t="s">
        <v>2498</v>
      </c>
      <c r="T813" t="str">
        <f t="shared" si="150"/>
        <v>"id":"s795","cate":"Resistor ","des":"RST 1K 1W 1% 2512","mfg":"ROYAL OHM","pn":"25121WF1001T4E","qty":3505</v>
      </c>
      <c r="U813" t="s">
        <v>2503</v>
      </c>
    </row>
    <row r="814" spans="5:21" x14ac:dyDescent="0.25">
      <c r="E814" t="s">
        <v>2194</v>
      </c>
      <c r="F814" t="s">
        <v>2283</v>
      </c>
      <c r="G814" t="s">
        <v>13</v>
      </c>
      <c r="H814" t="s">
        <v>1005</v>
      </c>
      <c r="I814">
        <v>3382</v>
      </c>
      <c r="K814" t="s">
        <v>3299</v>
      </c>
      <c r="L814" t="str">
        <f t="shared" si="149"/>
        <v>"id":"s796",</v>
      </c>
      <c r="M814" t="str">
        <v>"cate":"Choke Coil",</v>
      </c>
      <c r="N814" t="str">
        <v>"des":"Choke CoilE SMD 33UH 0,5A",</v>
      </c>
      <c r="O814" t="str">
        <v>"mfg":"WURTH ELEKTRONIK",</v>
      </c>
      <c r="P814" t="str">
        <v>"pn":"744 773 133",</v>
      </c>
      <c r="Q814" t="str">
        <v>"qty":3501</v>
      </c>
      <c r="S814" t="s">
        <v>2498</v>
      </c>
      <c r="T814" t="str">
        <f t="shared" si="150"/>
        <v>"id":"s796","cate":"Choke Coil","des":"Choke CoilE SMD 33UH 0,5A","mfg":"WURTH ELEKTRONIK","pn":"744 773 133","qty":3501</v>
      </c>
      <c r="U814" t="s">
        <v>2503</v>
      </c>
    </row>
    <row r="815" spans="5:21" x14ac:dyDescent="0.25">
      <c r="E815" t="s">
        <v>2193</v>
      </c>
      <c r="F815" t="s">
        <v>1131</v>
      </c>
      <c r="G815" t="s">
        <v>13</v>
      </c>
      <c r="H815" t="s">
        <v>1132</v>
      </c>
      <c r="I815">
        <v>3374</v>
      </c>
      <c r="K815" t="s">
        <v>3300</v>
      </c>
      <c r="L815" t="str">
        <f t="shared" si="149"/>
        <v>"id":"s797",</v>
      </c>
      <c r="M815" t="str">
        <v>"cate":"IC",</v>
      </c>
      <c r="N815" t="str">
        <v>"des":"ICMD MC9S08DZ32",</v>
      </c>
      <c r="O815" t="str">
        <v>"mfg":"NXP SEMICONDUCTORS",</v>
      </c>
      <c r="P815" t="str">
        <v>"pn":"MC9S08DZ32ACLF",</v>
      </c>
      <c r="Q815" t="str">
        <v>"qty":3470</v>
      </c>
      <c r="S815" t="s">
        <v>2498</v>
      </c>
      <c r="T815" t="str">
        <f t="shared" si="150"/>
        <v>"id":"s797","cate":"IC","des":"ICMD MC9S08DZ32","mfg":"NXP SEMICONDUCTORS","pn":"MC9S08DZ32ACLF","qty":3470</v>
      </c>
      <c r="U815" t="s">
        <v>2503</v>
      </c>
    </row>
    <row r="816" spans="5:21" x14ac:dyDescent="0.25">
      <c r="E816" t="s">
        <v>2193</v>
      </c>
      <c r="F816" t="s">
        <v>1131</v>
      </c>
      <c r="G816" t="s">
        <v>5</v>
      </c>
      <c r="H816" t="s">
        <v>1133</v>
      </c>
      <c r="I816">
        <v>3374</v>
      </c>
      <c r="K816" t="s">
        <v>3301</v>
      </c>
      <c r="L816" t="str">
        <f t="shared" si="149"/>
        <v>"id":"s798",</v>
      </c>
      <c r="M816" t="str">
        <v>"cate":"IC",</v>
      </c>
      <c r="N816" t="str">
        <v>"des":"ICMD MC9S08DZ32",</v>
      </c>
      <c r="O816" t="str">
        <v>"mfg":"NXP SEMICONDUCTORS",</v>
      </c>
      <c r="P816" t="str">
        <v>"pn":"S9S08DZ32F2CLFR",</v>
      </c>
      <c r="Q816" t="str">
        <v>"qty":3470</v>
      </c>
      <c r="S816" t="s">
        <v>2498</v>
      </c>
      <c r="T816" t="str">
        <f t="shared" si="150"/>
        <v>"id":"s798","cate":"IC","des":"ICMD MC9S08DZ32","mfg":"NXP SEMICONDUCTORS","pn":"S9S08DZ32F2CLFR","qty":3470</v>
      </c>
      <c r="U816" t="s">
        <v>2503</v>
      </c>
    </row>
    <row r="817" spans="5:21" x14ac:dyDescent="0.25">
      <c r="E817" t="s">
        <v>2193</v>
      </c>
      <c r="F817" t="s">
        <v>1131</v>
      </c>
      <c r="G817" t="s">
        <v>5</v>
      </c>
      <c r="H817" t="s">
        <v>1134</v>
      </c>
      <c r="I817">
        <v>3374</v>
      </c>
      <c r="K817" t="s">
        <v>3302</v>
      </c>
      <c r="L817" t="str">
        <f t="shared" si="149"/>
        <v>"id":"s799",</v>
      </c>
      <c r="M817" t="str">
        <v>"cate":"IC",</v>
      </c>
      <c r="N817" t="str">
        <v>"des":"ICMD MC9S08DZ32",</v>
      </c>
      <c r="O817" t="str">
        <v>"mfg":"NXP SEMICONDUCTORS",</v>
      </c>
      <c r="P817" t="str">
        <v>"pn":"S9S08DZ60F2MLFR",</v>
      </c>
      <c r="Q817" t="str">
        <v>"qty":3470</v>
      </c>
      <c r="S817" t="s">
        <v>2498</v>
      </c>
      <c r="T817" t="str">
        <f t="shared" si="150"/>
        <v>"id":"s799","cate":"IC","des":"ICMD MC9S08DZ32","mfg":"NXP SEMICONDUCTORS","pn":"S9S08DZ60F2MLFR","qty":3470</v>
      </c>
      <c r="U817" t="s">
        <v>2503</v>
      </c>
    </row>
    <row r="818" spans="5:21" x14ac:dyDescent="0.25">
      <c r="E818" t="s">
        <v>2193</v>
      </c>
      <c r="F818" t="s">
        <v>1131</v>
      </c>
      <c r="G818" t="s">
        <v>10</v>
      </c>
      <c r="H818" t="s">
        <v>1135</v>
      </c>
      <c r="I818">
        <v>3374</v>
      </c>
      <c r="K818" t="s">
        <v>3303</v>
      </c>
      <c r="L818" t="str">
        <f t="shared" si="149"/>
        <v>"id":"s800",</v>
      </c>
      <c r="M818" t="str">
        <v>"cate":"Diode",</v>
      </c>
      <c r="N818" t="str">
        <v>"des":"DiodeE BDG 50A 1600V",</v>
      </c>
      <c r="O818" t="str">
        <v>"mfg":"IXYS",</v>
      </c>
      <c r="P818" t="str">
        <v>"pn":"FUO50-16N",</v>
      </c>
      <c r="Q818" t="str">
        <v>"qty":3442</v>
      </c>
      <c r="S818" t="s">
        <v>2498</v>
      </c>
      <c r="T818" t="str">
        <f t="shared" si="150"/>
        <v>"id":"s800","cate":"Diode","des":"DiodeE BDG 50A 1600V","mfg":"IXYS","pn":"FUO50-16N","qty":3442</v>
      </c>
      <c r="U818" t="s">
        <v>2503</v>
      </c>
    </row>
    <row r="819" spans="5:21" x14ac:dyDescent="0.25">
      <c r="E819" t="s">
        <v>2194</v>
      </c>
      <c r="F819" t="s">
        <v>2284</v>
      </c>
      <c r="G819" t="s">
        <v>45</v>
      </c>
      <c r="H819" t="s">
        <v>1136</v>
      </c>
      <c r="I819">
        <v>3361</v>
      </c>
      <c r="K819" t="s">
        <v>3304</v>
      </c>
      <c r="L819" t="str">
        <f t="shared" si="149"/>
        <v>"id":"s801",</v>
      </c>
      <c r="M819" t="str">
        <v>"cate":"Resistor ",</v>
      </c>
      <c r="N819" t="str">
        <v>"des":"RST 3K32 1/4W1%1206",</v>
      </c>
      <c r="O819" t="str">
        <v>"mfg":"YAGEO",</v>
      </c>
      <c r="P819" t="str">
        <v>"pn":"RC1206FR-073K32L",</v>
      </c>
      <c r="Q819" t="str">
        <v>"qty":3437</v>
      </c>
      <c r="S819" t="s">
        <v>2498</v>
      </c>
      <c r="T819" t="str">
        <f t="shared" si="150"/>
        <v>"id":"s801","cate":"Resistor ","des":"RST 3K32 1/4W1%1206","mfg":"YAGEO","pn":"RC1206FR-073K32L","qty":3437</v>
      </c>
      <c r="U819" t="s">
        <v>2503</v>
      </c>
    </row>
    <row r="820" spans="5:21" x14ac:dyDescent="0.25">
      <c r="E820" t="s">
        <v>2194</v>
      </c>
      <c r="F820" t="s">
        <v>2284</v>
      </c>
      <c r="G820" t="s">
        <v>47</v>
      </c>
      <c r="H820" t="s">
        <v>1137</v>
      </c>
      <c r="I820">
        <v>3361</v>
      </c>
      <c r="K820" t="s">
        <v>3305</v>
      </c>
      <c r="L820" t="str">
        <f t="shared" si="149"/>
        <v>"id":"s802",</v>
      </c>
      <c r="M820" t="str">
        <v>"cate":"Transistor",</v>
      </c>
      <c r="N820" t="str">
        <v>"des":"TRAN PNP 60V SOT223",</v>
      </c>
      <c r="O820" t="str">
        <v>"mfg":"ON SEMICONDUCTOR",</v>
      </c>
      <c r="P820" t="str">
        <v>"pn":"PZT2907AT1G",</v>
      </c>
      <c r="Q820" t="str">
        <v>"qty":3436</v>
      </c>
      <c r="S820" t="s">
        <v>2498</v>
      </c>
      <c r="T820" t="str">
        <f t="shared" si="150"/>
        <v>"id":"s802","cate":"Transistor","des":"TRAN PNP 60V SOT223","mfg":"ON SEMICONDUCTOR","pn":"PZT2907AT1G","qty":3436</v>
      </c>
      <c r="U820" t="s">
        <v>2503</v>
      </c>
    </row>
    <row r="821" spans="5:21" x14ac:dyDescent="0.25">
      <c r="E821" t="s">
        <v>2139</v>
      </c>
      <c r="F821" t="s">
        <v>1138</v>
      </c>
      <c r="G821" t="s">
        <v>13</v>
      </c>
      <c r="H821" t="s">
        <v>1139</v>
      </c>
      <c r="I821">
        <v>3358</v>
      </c>
      <c r="K821" t="s">
        <v>3306</v>
      </c>
      <c r="L821" t="str">
        <f t="shared" si="149"/>
        <v>"id":"s803",</v>
      </c>
      <c r="M821" t="str">
        <v>"cate":"Connector",</v>
      </c>
      <c r="N821" t="str">
        <v>"des":"CTF 08-50-0113",</v>
      </c>
      <c r="O821" t="str">
        <v>"mfg":"MOLEX",</v>
      </c>
      <c r="P821" t="str">
        <v>"pn":"8500113",</v>
      </c>
      <c r="Q821" t="str">
        <v>"qty":3429</v>
      </c>
      <c r="S821" t="s">
        <v>2498</v>
      </c>
      <c r="T821" t="str">
        <f t="shared" si="150"/>
        <v>"id":"s803","cate":"Connector","des":"CTF 08-50-0113","mfg":"MOLEX","pn":"8500113","qty":3429</v>
      </c>
      <c r="U821" t="s">
        <v>2503</v>
      </c>
    </row>
    <row r="822" spans="5:21" x14ac:dyDescent="0.25">
      <c r="E822" t="s">
        <v>2139</v>
      </c>
      <c r="F822" t="s">
        <v>1138</v>
      </c>
      <c r="G822" t="s">
        <v>47</v>
      </c>
      <c r="H822" t="s">
        <v>1140</v>
      </c>
      <c r="I822">
        <v>3358</v>
      </c>
      <c r="K822" t="s">
        <v>3307</v>
      </c>
      <c r="L822" t="str">
        <f t="shared" si="149"/>
        <v>"id":"s804",</v>
      </c>
      <c r="M822" t="str">
        <v>"cate":"Diode",</v>
      </c>
      <c r="N822" t="str">
        <v>"des":"DiodeE 0,2A30VSD323",</v>
      </c>
      <c r="O822" t="str">
        <v>"mfg":"DiodeES INC.",</v>
      </c>
      <c r="P822" t="str">
        <v>"pn":"BAT54WS-7-F",</v>
      </c>
      <c r="Q822" t="str">
        <v>"qty":3408</v>
      </c>
      <c r="S822" t="s">
        <v>2498</v>
      </c>
      <c r="T822" t="str">
        <f t="shared" si="150"/>
        <v>"id":"s804","cate":"Diode","des":"DiodeE 0,2A30VSD323","mfg":"DiodeES INC.","pn":"BAT54WS-7-F","qty":3408</v>
      </c>
      <c r="U822" t="s">
        <v>2503</v>
      </c>
    </row>
    <row r="823" spans="5:21" x14ac:dyDescent="0.25">
      <c r="E823" t="s">
        <v>2139</v>
      </c>
      <c r="F823" t="s">
        <v>1138</v>
      </c>
      <c r="G823" t="s">
        <v>49</v>
      </c>
      <c r="H823" t="s">
        <v>1141</v>
      </c>
      <c r="I823">
        <v>3358</v>
      </c>
      <c r="K823" t="s">
        <v>3308</v>
      </c>
      <c r="L823" t="str">
        <f t="shared" si="149"/>
        <v>"id":"s805",</v>
      </c>
      <c r="M823" t="str">
        <v>"cate":"Diode",</v>
      </c>
      <c r="N823" t="str">
        <v>"des":"DiodeE 0,2A30VSD323",</v>
      </c>
      <c r="O823" t="str">
        <v>"mfg":"NEXPERIA",</v>
      </c>
      <c r="P823" t="str">
        <v>"pn":"1PS76SB10",</v>
      </c>
      <c r="Q823" t="str">
        <v>"qty":3408</v>
      </c>
      <c r="S823" t="s">
        <v>2498</v>
      </c>
      <c r="T823" t="str">
        <f t="shared" si="150"/>
        <v>"id":"s805","cate":"Diode","des":"DiodeE 0,2A30VSD323","mfg":"NEXPERIA","pn":"1PS76SB10","qty":3408</v>
      </c>
      <c r="U823" t="s">
        <v>2503</v>
      </c>
    </row>
    <row r="824" spans="5:21" x14ac:dyDescent="0.25">
      <c r="E824" t="s">
        <v>2139</v>
      </c>
      <c r="F824" t="s">
        <v>1138</v>
      </c>
      <c r="G824" t="s">
        <v>8</v>
      </c>
      <c r="H824" t="s">
        <v>1142</v>
      </c>
      <c r="I824">
        <v>3358</v>
      </c>
      <c r="K824" t="s">
        <v>3309</v>
      </c>
      <c r="L824" t="str">
        <f t="shared" si="149"/>
        <v>"id":"s806",</v>
      </c>
      <c r="M824" t="str">
        <v>"cate":"Resistor ",</v>
      </c>
      <c r="N824" t="str">
        <v>"des":"RST 2,2K 1/8W 1%805",</v>
      </c>
      <c r="O824" t="str">
        <v>"mfg":"YAGEO",</v>
      </c>
      <c r="P824" t="str">
        <v>"pn":"RC0805FR-072K2L",</v>
      </c>
      <c r="Q824" t="str">
        <v>"qty":3386</v>
      </c>
      <c r="S824" t="s">
        <v>2498</v>
      </c>
      <c r="T824" t="str">
        <f t="shared" si="150"/>
        <v>"id":"s806","cate":"Resistor ","des":"RST 2,2K 1/8W 1%805","mfg":"YAGEO","pn":"RC0805FR-072K2L","qty":3386</v>
      </c>
      <c r="U824" t="s">
        <v>2503</v>
      </c>
    </row>
    <row r="825" spans="5:21" x14ac:dyDescent="0.25">
      <c r="E825" t="s">
        <v>2139</v>
      </c>
      <c r="F825" t="s">
        <v>1138</v>
      </c>
      <c r="G825" t="s">
        <v>62</v>
      </c>
      <c r="H825" t="s">
        <v>1143</v>
      </c>
      <c r="I825">
        <v>3358</v>
      </c>
      <c r="K825" t="s">
        <v>3310</v>
      </c>
      <c r="L825" t="str">
        <f t="shared" si="149"/>
        <v>"id":"s807",</v>
      </c>
      <c r="M825" t="str">
        <v>"cate":"Resistor ",</v>
      </c>
      <c r="N825" t="str">
        <v>"des":"RST 2,2K 1/8W 1%805",</v>
      </c>
      <c r="O825" t="str">
        <v>"mfg":"ROYAL OHM",</v>
      </c>
      <c r="P825" t="str">
        <v>"pn":"0805W8F2201T5E",</v>
      </c>
      <c r="Q825" t="str">
        <v>"qty":3386</v>
      </c>
      <c r="S825" t="s">
        <v>2498</v>
      </c>
      <c r="T825" t="str">
        <f t="shared" si="150"/>
        <v>"id":"s807","cate":"Resistor ","des":"RST 2,2K 1/8W 1%805","mfg":"ROYAL OHM","pn":"0805W8F2201T5E","qty":3386</v>
      </c>
      <c r="U825" t="s">
        <v>2503</v>
      </c>
    </row>
    <row r="826" spans="5:21" x14ac:dyDescent="0.25">
      <c r="E826" t="s">
        <v>2193</v>
      </c>
      <c r="F826" t="s">
        <v>1144</v>
      </c>
      <c r="G826" t="s">
        <v>13</v>
      </c>
      <c r="H826" t="s">
        <v>1145</v>
      </c>
      <c r="I826">
        <v>3356</v>
      </c>
      <c r="K826" t="s">
        <v>3311</v>
      </c>
      <c r="L826" t="str">
        <f t="shared" si="149"/>
        <v>"id":"s808",</v>
      </c>
      <c r="M826" t="str">
        <v>"cate":"Resistor ",</v>
      </c>
      <c r="N826" t="str">
        <v>"des":"RST 681R 1/8W1%805A",</v>
      </c>
      <c r="O826" t="str">
        <v>"mfg":"WALSIN",</v>
      </c>
      <c r="P826" t="str">
        <v>"pn":"WR08X6810FTL",</v>
      </c>
      <c r="Q826" t="str">
        <v>"qty":3384</v>
      </c>
      <c r="S826" t="s">
        <v>2498</v>
      </c>
      <c r="T826" t="str">
        <f t="shared" si="150"/>
        <v>"id":"s808","cate":"Resistor ","des":"RST 681R 1/8W1%805A","mfg":"WALSIN","pn":"WR08X6810FTL","qty":3384</v>
      </c>
      <c r="U826" t="s">
        <v>2503</v>
      </c>
    </row>
    <row r="827" spans="5:21" x14ac:dyDescent="0.25">
      <c r="E827" t="s">
        <v>2193</v>
      </c>
      <c r="F827" t="s">
        <v>1144</v>
      </c>
      <c r="G827" t="s">
        <v>13</v>
      </c>
      <c r="H827" t="s">
        <v>1146</v>
      </c>
      <c r="I827">
        <v>3356</v>
      </c>
      <c r="K827" t="s">
        <v>3312</v>
      </c>
      <c r="L827" t="str">
        <f t="shared" si="149"/>
        <v>"id":"s809",</v>
      </c>
      <c r="M827" t="str">
        <v>"cate":"Capacitor",</v>
      </c>
      <c r="N827" t="str">
        <v>"des":"Capacitor 100PF/25V 0603",</v>
      </c>
      <c r="O827" t="str">
        <v>"mfg":"YAGEO",</v>
      </c>
      <c r="P827" t="str">
        <v>"pn":"CC0603JRNPO9BN101",</v>
      </c>
      <c r="Q827" t="str">
        <v>"qty":3382</v>
      </c>
      <c r="S827" t="s">
        <v>2498</v>
      </c>
      <c r="T827" t="str">
        <f t="shared" si="150"/>
        <v>"id":"s809","cate":"Capacitor","des":"Capacitor 100PF/25V 0603","mfg":"YAGEO","pn":"CC0603JRNPO9BN101","qty":3382</v>
      </c>
      <c r="U827" t="s">
        <v>2503</v>
      </c>
    </row>
    <row r="828" spans="5:21" x14ac:dyDescent="0.25">
      <c r="E828" t="s">
        <v>2193</v>
      </c>
      <c r="F828" t="s">
        <v>1144</v>
      </c>
      <c r="G828" t="s">
        <v>5</v>
      </c>
      <c r="H828" t="s">
        <v>1147</v>
      </c>
      <c r="I828">
        <v>3356</v>
      </c>
      <c r="K828" t="s">
        <v>3313</v>
      </c>
      <c r="L828" t="str">
        <f t="shared" si="149"/>
        <v>"id":"s810",</v>
      </c>
      <c r="M828" t="str">
        <v>"cate":"Resistor ",</v>
      </c>
      <c r="N828" t="str">
        <v>"des":"RST 2K21 0,1W1%603A",</v>
      </c>
      <c r="O828" t="str">
        <v>"mfg":"YAGEO",</v>
      </c>
      <c r="P828" t="str">
        <v>"pn":"RC0603FR-(**) 2K21 L",</v>
      </c>
      <c r="Q828" t="str">
        <v>"qty":3374</v>
      </c>
      <c r="S828" t="s">
        <v>2498</v>
      </c>
      <c r="T828" t="str">
        <f t="shared" si="150"/>
        <v>"id":"s810","cate":"Resistor ","des":"RST 2K21 0,1W1%603A","mfg":"YAGEO","pn":"RC0603FR-(**) 2K21 L","qty":3374</v>
      </c>
      <c r="U828" t="s">
        <v>2503</v>
      </c>
    </row>
    <row r="829" spans="5:21" x14ac:dyDescent="0.25">
      <c r="E829" t="s">
        <v>2193</v>
      </c>
      <c r="F829" t="s">
        <v>1144</v>
      </c>
      <c r="G829" t="s">
        <v>10</v>
      </c>
      <c r="H829" t="s">
        <v>1148</v>
      </c>
      <c r="I829">
        <v>3356</v>
      </c>
      <c r="K829" t="s">
        <v>3314</v>
      </c>
      <c r="L829" t="str">
        <f t="shared" si="149"/>
        <v>"id":"s811",</v>
      </c>
      <c r="M829" t="str">
        <v>"cate":"Resistor ",</v>
      </c>
      <c r="N829" t="str">
        <v>"des":"RST 2K21 0,1W1%603A",</v>
      </c>
      <c r="O829" t="str">
        <v>"mfg":"KOA",</v>
      </c>
      <c r="P829" t="str">
        <v>"pn":"RK73H1JT(**) 2211 F",</v>
      </c>
      <c r="Q829" t="str">
        <v>"qty":3374</v>
      </c>
      <c r="S829" t="s">
        <v>2498</v>
      </c>
      <c r="T829" t="str">
        <f t="shared" si="150"/>
        <v>"id":"s811","cate":"Resistor ","des":"RST 2K21 0,1W1%603A","mfg":"KOA","pn":"RK73H1JT(**) 2211 F","qty":3374</v>
      </c>
      <c r="U829" t="s">
        <v>2503</v>
      </c>
    </row>
    <row r="830" spans="5:21" x14ac:dyDescent="0.25">
      <c r="E830" t="s">
        <v>2193</v>
      </c>
      <c r="F830" t="s">
        <v>1144</v>
      </c>
      <c r="G830" t="s">
        <v>10</v>
      </c>
      <c r="H830" t="s">
        <v>1149</v>
      </c>
      <c r="I830">
        <v>3356</v>
      </c>
      <c r="K830" t="s">
        <v>3315</v>
      </c>
      <c r="L830" t="str">
        <f t="shared" si="149"/>
        <v>"id":"s812",</v>
      </c>
      <c r="M830" t="str">
        <v>"cate":"Resistor ",</v>
      </c>
      <c r="N830" t="str">
        <v>"des":"RST 2K21 0,1W1%603A",</v>
      </c>
      <c r="O830" t="str">
        <v>"mfg":"KOA",</v>
      </c>
      <c r="P830" t="str">
        <v>"pn":"RK73H1JTTD2211F",</v>
      </c>
      <c r="Q830" t="str">
        <v>"qty":3374</v>
      </c>
      <c r="S830" t="s">
        <v>2498</v>
      </c>
      <c r="T830" t="str">
        <f t="shared" si="150"/>
        <v>"id":"s812","cate":"Resistor ","des":"RST 2K21 0,1W1%603A","mfg":"KOA","pn":"RK73H1JTTD2211F","qty":3374</v>
      </c>
      <c r="U830" t="s">
        <v>2503</v>
      </c>
    </row>
    <row r="831" spans="5:21" x14ac:dyDescent="0.25">
      <c r="E831" s="6" t="s">
        <v>2149</v>
      </c>
      <c r="F831" t="s">
        <v>1150</v>
      </c>
      <c r="G831" t="s">
        <v>1151</v>
      </c>
      <c r="H831" t="s">
        <v>1152</v>
      </c>
      <c r="I831">
        <v>3346</v>
      </c>
      <c r="K831" t="s">
        <v>3316</v>
      </c>
      <c r="L831" t="str">
        <f t="shared" si="149"/>
        <v>"id":"s813",</v>
      </c>
      <c r="M831" t="str">
        <v>"cate":"Resistor ",</v>
      </c>
      <c r="N831" t="str">
        <v>"des":"RST 2K21 0,1W1%603A",</v>
      </c>
      <c r="O831" t="str">
        <v>"mfg":"WALSIN",</v>
      </c>
      <c r="P831" t="str">
        <v>"pn":"WR06X2211F(*)L",</v>
      </c>
      <c r="Q831" t="str">
        <v>"qty":3374</v>
      </c>
      <c r="S831" t="s">
        <v>2498</v>
      </c>
      <c r="T831" t="str">
        <f t="shared" si="150"/>
        <v>"id":"s813","cate":"Resistor ","des":"RST 2K21 0,1W1%603A","mfg":"WALSIN","pn":"WR06X2211F(*)L","qty":3374</v>
      </c>
      <c r="U831" t="s">
        <v>2503</v>
      </c>
    </row>
    <row r="832" spans="5:21" x14ac:dyDescent="0.25">
      <c r="E832" s="6" t="s">
        <v>2149</v>
      </c>
      <c r="F832" t="s">
        <v>1150</v>
      </c>
      <c r="G832" t="s">
        <v>1151</v>
      </c>
      <c r="H832" t="s">
        <v>1153</v>
      </c>
      <c r="I832">
        <v>3346</v>
      </c>
      <c r="K832" t="s">
        <v>3317</v>
      </c>
      <c r="L832" t="str">
        <f t="shared" si="149"/>
        <v>"id":"s814",</v>
      </c>
      <c r="M832" t="str">
        <v>"cate":"Capacitor",</v>
      </c>
      <c r="N832" t="str">
        <v>"des":"Capacitor 220NF 630V TH",</v>
      </c>
      <c r="O832" t="str">
        <v>"mfg":"EPCOS/TDK",</v>
      </c>
      <c r="P832" t="str">
        <v>"pn":"B32652A6224J189",</v>
      </c>
      <c r="Q832" t="str">
        <v>"qty":3361</v>
      </c>
      <c r="S832" t="s">
        <v>2498</v>
      </c>
      <c r="T832" t="str">
        <f t="shared" si="150"/>
        <v>"id":"s814","cate":"Capacitor","des":"Capacitor 220NF 630V TH","mfg":"EPCOS/TDK","pn":"B32652A6224J189","qty":3361</v>
      </c>
      <c r="U832" t="s">
        <v>2503</v>
      </c>
    </row>
    <row r="833" spans="5:21" x14ac:dyDescent="0.25">
      <c r="E833" s="6" t="s">
        <v>2149</v>
      </c>
      <c r="F833" t="s">
        <v>1150</v>
      </c>
      <c r="G833" t="s">
        <v>1154</v>
      </c>
      <c r="H833" t="s">
        <v>1155</v>
      </c>
      <c r="I833">
        <v>3346</v>
      </c>
      <c r="K833" t="s">
        <v>3318</v>
      </c>
      <c r="L833" t="str">
        <f t="shared" si="149"/>
        <v>"id":"s815",</v>
      </c>
      <c r="M833" t="str">
        <v>"cate":"Capacitor",</v>
      </c>
      <c r="N833" t="str">
        <v>"des":"Capacitor 220NF 630V TH",</v>
      </c>
      <c r="O833" t="str">
        <v>"mfg":"KEMET",</v>
      </c>
      <c r="P833" t="str">
        <v>"pn":"F426BV224J630C",</v>
      </c>
      <c r="Q833" t="str">
        <v>"qty":3361</v>
      </c>
      <c r="S833" t="s">
        <v>2498</v>
      </c>
      <c r="T833" t="str">
        <f t="shared" si="150"/>
        <v>"id":"s815","cate":"Capacitor","des":"Capacitor 220NF 630V TH","mfg":"KEMET","pn":"F426BV224J630C","qty":3361</v>
      </c>
      <c r="U833" t="s">
        <v>2503</v>
      </c>
    </row>
    <row r="834" spans="5:21" x14ac:dyDescent="0.25">
      <c r="E834" s="6" t="s">
        <v>2149</v>
      </c>
      <c r="F834" t="s">
        <v>1150</v>
      </c>
      <c r="G834" t="s">
        <v>1156</v>
      </c>
      <c r="H834" t="s">
        <v>1157</v>
      </c>
      <c r="I834">
        <v>3346</v>
      </c>
      <c r="K834" t="s">
        <v>3319</v>
      </c>
      <c r="L834" t="str">
        <f t="shared" si="149"/>
        <v>"id":"s816",</v>
      </c>
      <c r="M834" t="str">
        <v>"cate":"MA-1",</v>
      </c>
      <c r="N834" t="str">
        <v>"des":"MA-1150303STG",</v>
      </c>
      <c r="O834" t="str">
        <v>"mfg":"YAGEO",</v>
      </c>
      <c r="P834" t="str">
        <v>"pn":"CC0402JRNPO9BN150",</v>
      </c>
      <c r="Q834" t="str">
        <v>"qty":3358</v>
      </c>
      <c r="S834" t="s">
        <v>2498</v>
      </c>
      <c r="T834" t="str">
        <f t="shared" si="150"/>
        <v>"id":"s816","cate":"MA-1","des":"MA-1150303STG","mfg":"YAGEO","pn":"CC0402JRNPO9BN150","qty":3358</v>
      </c>
      <c r="U834" t="s">
        <v>2503</v>
      </c>
    </row>
    <row r="835" spans="5:21" x14ac:dyDescent="0.25">
      <c r="E835" s="6" t="s">
        <v>2149</v>
      </c>
      <c r="F835" t="s">
        <v>1150</v>
      </c>
      <c r="G835" t="s">
        <v>1158</v>
      </c>
      <c r="H835" t="s">
        <v>1159</v>
      </c>
      <c r="I835">
        <v>3346</v>
      </c>
      <c r="K835" t="s">
        <v>3320</v>
      </c>
      <c r="L835" t="str">
        <f t="shared" si="149"/>
        <v>"id":"s817",</v>
      </c>
      <c r="M835" t="str">
        <v>"cate":"MA-1",</v>
      </c>
      <c r="N835" t="str">
        <v>"des":"MA-1150303STG",</v>
      </c>
      <c r="O835" t="str">
        <v>"mfg":"KEMET",</v>
      </c>
      <c r="P835" t="str">
        <v>"pn":"C0402C150J5GAC7867",</v>
      </c>
      <c r="Q835" t="str">
        <v>"qty":3358</v>
      </c>
      <c r="S835" t="s">
        <v>2498</v>
      </c>
      <c r="T835" t="str">
        <f t="shared" si="150"/>
        <v>"id":"s817","cate":"MA-1","des":"MA-1150303STG","mfg":"KEMET","pn":"C0402C150J5GAC7867","qty":3358</v>
      </c>
      <c r="U835" t="s">
        <v>2503</v>
      </c>
    </row>
    <row r="836" spans="5:21" x14ac:dyDescent="0.25">
      <c r="E836" s="6" t="s">
        <v>2149</v>
      </c>
      <c r="F836" t="s">
        <v>1150</v>
      </c>
      <c r="G836" t="s">
        <v>1160</v>
      </c>
      <c r="H836" t="s">
        <v>1161</v>
      </c>
      <c r="I836">
        <v>3346</v>
      </c>
      <c r="K836" t="s">
        <v>3321</v>
      </c>
      <c r="L836" t="str">
        <f t="shared" si="149"/>
        <v>"id":"s818",</v>
      </c>
      <c r="M836" t="str">
        <v>"cate":"MA-1",</v>
      </c>
      <c r="N836" t="str">
        <v>"des":"MA-1150303STG",</v>
      </c>
      <c r="O836" t="str">
        <v>"mfg":"AVX",</v>
      </c>
      <c r="P836" t="str">
        <v>"pn":"KGM05ACG1H150JH",</v>
      </c>
      <c r="Q836" t="str">
        <v>"qty":3358</v>
      </c>
      <c r="S836" t="s">
        <v>2498</v>
      </c>
      <c r="T836" t="str">
        <f t="shared" si="150"/>
        <v>"id":"s818","cate":"MA-1","des":"MA-1150303STG","mfg":"AVX","pn":"KGM05ACG1H150JH","qty":3358</v>
      </c>
      <c r="U836" t="s">
        <v>2503</v>
      </c>
    </row>
    <row r="837" spans="5:21" x14ac:dyDescent="0.25">
      <c r="E837" t="s">
        <v>2193</v>
      </c>
      <c r="F837" t="s">
        <v>1162</v>
      </c>
      <c r="G837" t="s">
        <v>13</v>
      </c>
      <c r="H837" t="s">
        <v>1163</v>
      </c>
      <c r="I837">
        <v>3337</v>
      </c>
      <c r="K837" t="s">
        <v>3322</v>
      </c>
      <c r="L837" t="str">
        <f t="shared" si="149"/>
        <v>"id":"s819",</v>
      </c>
      <c r="M837" t="str">
        <v>"cate":"MA-1",</v>
      </c>
      <c r="N837" t="str">
        <v>"des":"MA-1150303STG",</v>
      </c>
      <c r="O837" t="str">
        <v>"mfg":"SAMSUNG",</v>
      </c>
      <c r="P837" t="str">
        <v>"pn":"CL05C150JB5NNNC",</v>
      </c>
      <c r="Q837" t="str">
        <v>"qty":3358</v>
      </c>
      <c r="S837" t="s">
        <v>2498</v>
      </c>
      <c r="T837" t="str">
        <f t="shared" si="150"/>
        <v>"id":"s819","cate":"MA-1","des":"MA-1150303STG","mfg":"SAMSUNG","pn":"CL05C150JB5NNNC","qty":3358</v>
      </c>
      <c r="U837" t="s">
        <v>2503</v>
      </c>
    </row>
    <row r="838" spans="5:21" x14ac:dyDescent="0.25">
      <c r="E838" t="s">
        <v>2194</v>
      </c>
      <c r="F838" t="s">
        <v>2285</v>
      </c>
      <c r="G838" t="s">
        <v>8</v>
      </c>
      <c r="H838" t="s">
        <v>1164</v>
      </c>
      <c r="I838">
        <v>3334</v>
      </c>
      <c r="K838" t="s">
        <v>3323</v>
      </c>
      <c r="L838" t="str">
        <f t="shared" si="149"/>
        <v>"id":"s820",</v>
      </c>
      <c r="M838" t="str">
        <v>"cate":"MA-1",</v>
      </c>
      <c r="N838" t="str">
        <v>"des":"MA-1150303STG",</v>
      </c>
      <c r="O838" t="str">
        <v>"mfg":"TDK",</v>
      </c>
      <c r="P838" t="str">
        <v>"pn":"C1005C0G1H150J050BA",</v>
      </c>
      <c r="Q838" t="str">
        <v>"qty":3358</v>
      </c>
      <c r="S838" t="s">
        <v>2498</v>
      </c>
      <c r="T838" t="str">
        <f t="shared" si="150"/>
        <v>"id":"s820","cate":"MA-1","des":"MA-1150303STG","mfg":"TDK","pn":"C1005C0G1H150J050BA","qty":3358</v>
      </c>
      <c r="U838" t="s">
        <v>2503</v>
      </c>
    </row>
    <row r="839" spans="5:21" x14ac:dyDescent="0.25">
      <c r="E839" s="6" t="s">
        <v>2490</v>
      </c>
      <c r="F839" t="s">
        <v>1165</v>
      </c>
      <c r="G839" t="s">
        <v>510</v>
      </c>
      <c r="H839" s="6" t="s">
        <v>1166</v>
      </c>
      <c r="I839">
        <v>3324</v>
      </c>
      <c r="K839" t="s">
        <v>3324</v>
      </c>
      <c r="L839" t="str">
        <f t="shared" si="149"/>
        <v>"id":"s821",</v>
      </c>
      <c r="M839" t="str">
        <v>"cate":"Resistor ",</v>
      </c>
      <c r="N839" t="str">
        <v>"des":"RST 90K9 0,1W1%603A",</v>
      </c>
      <c r="O839" t="str">
        <v>"mfg":"YAGEO",</v>
      </c>
      <c r="P839" t="str">
        <v>"pn":"RC0603FR-(**)90K9L",</v>
      </c>
      <c r="Q839" t="str">
        <v>"qty":3356</v>
      </c>
      <c r="S839" t="s">
        <v>2498</v>
      </c>
      <c r="T839" t="str">
        <f t="shared" si="150"/>
        <v>"id":"s821","cate":"Resistor ","des":"RST 90K9 0,1W1%603A","mfg":"YAGEO","pn":"RC0603FR-(**)90K9L","qty":3356</v>
      </c>
      <c r="U839" t="s">
        <v>2503</v>
      </c>
    </row>
    <row r="840" spans="5:21" x14ac:dyDescent="0.25">
      <c r="E840" t="s">
        <v>2193</v>
      </c>
      <c r="F840" t="s">
        <v>1167</v>
      </c>
      <c r="G840" t="s">
        <v>37</v>
      </c>
      <c r="H840" t="s">
        <v>1168</v>
      </c>
      <c r="I840">
        <v>3318</v>
      </c>
      <c r="K840" t="s">
        <v>3325</v>
      </c>
      <c r="L840" t="str">
        <f t="shared" si="149"/>
        <v>"id":"s822",</v>
      </c>
      <c r="M840" t="str">
        <v>"cate":"Resistor ",</v>
      </c>
      <c r="N840" t="str">
        <v>"des":"RST 90K9 0,1W1%603A",</v>
      </c>
      <c r="O840" t="str">
        <v>"mfg":"YAGEO",</v>
      </c>
      <c r="P840" t="str">
        <v>"pn":"RC0603FR-0790K9L",</v>
      </c>
      <c r="Q840" t="str">
        <v>"qty":3356</v>
      </c>
      <c r="S840" t="s">
        <v>2498</v>
      </c>
      <c r="T840" t="str">
        <f t="shared" si="150"/>
        <v>"id":"s822","cate":"Resistor ","des":"RST 90K9 0,1W1%603A","mfg":"YAGEO","pn":"RC0603FR-0790K9L","qty":3356</v>
      </c>
      <c r="U840" t="s">
        <v>2503</v>
      </c>
    </row>
    <row r="841" spans="5:21" x14ac:dyDescent="0.25">
      <c r="E841" t="s">
        <v>2193</v>
      </c>
      <c r="F841" t="s">
        <v>1167</v>
      </c>
      <c r="G841" t="s">
        <v>510</v>
      </c>
      <c r="H841" t="s">
        <v>1169</v>
      </c>
      <c r="I841">
        <v>3318</v>
      </c>
      <c r="K841" t="s">
        <v>3326</v>
      </c>
      <c r="L841" t="str">
        <f t="shared" si="149"/>
        <v>"id":"s823",</v>
      </c>
      <c r="M841" t="str">
        <v>"cate":"Resistor ",</v>
      </c>
      <c r="N841" t="str">
        <v>"des":"RST 90K9 0,1W1%603A",</v>
      </c>
      <c r="O841" t="str">
        <v>"mfg":"KOA",</v>
      </c>
      <c r="P841" t="str">
        <v>"pn":"RK73H1JT(**)9092F",</v>
      </c>
      <c r="Q841" t="str">
        <v>"qty":3356</v>
      </c>
      <c r="S841" t="s">
        <v>2498</v>
      </c>
      <c r="T841" t="str">
        <f t="shared" si="150"/>
        <v>"id":"s823","cate":"Resistor ","des":"RST 90K9 0,1W1%603A","mfg":"KOA","pn":"RK73H1JT(**)9092F","qty":3356</v>
      </c>
      <c r="U841" t="s">
        <v>2503</v>
      </c>
    </row>
    <row r="842" spans="5:21" x14ac:dyDescent="0.25">
      <c r="E842" s="6" t="s">
        <v>2492</v>
      </c>
      <c r="F842" t="s">
        <v>1170</v>
      </c>
      <c r="G842" t="s">
        <v>1171</v>
      </c>
      <c r="H842" s="6" t="s">
        <v>1172</v>
      </c>
      <c r="I842">
        <v>3309</v>
      </c>
      <c r="K842" t="s">
        <v>3327</v>
      </c>
      <c r="L842" t="str">
        <f t="shared" si="149"/>
        <v>"id":"s824",</v>
      </c>
      <c r="M842" t="str">
        <v>"cate":"Resistor ",</v>
      </c>
      <c r="N842" t="str">
        <v>"des":"RST 90K9 0,1W1%603A",</v>
      </c>
      <c r="O842" t="str">
        <v>"mfg":"WALSIN",</v>
      </c>
      <c r="P842" t="str">
        <v>"pn":"WR06X9092F(*)L",</v>
      </c>
      <c r="Q842" t="str">
        <v>"qty":3356</v>
      </c>
      <c r="S842" t="s">
        <v>2498</v>
      </c>
      <c r="T842" t="str">
        <f t="shared" si="150"/>
        <v>"id":"s824","cate":"Resistor ","des":"RST 90K9 0,1W1%603A","mfg":"WALSIN","pn":"WR06X9092F(*)L","qty":3356</v>
      </c>
      <c r="U842" t="s">
        <v>2503</v>
      </c>
    </row>
    <row r="843" spans="5:21" x14ac:dyDescent="0.25">
      <c r="E843" t="s">
        <v>2193</v>
      </c>
      <c r="F843" t="s">
        <v>1173</v>
      </c>
      <c r="G843" t="s">
        <v>37</v>
      </c>
      <c r="H843" t="s">
        <v>1174</v>
      </c>
      <c r="I843">
        <v>3296</v>
      </c>
      <c r="K843" t="s">
        <v>3328</v>
      </c>
      <c r="L843" t="str">
        <f t="shared" si="149"/>
        <v>"id":"s825",</v>
      </c>
      <c r="M843" t="str">
        <v>"cate":"Resistor ",</v>
      </c>
      <c r="N843" t="str">
        <v>"des":"RST 90K9 0,1W1%603A",</v>
      </c>
      <c r="O843" t="str">
        <v>"mfg":"WALSIN",</v>
      </c>
      <c r="P843" t="str">
        <v>"pn":"WR06X9092FTL",</v>
      </c>
      <c r="Q843" t="str">
        <v>"qty":3356</v>
      </c>
      <c r="S843" t="s">
        <v>2498</v>
      </c>
      <c r="T843" t="str">
        <f t="shared" si="150"/>
        <v>"id":"s825","cate":"Resistor ","des":"RST 90K9 0,1W1%603A","mfg":"WALSIN","pn":"WR06X9092FTL","qty":3356</v>
      </c>
      <c r="U843" t="s">
        <v>2503</v>
      </c>
    </row>
    <row r="844" spans="5:21" x14ac:dyDescent="0.25">
      <c r="E844" t="s">
        <v>2193</v>
      </c>
      <c r="F844" t="s">
        <v>1173</v>
      </c>
      <c r="G844" t="s">
        <v>320</v>
      </c>
      <c r="H844" t="s">
        <v>1175</v>
      </c>
      <c r="I844">
        <v>3296</v>
      </c>
      <c r="K844" t="s">
        <v>3329</v>
      </c>
      <c r="L844" t="str">
        <f t="shared" si="149"/>
        <v>"id":"s826",</v>
      </c>
      <c r="M844" t="str">
        <v>"cate":"XTAL",</v>
      </c>
      <c r="N844" t="str">
        <v>"des":"CRYSTAL 20MHZ 18PF",</v>
      </c>
      <c r="O844" t="str">
        <v>"mfg":"ABRACON",</v>
      </c>
      <c r="P844" t="str">
        <v>"pn":"ABM3B-20.000MHZ-B2T",</v>
      </c>
      <c r="Q844" t="str">
        <v>"qty":3346</v>
      </c>
      <c r="S844" t="s">
        <v>2498</v>
      </c>
      <c r="T844" t="str">
        <f t="shared" si="150"/>
        <v>"id":"s826","cate":"XTAL","des":"CRYSTAL 20MHZ 18PF","mfg":"ABRACON","pn":"ABM3B-20.000MHZ-B2T","qty":3346</v>
      </c>
      <c r="U844" t="s">
        <v>2503</v>
      </c>
    </row>
    <row r="845" spans="5:21" x14ac:dyDescent="0.25">
      <c r="E845" s="6" t="s">
        <v>2488</v>
      </c>
      <c r="F845" t="s">
        <v>1176</v>
      </c>
      <c r="G845" t="s">
        <v>2467</v>
      </c>
      <c r="H845" t="s">
        <v>1177</v>
      </c>
      <c r="I845">
        <v>3293</v>
      </c>
      <c r="K845" t="s">
        <v>3330</v>
      </c>
      <c r="L845" t="str">
        <f t="shared" si="149"/>
        <v>"id":"s827",</v>
      </c>
      <c r="M845" t="str">
        <v>"cate":"XTAL",</v>
      </c>
      <c r="N845" t="str">
        <v>"des":"CRYSTAL 20MHZ 18PF",</v>
      </c>
      <c r="O845" t="str">
        <v>"mfg":"ABRACON",</v>
      </c>
      <c r="P845" t="str">
        <v>"pn":"ABM3B-20MHZ-B2T",</v>
      </c>
      <c r="Q845" t="str">
        <v>"qty":3346</v>
      </c>
      <c r="S845" t="s">
        <v>2498</v>
      </c>
      <c r="T845" t="str">
        <f t="shared" si="150"/>
        <v>"id":"s827","cate":"XTAL","des":"CRYSTAL 20MHZ 18PF","mfg":"ABRACON","pn":"ABM3B-20MHZ-B2T","qty":3346</v>
      </c>
      <c r="U845" t="s">
        <v>2503</v>
      </c>
    </row>
    <row r="846" spans="5:21" x14ac:dyDescent="0.25">
      <c r="E846" s="6" t="s">
        <v>2488</v>
      </c>
      <c r="F846" t="s">
        <v>1176</v>
      </c>
      <c r="G846" t="s">
        <v>28</v>
      </c>
      <c r="H846" t="s">
        <v>1177</v>
      </c>
      <c r="I846">
        <v>3293</v>
      </c>
      <c r="K846" t="s">
        <v>3331</v>
      </c>
      <c r="L846" t="str">
        <f t="shared" si="149"/>
        <v>"id":"s828",</v>
      </c>
      <c r="M846" t="str">
        <v>"cate":"XTAL",</v>
      </c>
      <c r="N846" t="str">
        <v>"des":"CRYSTAL 20MHZ 18PF",</v>
      </c>
      <c r="O846" t="str">
        <v>"mfg":"AKER TECHNOLOGY",</v>
      </c>
      <c r="P846" t="str">
        <v>"pn":"C5S-20.000-12-3030-X",</v>
      </c>
      <c r="Q846" t="str">
        <v>"qty":3346</v>
      </c>
      <c r="S846" t="s">
        <v>2498</v>
      </c>
      <c r="T846" t="str">
        <f t="shared" si="150"/>
        <v>"id":"s828","cate":"XTAL","des":"CRYSTAL 20MHZ 18PF","mfg":"AKER TECHNOLOGY","pn":"C5S-20.000-12-3030-X","qty":3346</v>
      </c>
      <c r="U846" t="s">
        <v>2503</v>
      </c>
    </row>
    <row r="847" spans="5:21" x14ac:dyDescent="0.25">
      <c r="E847" s="6" t="s">
        <v>2488</v>
      </c>
      <c r="F847" t="s">
        <v>1176</v>
      </c>
      <c r="G847" t="s">
        <v>28</v>
      </c>
      <c r="H847" t="s">
        <v>1178</v>
      </c>
      <c r="I847">
        <v>3293</v>
      </c>
      <c r="K847" t="s">
        <v>3332</v>
      </c>
      <c r="L847" t="str">
        <f t="shared" si="149"/>
        <v>"id":"s829",</v>
      </c>
      <c r="M847" t="str">
        <v>"cate":"XTAL",</v>
      </c>
      <c r="N847" t="str">
        <v>"des":"CRYSTAL 20MHZ 18PF",</v>
      </c>
      <c r="O847" t="str">
        <v>"mfg":"ECS",</v>
      </c>
      <c r="P847" t="str">
        <v>"pn":"ECS-200-18-30B-AGN-TR",</v>
      </c>
      <c r="Q847" t="str">
        <v>"qty":3346</v>
      </c>
      <c r="S847" t="s">
        <v>2498</v>
      </c>
      <c r="T847" t="str">
        <f t="shared" si="150"/>
        <v>"id":"s829","cate":"XTAL","des":"CRYSTAL 20MHZ 18PF","mfg":"ECS","pn":"ECS-200-18-30B-AGN-TR","qty":3346</v>
      </c>
      <c r="U847" t="s">
        <v>2503</v>
      </c>
    </row>
    <row r="848" spans="5:21" x14ac:dyDescent="0.25">
      <c r="E848" s="6" t="s">
        <v>2488</v>
      </c>
      <c r="F848" t="s">
        <v>1176</v>
      </c>
      <c r="G848" t="s">
        <v>28</v>
      </c>
      <c r="H848" t="s">
        <v>1179</v>
      </c>
      <c r="I848">
        <v>3293</v>
      </c>
      <c r="K848" t="s">
        <v>3333</v>
      </c>
      <c r="L848" t="str">
        <f t="shared" si="149"/>
        <v>"id":"s830",</v>
      </c>
      <c r="M848" t="str">
        <v>"cate":"XTAL",</v>
      </c>
      <c r="N848" t="str">
        <v>"des":"CRYSTAL 20MHZ 18PF",</v>
      </c>
      <c r="O848" t="str">
        <v>"mfg":"TXC",</v>
      </c>
      <c r="P848" t="str">
        <v>"pn":"7B-20.000MAAJ-T",</v>
      </c>
      <c r="Q848" t="str">
        <v>"qty":3346</v>
      </c>
      <c r="S848" t="s">
        <v>2498</v>
      </c>
      <c r="T848" t="str">
        <f t="shared" si="150"/>
        <v>"id":"s830","cate":"XTAL","des":"CRYSTAL 20MHZ 18PF","mfg":"TXC","pn":"7B-20.000MAAJ-T","qty":3346</v>
      </c>
      <c r="U848" t="s">
        <v>2503</v>
      </c>
    </row>
    <row r="849" spans="5:21" x14ac:dyDescent="0.25">
      <c r="E849" s="6" t="s">
        <v>2488</v>
      </c>
      <c r="F849" t="s">
        <v>1176</v>
      </c>
      <c r="G849" t="s">
        <v>28</v>
      </c>
      <c r="H849" t="s">
        <v>1180</v>
      </c>
      <c r="I849">
        <v>3293</v>
      </c>
      <c r="K849" t="s">
        <v>3334</v>
      </c>
      <c r="L849" t="str">
        <f t="shared" si="149"/>
        <v>"id":"s831",</v>
      </c>
      <c r="M849" t="str">
        <v>"cate":"XTAL",</v>
      </c>
      <c r="N849" t="str">
        <v>"des":"CRYSTAL 20MHZ 18PF",</v>
      </c>
      <c r="O849" t="str">
        <v>"mfg":"EUROQUARTZ",</v>
      </c>
      <c r="P849" t="str">
        <v>"pn":"20.000MHZ MJ/30/30/40/12P",</v>
      </c>
      <c r="Q849" t="str">
        <v>"qty":3346</v>
      </c>
      <c r="S849" t="s">
        <v>2498</v>
      </c>
      <c r="T849" t="str">
        <f t="shared" si="150"/>
        <v>"id":"s831","cate":"XTAL","des":"CRYSTAL 20MHZ 18PF","mfg":"EUROQUARTZ","pn":"20.000MHZ MJ/30/30/40/12P","qty":3346</v>
      </c>
      <c r="U849" t="s">
        <v>2503</v>
      </c>
    </row>
    <row r="850" spans="5:21" x14ac:dyDescent="0.25">
      <c r="E850" s="6" t="s">
        <v>2488</v>
      </c>
      <c r="F850" t="s">
        <v>1176</v>
      </c>
      <c r="G850" t="s">
        <v>28</v>
      </c>
      <c r="H850" t="s">
        <v>1181</v>
      </c>
      <c r="I850">
        <v>3293</v>
      </c>
      <c r="K850" t="s">
        <v>3335</v>
      </c>
      <c r="L850" t="str">
        <f t="shared" si="149"/>
        <v>"id":"s832",</v>
      </c>
      <c r="M850" t="str">
        <v>"cate":"Resistor ",</v>
      </c>
      <c r="N850" t="str">
        <v>"des":"RST 7K5 1/4W 1%1206",</v>
      </c>
      <c r="O850" t="str">
        <v>"mfg":"YAGEO",</v>
      </c>
      <c r="P850" t="str">
        <v>"pn":"RC1206FR-077K5L",</v>
      </c>
      <c r="Q850" t="str">
        <v>"qty":3337</v>
      </c>
      <c r="S850" t="s">
        <v>2498</v>
      </c>
      <c r="T850" t="str">
        <f t="shared" si="150"/>
        <v>"id":"s832","cate":"Resistor ","des":"RST 7K5 1/4W 1%1206","mfg":"YAGEO","pn":"RC1206FR-077K5L","qty":3337</v>
      </c>
      <c r="U850" t="s">
        <v>2503</v>
      </c>
    </row>
    <row r="851" spans="5:21" x14ac:dyDescent="0.25">
      <c r="E851" s="6" t="s">
        <v>2488</v>
      </c>
      <c r="F851" t="s">
        <v>1176</v>
      </c>
      <c r="G851" t="s">
        <v>30</v>
      </c>
      <c r="H851" t="s">
        <v>1182</v>
      </c>
      <c r="I851">
        <v>3293</v>
      </c>
      <c r="K851" t="s">
        <v>3336</v>
      </c>
      <c r="L851" t="str">
        <f t="shared" si="149"/>
        <v>"id":"s833",</v>
      </c>
      <c r="M851" t="str">
        <v>"cate":"Capacitor",</v>
      </c>
      <c r="N851" t="str">
        <v>"des":"Capacitor 22PF/16V 10%",</v>
      </c>
      <c r="O851" t="str">
        <v>"mfg":"SAMSUNG",</v>
      </c>
      <c r="P851" t="str">
        <v>"pn":"CL21C220JBANNNC",</v>
      </c>
      <c r="Q851" t="str">
        <v>"qty":3334</v>
      </c>
      <c r="S851" t="s">
        <v>2498</v>
      </c>
      <c r="T851" t="str">
        <f t="shared" si="150"/>
        <v>"id":"s833","cate":"Capacitor","des":"Capacitor 22PF/16V 10%","mfg":"SAMSUNG","pn":"CL21C220JBANNNC","qty":3334</v>
      </c>
      <c r="U851" t="s">
        <v>2503</v>
      </c>
    </row>
    <row r="852" spans="5:21" x14ac:dyDescent="0.25">
      <c r="E852" t="s">
        <v>2193</v>
      </c>
      <c r="F852" t="s">
        <v>1183</v>
      </c>
      <c r="G852" t="s">
        <v>13</v>
      </c>
      <c r="H852" t="s">
        <v>1184</v>
      </c>
      <c r="I852">
        <v>3287</v>
      </c>
      <c r="K852" t="s">
        <v>3337</v>
      </c>
      <c r="L852" t="str">
        <f t="shared" ref="L852:L915" si="151">_xlfn.CONCAT("""","id","""",":","""",K852,"""",",")</f>
        <v>"id":"s834",</v>
      </c>
      <c r="M852" t="str">
        <v>"cate":"SENSOR",</v>
      </c>
      <c r="N852" t="str">
        <v>"des":"SENSOR BH1726NUC-E2",</v>
      </c>
      <c r="O852" t="str">
        <v>"mfg":"ROHM SEMICONDUCTOR",</v>
      </c>
      <c r="P852" t="str">
        <v>"pn":"BH1726NUC-E2",</v>
      </c>
      <c r="Q852" t="str">
        <v>"qty":3324</v>
      </c>
      <c r="S852" t="s">
        <v>2498</v>
      </c>
      <c r="T852" t="str">
        <f t="shared" ref="T852:T915" si="152">_xlfn.CONCAT(L852:Q852)</f>
        <v>"id":"s834","cate":"SENSOR","des":"SENSOR BH1726NUC-E2","mfg":"ROHM SEMICONDUCTOR","pn":"BH1726NUC-E2","qty":3324</v>
      </c>
      <c r="U852" t="s">
        <v>2503</v>
      </c>
    </row>
    <row r="853" spans="5:21" x14ac:dyDescent="0.25">
      <c r="E853" t="s">
        <v>2193</v>
      </c>
      <c r="F853" t="s">
        <v>1183</v>
      </c>
      <c r="G853" t="s">
        <v>5</v>
      </c>
      <c r="H853" t="s">
        <v>1185</v>
      </c>
      <c r="I853">
        <v>3287</v>
      </c>
      <c r="K853" t="s">
        <v>3338</v>
      </c>
      <c r="L853" t="str">
        <f t="shared" si="151"/>
        <v>"id":"s835",</v>
      </c>
      <c r="M853" t="str">
        <v>"cate":"Resistor ",</v>
      </c>
      <c r="N853" t="str">
        <v>"des":"RST 0,002 6W 1%2512",</v>
      </c>
      <c r="O853" t="str">
        <v>"mfg":"VISHAY",</v>
      </c>
      <c r="P853" t="str">
        <v>"pn":"WSLF25122L000FEA",</v>
      </c>
      <c r="Q853" t="str">
        <v>"qty":3318</v>
      </c>
      <c r="S853" t="s">
        <v>2498</v>
      </c>
      <c r="T853" t="str">
        <f t="shared" si="152"/>
        <v>"id":"s835","cate":"Resistor ","des":"RST 0,002 6W 1%2512","mfg":"VISHAY","pn":"WSLF25122L000FEA","qty":3318</v>
      </c>
      <c r="U853" t="s">
        <v>2503</v>
      </c>
    </row>
    <row r="854" spans="5:21" x14ac:dyDescent="0.25">
      <c r="E854" t="s">
        <v>2193</v>
      </c>
      <c r="F854" t="s">
        <v>1183</v>
      </c>
      <c r="G854" t="s">
        <v>320</v>
      </c>
      <c r="H854" t="s">
        <v>1186</v>
      </c>
      <c r="I854">
        <v>3287</v>
      </c>
      <c r="K854" t="s">
        <v>3339</v>
      </c>
      <c r="L854" t="str">
        <f t="shared" si="151"/>
        <v>"id":"s836",</v>
      </c>
      <c r="M854" t="str">
        <v>"cate":"Resistor ",</v>
      </c>
      <c r="N854" t="str">
        <v>"des":"RST 0,002 6W 1%2512",</v>
      </c>
      <c r="O854" t="str">
        <v>"mfg":"ROHM SEMICONDUCTOR",</v>
      </c>
      <c r="P854" t="str">
        <v>"pn":"PSR100KTQFJ2L00",</v>
      </c>
      <c r="Q854" t="str">
        <v>"qty":3318</v>
      </c>
      <c r="S854" t="s">
        <v>2498</v>
      </c>
      <c r="T854" t="str">
        <f t="shared" si="152"/>
        <v>"id":"s836","cate":"Resistor ","des":"RST 0,002 6W 1%2512","mfg":"ROHM SEMICONDUCTOR","pn":"PSR100KTQFJ2L00","qty":3318</v>
      </c>
      <c r="U854" t="s">
        <v>2503</v>
      </c>
    </row>
    <row r="855" spans="5:21" x14ac:dyDescent="0.25">
      <c r="E855" s="6" t="s">
        <v>2186</v>
      </c>
      <c r="F855" s="6" t="s">
        <v>1187</v>
      </c>
      <c r="G855" t="s">
        <v>1188</v>
      </c>
      <c r="H855" t="s">
        <v>1189</v>
      </c>
      <c r="I855">
        <v>3280</v>
      </c>
      <c r="K855" t="s">
        <v>3340</v>
      </c>
      <c r="L855" t="str">
        <f t="shared" si="151"/>
        <v>"id":"s837",</v>
      </c>
      <c r="M855" t="str">
        <v>"cate":"Switch",</v>
      </c>
      <c r="N855" t="str">
        <v>"des":"SW B3U1000PB",</v>
      </c>
      <c r="O855" t="str">
        <v>"mfg":"OMRON",</v>
      </c>
      <c r="P855" t="str">
        <v>"pn":"B3U-1000P-B",</v>
      </c>
      <c r="Q855" t="str">
        <v>"qty":3309</v>
      </c>
      <c r="S855" t="s">
        <v>2498</v>
      </c>
      <c r="T855" t="str">
        <f t="shared" si="152"/>
        <v>"id":"s837","cate":"Switch","des":"SW B3U1000PB","mfg":"OMRON","pn":"B3U-1000P-B","qty":3309</v>
      </c>
      <c r="U855" t="s">
        <v>2503</v>
      </c>
    </row>
    <row r="856" spans="5:21" x14ac:dyDescent="0.25">
      <c r="E856" t="s">
        <v>2133</v>
      </c>
      <c r="F856" t="s">
        <v>1190</v>
      </c>
      <c r="G856" t="s">
        <v>160</v>
      </c>
      <c r="H856" t="s">
        <v>1191</v>
      </c>
      <c r="I856">
        <v>3278</v>
      </c>
      <c r="K856" t="s">
        <v>3341</v>
      </c>
      <c r="L856" t="str">
        <f t="shared" si="151"/>
        <v>"id":"s838",</v>
      </c>
      <c r="M856" t="str">
        <v>"cate":"Resistor ",</v>
      </c>
      <c r="N856" t="str">
        <v>"des":"RST 0R 1/8W 0805-T",</v>
      </c>
      <c r="O856" t="str">
        <v>"mfg":"VISHAY",</v>
      </c>
      <c r="P856" t="str">
        <v>"pn":"MCU08050Z0000ZP500",</v>
      </c>
      <c r="Q856" t="str">
        <v>"qty":3296</v>
      </c>
      <c r="S856" t="s">
        <v>2498</v>
      </c>
      <c r="T856" t="str">
        <f t="shared" si="152"/>
        <v>"id":"s838","cate":"Resistor ","des":"RST 0R 1/8W 0805-T","mfg":"VISHAY","pn":"MCU08050Z0000ZP500","qty":3296</v>
      </c>
      <c r="U856" t="s">
        <v>2503</v>
      </c>
    </row>
    <row r="857" spans="5:21" x14ac:dyDescent="0.25">
      <c r="E857" t="s">
        <v>2193</v>
      </c>
      <c r="F857" t="s">
        <v>1192</v>
      </c>
      <c r="G857" t="s">
        <v>13</v>
      </c>
      <c r="H857" t="s">
        <v>1193</v>
      </c>
      <c r="I857">
        <v>3276</v>
      </c>
      <c r="K857" t="s">
        <v>3342</v>
      </c>
      <c r="L857" t="str">
        <f t="shared" si="151"/>
        <v>"id":"s839",</v>
      </c>
      <c r="M857" t="str">
        <v>"cate":"Resistor ",</v>
      </c>
      <c r="N857" t="str">
        <v>"des":"RST 0R 1/8W 0805-T",</v>
      </c>
      <c r="O857" t="str">
        <v>"mfg":"ROYAL OHM",</v>
      </c>
      <c r="P857" t="str">
        <v>"pn":"HP05W3J0000T5E",</v>
      </c>
      <c r="Q857" t="str">
        <v>"qty":3296</v>
      </c>
      <c r="S857" t="s">
        <v>2498</v>
      </c>
      <c r="T857" t="str">
        <f t="shared" si="152"/>
        <v>"id":"s839","cate":"Resistor ","des":"RST 0R 1/8W 0805-T","mfg":"ROYAL OHM","pn":"HP05W3J0000T5E","qty":3296</v>
      </c>
      <c r="U857" t="s">
        <v>2503</v>
      </c>
    </row>
    <row r="858" spans="5:21" x14ac:dyDescent="0.25">
      <c r="E858" t="s">
        <v>2193</v>
      </c>
      <c r="F858" t="s">
        <v>1192</v>
      </c>
      <c r="G858" t="s">
        <v>13</v>
      </c>
      <c r="H858" t="s">
        <v>1194</v>
      </c>
      <c r="I858">
        <v>3276</v>
      </c>
      <c r="K858" t="s">
        <v>3343</v>
      </c>
      <c r="L858" t="str">
        <f t="shared" si="151"/>
        <v>"id":"s840",</v>
      </c>
      <c r="M858" t="str">
        <v>"cate":"Transistor",</v>
      </c>
      <c r="N858" t="str">
        <v>"des":"TRAN 300V 0,5A",</v>
      </c>
      <c r="O858" t="str">
        <v>"mfg":"DiodeES INC.",</v>
      </c>
      <c r="P858" t="str">
        <v>"pn":"MMBTA42",</v>
      </c>
      <c r="Q858" t="str">
        <v>"qty":3293</v>
      </c>
      <c r="S858" t="s">
        <v>2498</v>
      </c>
      <c r="T858" t="str">
        <f t="shared" si="152"/>
        <v>"id":"s840","cate":"Transistor","des":"TRAN 300V 0,5A","mfg":"DiodeES INC.","pn":"MMBTA42","qty":3293</v>
      </c>
      <c r="U858" t="s">
        <v>2503</v>
      </c>
    </row>
    <row r="859" spans="5:21" x14ac:dyDescent="0.25">
      <c r="E859" t="s">
        <v>2193</v>
      </c>
      <c r="F859" t="s">
        <v>1192</v>
      </c>
      <c r="G859" t="s">
        <v>5</v>
      </c>
      <c r="H859" t="s">
        <v>1195</v>
      </c>
      <c r="I859">
        <v>3276</v>
      </c>
      <c r="K859" t="s">
        <v>3344</v>
      </c>
      <c r="L859" t="str">
        <f t="shared" si="151"/>
        <v>"id":"s841",</v>
      </c>
      <c r="M859" t="str">
        <v>"cate":"Transistor",</v>
      </c>
      <c r="N859" t="str">
        <v>"des":"TRAN 300V 0,5A",</v>
      </c>
      <c r="O859" t="str">
        <v>"mfg":"ON SEMICONDUCTOR",</v>
      </c>
      <c r="P859" t="str">
        <v>"pn":"MMBTA42",</v>
      </c>
      <c r="Q859" t="str">
        <v>"qty":3293</v>
      </c>
      <c r="S859" t="s">
        <v>2498</v>
      </c>
      <c r="T859" t="str">
        <f t="shared" si="152"/>
        <v>"id":"s841","cate":"Transistor","des":"TRAN 300V 0,5A","mfg":"ON SEMICONDUCTOR","pn":"MMBTA42","qty":3293</v>
      </c>
      <c r="U859" t="s">
        <v>2503</v>
      </c>
    </row>
    <row r="860" spans="5:21" x14ac:dyDescent="0.25">
      <c r="E860" t="s">
        <v>2193</v>
      </c>
      <c r="F860" t="s">
        <v>1192</v>
      </c>
      <c r="G860" t="s">
        <v>10</v>
      </c>
      <c r="H860" t="s">
        <v>1196</v>
      </c>
      <c r="I860">
        <v>3276</v>
      </c>
      <c r="K860" t="s">
        <v>3345</v>
      </c>
      <c r="L860" t="str">
        <f t="shared" si="151"/>
        <v>"id":"s842",</v>
      </c>
      <c r="M860" t="str">
        <v>"cate":"Transistor",</v>
      </c>
      <c r="N860" t="str">
        <v>"des":"TRAN 300V 0,5A",</v>
      </c>
      <c r="O860" t="str">
        <v>"mfg":"ON SEMICONDUCTOR",</v>
      </c>
      <c r="P860" t="str">
        <v>"pn":"MMBTA42LT1G",</v>
      </c>
      <c r="Q860" t="str">
        <v>"qty":3293</v>
      </c>
      <c r="S860" t="s">
        <v>2498</v>
      </c>
      <c r="T860" t="str">
        <f t="shared" si="152"/>
        <v>"id":"s842","cate":"Transistor","des":"TRAN 300V 0,5A","mfg":"ON SEMICONDUCTOR","pn":"MMBTA42LT1G","qty":3293</v>
      </c>
      <c r="U860" t="s">
        <v>2503</v>
      </c>
    </row>
    <row r="861" spans="5:21" x14ac:dyDescent="0.25">
      <c r="E861" t="s">
        <v>2193</v>
      </c>
      <c r="F861" t="s">
        <v>1197</v>
      </c>
      <c r="G861" t="s">
        <v>320</v>
      </c>
      <c r="H861" t="s">
        <v>1198</v>
      </c>
      <c r="I861">
        <v>3259</v>
      </c>
      <c r="K861" t="s">
        <v>3346</v>
      </c>
      <c r="L861" t="str">
        <f t="shared" si="151"/>
        <v>"id":"s843",</v>
      </c>
      <c r="M861" t="str">
        <v>"cate":"Transistor",</v>
      </c>
      <c r="N861" t="str">
        <v>"des":"TRAN 300V 0,5A",</v>
      </c>
      <c r="O861" t="str">
        <v>"mfg":"ON SEMICONDUCTOR",</v>
      </c>
      <c r="P861" t="str">
        <v>"pn":"MMBTA42LT3G",</v>
      </c>
      <c r="Q861" t="str">
        <v>"qty":3293</v>
      </c>
      <c r="S861" t="s">
        <v>2498</v>
      </c>
      <c r="T861" t="str">
        <f t="shared" si="152"/>
        <v>"id":"s843","cate":"Transistor","des":"TRAN 300V 0,5A","mfg":"ON SEMICONDUCTOR","pn":"MMBTA42LT3G","qty":3293</v>
      </c>
      <c r="U861" t="s">
        <v>2503</v>
      </c>
    </row>
    <row r="862" spans="5:21" x14ac:dyDescent="0.25">
      <c r="E862" t="s">
        <v>2193</v>
      </c>
      <c r="F862" t="s">
        <v>1197</v>
      </c>
      <c r="G862" t="s">
        <v>10</v>
      </c>
      <c r="H862" t="s">
        <v>1064</v>
      </c>
      <c r="I862">
        <v>3259</v>
      </c>
      <c r="K862" t="s">
        <v>3347</v>
      </c>
      <c r="L862" t="str">
        <f t="shared" si="151"/>
        <v>"id":"s844",</v>
      </c>
      <c r="M862" t="str">
        <v>"cate":"Transistor",</v>
      </c>
      <c r="N862" t="str">
        <v>"des":"TRAN 300V 0,5A",</v>
      </c>
      <c r="O862" t="str">
        <v>"mfg":"ON SEMICONDUCTOR",</v>
      </c>
      <c r="P862" t="str">
        <v>"pn":"SMMBTA42LT1G",</v>
      </c>
      <c r="Q862" t="str">
        <v>"qty":3293</v>
      </c>
      <c r="S862" t="s">
        <v>2498</v>
      </c>
      <c r="T862" t="str">
        <f t="shared" si="152"/>
        <v>"id":"s844","cate":"Transistor","des":"TRAN 300V 0,5A","mfg":"ON SEMICONDUCTOR","pn":"SMMBTA42LT1G","qty":3293</v>
      </c>
      <c r="U862" t="s">
        <v>2503</v>
      </c>
    </row>
    <row r="863" spans="5:21" x14ac:dyDescent="0.25">
      <c r="E863" s="6" t="s">
        <v>2474</v>
      </c>
      <c r="F863" t="s">
        <v>1199</v>
      </c>
      <c r="G863" t="s">
        <v>61</v>
      </c>
      <c r="H863" t="s">
        <v>1200</v>
      </c>
      <c r="I863">
        <v>3258</v>
      </c>
      <c r="K863" t="s">
        <v>3348</v>
      </c>
      <c r="L863" t="str">
        <f t="shared" si="151"/>
        <v>"id":"s845",</v>
      </c>
      <c r="M863" t="str">
        <v>"cate":"Transistor",</v>
      </c>
      <c r="N863" t="str">
        <v>"des":"TRAN 300V 0,5A",</v>
      </c>
      <c r="O863" t="str">
        <v>"mfg":"ON SEMICONDUCTOR",</v>
      </c>
      <c r="P863" t="str">
        <v>"pn":"SMMBTA42LT3G",</v>
      </c>
      <c r="Q863" t="str">
        <v>"qty":3293</v>
      </c>
      <c r="S863" t="s">
        <v>2498</v>
      </c>
      <c r="T863" t="str">
        <f t="shared" si="152"/>
        <v>"id":"s845","cate":"Transistor","des":"TRAN 300V 0,5A","mfg":"ON SEMICONDUCTOR","pn":"SMMBTA42LT3G","qty":3293</v>
      </c>
      <c r="U863" t="s">
        <v>2503</v>
      </c>
    </row>
    <row r="864" spans="5:21" x14ac:dyDescent="0.25">
      <c r="E864" s="6" t="s">
        <v>2382</v>
      </c>
      <c r="F864" t="s">
        <v>1201</v>
      </c>
      <c r="G864" t="s">
        <v>61</v>
      </c>
      <c r="H864" t="s">
        <v>1202</v>
      </c>
      <c r="I864">
        <v>3256</v>
      </c>
      <c r="K864" t="s">
        <v>3349</v>
      </c>
      <c r="L864" t="str">
        <f t="shared" si="151"/>
        <v>"id":"s846",</v>
      </c>
      <c r="M864" t="str">
        <v>"cate":"Transistor",</v>
      </c>
      <c r="N864" t="str">
        <v>"des":"TRAN 300V 0,5A",</v>
      </c>
      <c r="O864" t="str">
        <v>"mfg":"NEXPERIA",</v>
      </c>
      <c r="P864" t="str">
        <v>"pn":"MMBTA42,215",</v>
      </c>
      <c r="Q864" t="str">
        <v>"qty":3293</v>
      </c>
      <c r="S864" t="s">
        <v>2498</v>
      </c>
      <c r="T864" t="str">
        <f t="shared" si="152"/>
        <v>"id":"s846","cate":"Transistor","des":"TRAN 300V 0,5A","mfg":"NEXPERIA","pn":"MMBTA42,215","qty":3293</v>
      </c>
      <c r="U864" t="s">
        <v>2503</v>
      </c>
    </row>
    <row r="865" spans="5:21" x14ac:dyDescent="0.25">
      <c r="E865" t="s">
        <v>2194</v>
      </c>
      <c r="F865" t="s">
        <v>2286</v>
      </c>
      <c r="G865" t="s">
        <v>249</v>
      </c>
      <c r="H865" t="s">
        <v>1203</v>
      </c>
      <c r="I865">
        <v>3247</v>
      </c>
      <c r="K865" t="s">
        <v>3350</v>
      </c>
      <c r="L865" t="str">
        <f t="shared" si="151"/>
        <v>"id":"s847",</v>
      </c>
      <c r="M865" t="str">
        <v>"cate":"Resistor ",</v>
      </c>
      <c r="N865" t="str">
        <v>"des":"RST 1K82 1/4W1%1206",</v>
      </c>
      <c r="O865" t="str">
        <v>"mfg":"YAGEO",</v>
      </c>
      <c r="P865" t="str">
        <v>"pn":"RC1206FR-071K82L",</v>
      </c>
      <c r="Q865" t="str">
        <v>"qty":3287</v>
      </c>
      <c r="S865" t="s">
        <v>2498</v>
      </c>
      <c r="T865" t="str">
        <f t="shared" si="152"/>
        <v>"id":"s847","cate":"Resistor ","des":"RST 1K82 1/4W1%1206","mfg":"YAGEO","pn":"RC1206FR-071K82L","qty":3287</v>
      </c>
      <c r="U865" t="s">
        <v>2503</v>
      </c>
    </row>
    <row r="866" spans="5:21" x14ac:dyDescent="0.25">
      <c r="E866" t="s">
        <v>2194</v>
      </c>
      <c r="F866" t="s">
        <v>2286</v>
      </c>
      <c r="G866" t="s">
        <v>249</v>
      </c>
      <c r="H866" t="s">
        <v>1204</v>
      </c>
      <c r="I866">
        <v>3247</v>
      </c>
      <c r="K866" t="s">
        <v>3351</v>
      </c>
      <c r="L866" t="str">
        <f t="shared" si="151"/>
        <v>"id":"s848",</v>
      </c>
      <c r="M866" t="str">
        <v>"cate":"Resistor ",</v>
      </c>
      <c r="N866" t="str">
        <v>"des":"RST 1K82 1/4W1%1206",</v>
      </c>
      <c r="O866" t="str">
        <v>"mfg":"KOA",</v>
      </c>
      <c r="P866" t="str">
        <v>"pn":"RK73H2BTTD1821F",</v>
      </c>
      <c r="Q866" t="str">
        <v>"qty":3287</v>
      </c>
      <c r="S866" t="s">
        <v>2498</v>
      </c>
      <c r="T866" t="str">
        <f t="shared" si="152"/>
        <v>"id":"s848","cate":"Resistor ","des":"RST 1K82 1/4W1%1206","mfg":"KOA","pn":"RK73H2BTTD1821F","qty":3287</v>
      </c>
      <c r="U866" t="s">
        <v>2503</v>
      </c>
    </row>
    <row r="867" spans="5:21" x14ac:dyDescent="0.25">
      <c r="E867" t="s">
        <v>2194</v>
      </c>
      <c r="F867" t="s">
        <v>2286</v>
      </c>
      <c r="G867" t="s">
        <v>1205</v>
      </c>
      <c r="H867" t="s">
        <v>1206</v>
      </c>
      <c r="I867">
        <v>3247</v>
      </c>
      <c r="K867" t="s">
        <v>3352</v>
      </c>
      <c r="L867" t="str">
        <f t="shared" si="151"/>
        <v>"id":"s849",</v>
      </c>
      <c r="M867" t="str">
        <v>"cate":"Resistor ",</v>
      </c>
      <c r="N867" t="str">
        <v>"des":"RST 1K82 1/4W1%1206",</v>
      </c>
      <c r="O867" t="str">
        <v>"mfg":"ROYAL OHM",</v>
      </c>
      <c r="P867" t="str">
        <v>"pn":"1206W4F1821T5E",</v>
      </c>
      <c r="Q867" t="str">
        <v>"qty":3287</v>
      </c>
      <c r="S867" t="s">
        <v>2498</v>
      </c>
      <c r="T867" t="str">
        <f t="shared" si="152"/>
        <v>"id":"s849","cate":"Resistor ","des":"RST 1K82 1/4W1%1206","mfg":"ROYAL OHM","pn":"1206W4F1821T5E","qty":3287</v>
      </c>
      <c r="U867" t="s">
        <v>2503</v>
      </c>
    </row>
    <row r="868" spans="5:21" x14ac:dyDescent="0.25">
      <c r="E868" t="s">
        <v>2194</v>
      </c>
      <c r="F868" t="s">
        <v>2286</v>
      </c>
      <c r="G868" t="s">
        <v>204</v>
      </c>
      <c r="H868" t="s">
        <v>1207</v>
      </c>
      <c r="I868">
        <v>3247</v>
      </c>
      <c r="K868" t="s">
        <v>3353</v>
      </c>
      <c r="L868" t="str">
        <f t="shared" si="151"/>
        <v>"id":"s850",</v>
      </c>
      <c r="M868" t="str">
        <v>"cate":"TAPE",</v>
      </c>
      <c r="N868" t="str">
        <v>"des":"COPPER TAPE 25 MM",</v>
      </c>
      <c r="O868" t="str">
        <v>"mfg":"3M",</v>
      </c>
      <c r="P868" t="str">
        <v>"pn":"1245",</v>
      </c>
      <c r="Q868" t="str">
        <v>"qty":3280</v>
      </c>
      <c r="S868" t="s">
        <v>2498</v>
      </c>
      <c r="T868" t="str">
        <f t="shared" si="152"/>
        <v>"id":"s850","cate":"TAPE","des":"COPPER TAPE 25 MM","mfg":"3M","pn":"1245","qty":3280</v>
      </c>
      <c r="U868" t="s">
        <v>2503</v>
      </c>
    </row>
    <row r="869" spans="5:21" x14ac:dyDescent="0.25">
      <c r="E869" t="s">
        <v>2194</v>
      </c>
      <c r="F869" t="s">
        <v>2286</v>
      </c>
      <c r="G869" t="s">
        <v>1208</v>
      </c>
      <c r="H869" t="s">
        <v>1206</v>
      </c>
      <c r="I869">
        <v>3247</v>
      </c>
      <c r="K869" t="s">
        <v>3354</v>
      </c>
      <c r="L869" t="str">
        <f t="shared" si="151"/>
        <v>"id":"s851",</v>
      </c>
      <c r="M869" t="str">
        <v>"cate":"CTM ",</v>
      </c>
      <c r="N869" t="str">
        <v>"des":"CTM 02062101",</v>
      </c>
      <c r="O869" t="str">
        <v>"mfg":"MOLEX",</v>
      </c>
      <c r="P869" t="str">
        <v>"pn":"02-06-2101",</v>
      </c>
      <c r="Q869" t="str">
        <v>"qty":3278</v>
      </c>
      <c r="S869" t="s">
        <v>2498</v>
      </c>
      <c r="T869" t="str">
        <f t="shared" si="152"/>
        <v>"id":"s851","cate":"CTM ","des":"CTM 02062101","mfg":"MOLEX","pn":"02-06-2101","qty":3278</v>
      </c>
      <c r="U869" t="s">
        <v>2503</v>
      </c>
    </row>
    <row r="870" spans="5:21" x14ac:dyDescent="0.25">
      <c r="E870" t="s">
        <v>2194</v>
      </c>
      <c r="F870" t="s">
        <v>2286</v>
      </c>
      <c r="G870" t="s">
        <v>1208</v>
      </c>
      <c r="H870" t="s">
        <v>1209</v>
      </c>
      <c r="I870">
        <v>3247</v>
      </c>
      <c r="K870" t="s">
        <v>3355</v>
      </c>
      <c r="L870" t="str">
        <f t="shared" si="151"/>
        <v>"id":"s852",</v>
      </c>
      <c r="M870" t="str">
        <v>"cate":"Resistor ",</v>
      </c>
      <c r="N870" t="str">
        <v>"des":"RST 221R 0,1W1%603A",</v>
      </c>
      <c r="O870" t="str">
        <v>"mfg":"YAGEO",</v>
      </c>
      <c r="P870" t="str">
        <v>"pn":"RC0603FR-(**) 221R L",</v>
      </c>
      <c r="Q870" t="str">
        <v>"qty":3276</v>
      </c>
      <c r="S870" t="s">
        <v>2498</v>
      </c>
      <c r="T870" t="str">
        <f t="shared" si="152"/>
        <v>"id":"s852","cate":"Resistor ","des":"RST 221R 0,1W1%603A","mfg":"YAGEO","pn":"RC0603FR-(**) 221R L","qty":3276</v>
      </c>
      <c r="U870" t="s">
        <v>2503</v>
      </c>
    </row>
    <row r="871" spans="5:21" x14ac:dyDescent="0.25">
      <c r="E871" s="6" t="s">
        <v>2494</v>
      </c>
      <c r="F871" t="s">
        <v>1210</v>
      </c>
      <c r="G871" t="s">
        <v>160</v>
      </c>
      <c r="H871" t="s">
        <v>1211</v>
      </c>
      <c r="I871">
        <v>3221</v>
      </c>
      <c r="K871" t="s">
        <v>3356</v>
      </c>
      <c r="L871" t="str">
        <f t="shared" si="151"/>
        <v>"id":"s853",</v>
      </c>
      <c r="M871" t="str">
        <v>"cate":"Resistor ",</v>
      </c>
      <c r="N871" t="str">
        <v>"des":"RST 221R 0,1W1%603A",</v>
      </c>
      <c r="O871" t="str">
        <v>"mfg":"YAGEO",</v>
      </c>
      <c r="P871" t="str">
        <v>"pn":"RC0603FR-07221RL",</v>
      </c>
      <c r="Q871" t="str">
        <v>"qty":3276</v>
      </c>
      <c r="S871" t="s">
        <v>2498</v>
      </c>
      <c r="T871" t="str">
        <f t="shared" si="152"/>
        <v>"id":"s853","cate":"Resistor ","des":"RST 221R 0,1W1%603A","mfg":"YAGEO","pn":"RC0603FR-07221RL","qty":3276</v>
      </c>
      <c r="U871" t="s">
        <v>2503</v>
      </c>
    </row>
    <row r="872" spans="5:21" x14ac:dyDescent="0.25">
      <c r="E872" t="s">
        <v>2194</v>
      </c>
      <c r="F872" t="s">
        <v>2287</v>
      </c>
      <c r="G872" t="s">
        <v>13</v>
      </c>
      <c r="H872" t="s">
        <v>1212</v>
      </c>
      <c r="I872">
        <v>3218</v>
      </c>
      <c r="K872" t="s">
        <v>3357</v>
      </c>
      <c r="L872" t="str">
        <f t="shared" si="151"/>
        <v>"id":"s854",</v>
      </c>
      <c r="M872" t="str">
        <v>"cate":"Resistor ",</v>
      </c>
      <c r="N872" t="str">
        <v>"des":"RST 221R 0,1W1%603A",</v>
      </c>
      <c r="O872" t="str">
        <v>"mfg":"KOA",</v>
      </c>
      <c r="P872" t="str">
        <v>"pn":"RK73H1JT(**) 2210 F",</v>
      </c>
      <c r="Q872" t="str">
        <v>"qty":3276</v>
      </c>
      <c r="S872" t="s">
        <v>2498</v>
      </c>
      <c r="T872" t="str">
        <f t="shared" si="152"/>
        <v>"id":"s854","cate":"Resistor ","des":"RST 221R 0,1W1%603A","mfg":"KOA","pn":"RK73H1JT(**) 2210 F","qty":3276</v>
      </c>
      <c r="U872" t="s">
        <v>2503</v>
      </c>
    </row>
    <row r="873" spans="5:21" x14ac:dyDescent="0.25">
      <c r="E873" t="s">
        <v>2194</v>
      </c>
      <c r="F873" t="s">
        <v>2287</v>
      </c>
      <c r="G873" t="s">
        <v>47</v>
      </c>
      <c r="H873" t="s">
        <v>1213</v>
      </c>
      <c r="I873">
        <v>3218</v>
      </c>
      <c r="K873" t="s">
        <v>3358</v>
      </c>
      <c r="L873" t="str">
        <f t="shared" si="151"/>
        <v>"id":"s855",</v>
      </c>
      <c r="M873" t="str">
        <v>"cate":"Resistor ",</v>
      </c>
      <c r="N873" t="str">
        <v>"des":"RST 221R 0,1W1%603A",</v>
      </c>
      <c r="O873" t="str">
        <v>"mfg":"WALSIN",</v>
      </c>
      <c r="P873" t="str">
        <v>"pn":"WR06X2210F(*)L",</v>
      </c>
      <c r="Q873" t="str">
        <v>"qty":3276</v>
      </c>
      <c r="S873" t="s">
        <v>2498</v>
      </c>
      <c r="T873" t="str">
        <f t="shared" si="152"/>
        <v>"id":"s855","cate":"Resistor ","des":"RST 221R 0,1W1%603A","mfg":"WALSIN","pn":"WR06X2210F(*)L","qty":3276</v>
      </c>
      <c r="U873" t="s">
        <v>2503</v>
      </c>
    </row>
    <row r="874" spans="5:21" x14ac:dyDescent="0.25">
      <c r="E874" t="s">
        <v>2127</v>
      </c>
      <c r="F874" t="s">
        <v>1214</v>
      </c>
      <c r="G874" t="s">
        <v>184</v>
      </c>
      <c r="H874" t="s">
        <v>1215</v>
      </c>
      <c r="I874">
        <v>3198</v>
      </c>
      <c r="K874" t="s">
        <v>3359</v>
      </c>
      <c r="L874" t="str">
        <f t="shared" si="151"/>
        <v>"id":"s856",</v>
      </c>
      <c r="M874" t="str">
        <v>"cate":"Resistor ",</v>
      </c>
      <c r="N874" t="str">
        <v>"des":"RST 220 1/4W 5%206A",</v>
      </c>
      <c r="O874" t="str">
        <v>"mfg":"ROYAL OHM",</v>
      </c>
      <c r="P874" t="str">
        <v>"pn":"1206W4J0221T5E",</v>
      </c>
      <c r="Q874" t="str">
        <v>"qty":3259</v>
      </c>
      <c r="S874" t="s">
        <v>2498</v>
      </c>
      <c r="T874" t="str">
        <f t="shared" si="152"/>
        <v>"id":"s856","cate":"Resistor ","des":"RST 220 1/4W 5%206A","mfg":"ROYAL OHM","pn":"1206W4J0221T5E","qty":3259</v>
      </c>
      <c r="U874" t="s">
        <v>2503</v>
      </c>
    </row>
    <row r="875" spans="5:21" x14ac:dyDescent="0.25">
      <c r="E875" t="s">
        <v>2127</v>
      </c>
      <c r="F875" t="s">
        <v>1214</v>
      </c>
      <c r="G875" t="s">
        <v>62</v>
      </c>
      <c r="H875" t="s">
        <v>1216</v>
      </c>
      <c r="I875">
        <v>3198</v>
      </c>
      <c r="K875" t="s">
        <v>3360</v>
      </c>
      <c r="L875" t="str">
        <f t="shared" si="151"/>
        <v>"id":"s857",</v>
      </c>
      <c r="M875" t="str">
        <v>"cate":"Resistor ",</v>
      </c>
      <c r="N875" t="str">
        <v>"des":"RST 220 1/4W 5%206A",</v>
      </c>
      <c r="O875" t="str">
        <v>"mfg":"WALSIN",</v>
      </c>
      <c r="P875" t="str">
        <v>"pn":"WR12X221JTL",</v>
      </c>
      <c r="Q875" t="str">
        <v>"qty":3259</v>
      </c>
      <c r="S875" t="s">
        <v>2498</v>
      </c>
      <c r="T875" t="str">
        <f t="shared" si="152"/>
        <v>"id":"s857","cate":"Resistor ","des":"RST 220 1/4W 5%206A","mfg":"WALSIN","pn":"WR12X221JTL","qty":3259</v>
      </c>
      <c r="U875" t="s">
        <v>2503</v>
      </c>
    </row>
    <row r="876" spans="5:21" x14ac:dyDescent="0.25">
      <c r="E876" t="s">
        <v>2127</v>
      </c>
      <c r="F876" t="s">
        <v>1214</v>
      </c>
      <c r="G876" t="s">
        <v>89</v>
      </c>
      <c r="H876" t="s">
        <v>1217</v>
      </c>
      <c r="I876">
        <v>3198</v>
      </c>
      <c r="K876" t="s">
        <v>3361</v>
      </c>
      <c r="L876" t="str">
        <f t="shared" si="151"/>
        <v>"id":"s858",</v>
      </c>
      <c r="M876" t="str">
        <v>"cate":"MOSFET",</v>
      </c>
      <c r="N876" t="str">
        <v>"des":"MOS 600V 0,4A N SMT",</v>
      </c>
      <c r="O876" t="str">
        <v>"mfg":"STMICROELECTRONICS",</v>
      </c>
      <c r="P876" t="str">
        <v>"pn":"STN1HNK60",</v>
      </c>
      <c r="Q876" t="str">
        <v>"qty":3258</v>
      </c>
      <c r="S876" t="s">
        <v>2498</v>
      </c>
      <c r="T876" t="str">
        <f t="shared" si="152"/>
        <v>"id":"s858","cate":"MOSFET","des":"MOS 600V 0,4A N SMT","mfg":"STMICROELECTRONICS","pn":"STN1HNK60","qty":3258</v>
      </c>
      <c r="U876" t="s">
        <v>2503</v>
      </c>
    </row>
    <row r="877" spans="5:21" x14ac:dyDescent="0.25">
      <c r="E877" t="s">
        <v>2405</v>
      </c>
      <c r="F877" t="s">
        <v>2434</v>
      </c>
      <c r="G877" t="s">
        <v>328</v>
      </c>
      <c r="H877" t="s">
        <v>1218</v>
      </c>
      <c r="I877">
        <v>3197</v>
      </c>
      <c r="K877" t="s">
        <v>3362</v>
      </c>
      <c r="L877" t="str">
        <f t="shared" si="151"/>
        <v>"id":"s859",</v>
      </c>
      <c r="M877" t="str">
        <v>"cate":"IC",</v>
      </c>
      <c r="N877" t="str">
        <v>"des":"IC VIPER26HD",</v>
      </c>
      <c r="O877" t="str">
        <v>"mfg":"STMICROELECTRONICS",</v>
      </c>
      <c r="P877" t="str">
        <v>"pn":"VIPER26HDTR",</v>
      </c>
      <c r="Q877" t="str">
        <v>"qty":3256</v>
      </c>
      <c r="S877" t="s">
        <v>2498</v>
      </c>
      <c r="T877" t="str">
        <f t="shared" si="152"/>
        <v>"id":"s859","cate":"IC","des":"IC VIPER26HD","mfg":"STMICROELECTRONICS","pn":"VIPER26HDTR","qty":3256</v>
      </c>
      <c r="U877" t="s">
        <v>2503</v>
      </c>
    </row>
    <row r="878" spans="5:21" x14ac:dyDescent="0.25">
      <c r="E878" t="s">
        <v>2405</v>
      </c>
      <c r="F878" t="s">
        <v>2435</v>
      </c>
      <c r="G878" t="s">
        <v>37</v>
      </c>
      <c r="H878" t="s">
        <v>1219</v>
      </c>
      <c r="I878">
        <v>3189</v>
      </c>
      <c r="K878" t="s">
        <v>3363</v>
      </c>
      <c r="L878" t="str">
        <f t="shared" si="151"/>
        <v>"id":"s860",</v>
      </c>
      <c r="M878" t="str">
        <v>"cate":"Capacitor",</v>
      </c>
      <c r="N878" t="str">
        <v>"des":"Capacitor 470UF 80V TH",</v>
      </c>
      <c r="O878" t="str">
        <v>"mfg":"NICHICON",</v>
      </c>
      <c r="P878" t="str">
        <v>"pn":"UHW1K471MHD",</v>
      </c>
      <c r="Q878" t="str">
        <v>"qty":3247</v>
      </c>
      <c r="S878" t="s">
        <v>2498</v>
      </c>
      <c r="T878" t="str">
        <f t="shared" si="152"/>
        <v>"id":"s860","cate":"Capacitor","des":"Capacitor 470UF 80V TH","mfg":"NICHICON","pn":"UHW1K471MHD","qty":3247</v>
      </c>
      <c r="U878" t="s">
        <v>2503</v>
      </c>
    </row>
    <row r="879" spans="5:21" x14ac:dyDescent="0.25">
      <c r="E879" t="s">
        <v>2405</v>
      </c>
      <c r="F879" t="s">
        <v>2435</v>
      </c>
      <c r="G879" t="s">
        <v>37</v>
      </c>
      <c r="H879" t="s">
        <v>1220</v>
      </c>
      <c r="I879">
        <v>3189</v>
      </c>
      <c r="K879" t="s">
        <v>3364</v>
      </c>
      <c r="L879" t="str">
        <f t="shared" si="151"/>
        <v>"id":"s861",</v>
      </c>
      <c r="M879" t="str">
        <v>"cate":"Capacitor",</v>
      </c>
      <c r="N879" t="str">
        <v>"des":"Capacitor 470UF 80V TH",</v>
      </c>
      <c r="O879" t="str">
        <v>"mfg":"NICHICON",</v>
      </c>
      <c r="P879" t="str">
        <v>"pn":"UHW1K471MHD12,5X31,5",</v>
      </c>
      <c r="Q879" t="str">
        <v>"qty":3247</v>
      </c>
      <c r="S879" t="s">
        <v>2498</v>
      </c>
      <c r="T879" t="str">
        <f t="shared" si="152"/>
        <v>"id":"s861","cate":"Capacitor","des":"Capacitor 470UF 80V TH","mfg":"NICHICON","pn":"UHW1K471MHD12,5X31,5","qty":3247</v>
      </c>
      <c r="U879" t="s">
        <v>2503</v>
      </c>
    </row>
    <row r="880" spans="5:21" x14ac:dyDescent="0.25">
      <c r="E880" t="s">
        <v>2405</v>
      </c>
      <c r="F880" t="s">
        <v>2435</v>
      </c>
      <c r="G880" t="s">
        <v>28</v>
      </c>
      <c r="H880" t="s">
        <v>1221</v>
      </c>
      <c r="I880">
        <v>3189</v>
      </c>
      <c r="K880" t="s">
        <v>3365</v>
      </c>
      <c r="L880" t="str">
        <f t="shared" si="151"/>
        <v>"id":"s862",</v>
      </c>
      <c r="M880" t="str">
        <v>"cate":"Capacitor",</v>
      </c>
      <c r="N880" t="str">
        <v>"des":"Capacitor 470UF 80V TH",</v>
      </c>
      <c r="O880" t="str">
        <v>"mfg":"NIPPON CHEMI-CON",</v>
      </c>
      <c r="P880" t="str">
        <v>"pn":"EKZN800ELL471MK30S",</v>
      </c>
      <c r="Q880" t="str">
        <v>"qty":3247</v>
      </c>
      <c r="S880" t="s">
        <v>2498</v>
      </c>
      <c r="T880" t="str">
        <f t="shared" si="152"/>
        <v>"id":"s862","cate":"Capacitor","des":"Capacitor 470UF 80V TH","mfg":"NIPPON CHEMI-CON","pn":"EKZN800ELL471MK30S","qty":3247</v>
      </c>
      <c r="U880" t="s">
        <v>2503</v>
      </c>
    </row>
    <row r="881" spans="5:21" x14ac:dyDescent="0.25">
      <c r="E881" s="6" t="s">
        <v>2382</v>
      </c>
      <c r="F881" t="s">
        <v>1222</v>
      </c>
      <c r="G881" t="s">
        <v>61</v>
      </c>
      <c r="H881" t="s">
        <v>1223</v>
      </c>
      <c r="I881">
        <v>3184</v>
      </c>
      <c r="K881" t="s">
        <v>3366</v>
      </c>
      <c r="L881" t="str">
        <f t="shared" si="151"/>
        <v>"id":"s863",</v>
      </c>
      <c r="M881" t="str">
        <v>"cate":"Capacitor",</v>
      </c>
      <c r="N881" t="str">
        <v>"des":"Capacitor 470UF 80V TH",</v>
      </c>
      <c r="O881" t="str">
        <v>"mfg":"SAMWHA",</v>
      </c>
      <c r="P881" t="str">
        <v>"pn":"LQ 1K 477 M 12030 BB",</v>
      </c>
      <c r="Q881" t="str">
        <v>"qty":3247</v>
      </c>
      <c r="S881" t="s">
        <v>2498</v>
      </c>
      <c r="T881" t="str">
        <f t="shared" si="152"/>
        <v>"id":"s863","cate":"Capacitor","des":"Capacitor 470UF 80V TH","mfg":"SAMWHA","pn":"LQ 1K 477 M 12030 BB","qty":3247</v>
      </c>
      <c r="U881" t="s">
        <v>2503</v>
      </c>
    </row>
    <row r="882" spans="5:21" x14ac:dyDescent="0.25">
      <c r="E882" s="6" t="s">
        <v>2382</v>
      </c>
      <c r="F882" t="s">
        <v>1222</v>
      </c>
      <c r="G882" t="s">
        <v>542</v>
      </c>
      <c r="H882" t="s">
        <v>1224</v>
      </c>
      <c r="I882">
        <v>3184</v>
      </c>
      <c r="K882" t="s">
        <v>3367</v>
      </c>
      <c r="L882" t="str">
        <f t="shared" si="151"/>
        <v>"id":"s864",</v>
      </c>
      <c r="M882" t="str">
        <v>"cate":"Capacitor",</v>
      </c>
      <c r="N882" t="str">
        <v>"des":"Capacitor 470UF 80V TH",</v>
      </c>
      <c r="O882" t="str">
        <v>"mfg":"UNITED CHEMI-CON",</v>
      </c>
      <c r="P882" t="str">
        <v>"pn":"EKZN800ELL471MK30S",</v>
      </c>
      <c r="Q882" t="str">
        <v>"qty":3247</v>
      </c>
      <c r="S882" t="s">
        <v>2498</v>
      </c>
      <c r="T882" t="str">
        <f t="shared" si="152"/>
        <v>"id":"s864","cate":"Capacitor","des":"Capacitor 470UF 80V TH","mfg":"UNITED CHEMI-CON","pn":"EKZN800ELL471MK30S","qty":3247</v>
      </c>
      <c r="U882" t="s">
        <v>2503</v>
      </c>
    </row>
    <row r="883" spans="5:21" x14ac:dyDescent="0.25">
      <c r="E883" t="s">
        <v>2123</v>
      </c>
      <c r="F883" t="s">
        <v>1225</v>
      </c>
      <c r="G883" t="s">
        <v>138</v>
      </c>
      <c r="H883" t="s">
        <v>1226</v>
      </c>
      <c r="I883">
        <v>3167</v>
      </c>
      <c r="K883" t="s">
        <v>3368</v>
      </c>
      <c r="L883" t="str">
        <f t="shared" si="151"/>
        <v>"id":"s865",</v>
      </c>
      <c r="M883" t="str">
        <v>"cate":"Capacitor",</v>
      </c>
      <c r="N883" t="str">
        <v>"des":"Capacitor 470UF 80V TH",</v>
      </c>
      <c r="O883" t="str">
        <v>"mfg":"UNITED CHEMI-CON",</v>
      </c>
      <c r="P883" t="str">
        <v>"pn":"EKZN800ELL471MK301",</v>
      </c>
      <c r="Q883" t="str">
        <v>"qty":3247</v>
      </c>
      <c r="S883" t="s">
        <v>2498</v>
      </c>
      <c r="T883" t="str">
        <f t="shared" si="152"/>
        <v>"id":"s865","cate":"Capacitor","des":"Capacitor 470UF 80V TH","mfg":"UNITED CHEMI-CON","pn":"EKZN800ELL471MK301","qty":3247</v>
      </c>
      <c r="U883" t="s">
        <v>2503</v>
      </c>
    </row>
    <row r="884" spans="5:21" x14ac:dyDescent="0.25">
      <c r="E884" s="6" t="s">
        <v>2488</v>
      </c>
      <c r="F884" t="s">
        <v>1227</v>
      </c>
      <c r="G884" t="s">
        <v>2467</v>
      </c>
      <c r="H884" t="s">
        <v>1228</v>
      </c>
      <c r="I884">
        <v>3162</v>
      </c>
      <c r="K884" t="s">
        <v>3369</v>
      </c>
      <c r="L884" t="str">
        <f t="shared" si="151"/>
        <v>"id":"s866",</v>
      </c>
      <c r="M884" t="str">
        <v>"cate":"Connector",</v>
      </c>
      <c r="N884" t="str">
        <v>"des":"CTF 02061101",</v>
      </c>
      <c r="O884" t="str">
        <v>"mfg":"MOLEX",</v>
      </c>
      <c r="P884" t="str">
        <v>"pn":"02-06-1101",</v>
      </c>
      <c r="Q884" t="str">
        <v>"qty":3221</v>
      </c>
      <c r="S884" t="s">
        <v>2498</v>
      </c>
      <c r="T884" t="str">
        <f t="shared" si="152"/>
        <v>"id":"s866","cate":"Connector","des":"CTF 02061101","mfg":"MOLEX","pn":"02-06-1101","qty":3221</v>
      </c>
      <c r="U884" t="s">
        <v>2503</v>
      </c>
    </row>
    <row r="885" spans="5:21" x14ac:dyDescent="0.25">
      <c r="E885" s="6" t="s">
        <v>2488</v>
      </c>
      <c r="F885" t="s">
        <v>1227</v>
      </c>
      <c r="G885" t="s">
        <v>2467</v>
      </c>
      <c r="H885" t="s">
        <v>1229</v>
      </c>
      <c r="I885">
        <v>3162</v>
      </c>
      <c r="K885" t="s">
        <v>3370</v>
      </c>
      <c r="L885" t="str">
        <f t="shared" si="151"/>
        <v>"id":"s867",</v>
      </c>
      <c r="M885" t="str">
        <v>"cate":"Capacitor",</v>
      </c>
      <c r="N885" t="str">
        <v>"des":"Capacitor 1NF 100V 1206",</v>
      </c>
      <c r="O885" t="str">
        <v>"mfg":"YAGEO",</v>
      </c>
      <c r="P885" t="str">
        <v>"pn":"CC1206JRNPO0BN102",</v>
      </c>
      <c r="Q885" t="str">
        <v>"qty":3218</v>
      </c>
      <c r="S885" t="s">
        <v>2498</v>
      </c>
      <c r="T885" t="str">
        <f t="shared" si="152"/>
        <v>"id":"s867","cate":"Capacitor","des":"Capacitor 1NF 100V 1206","mfg":"YAGEO","pn":"CC1206JRNPO0BN102","qty":3218</v>
      </c>
      <c r="U885" t="s">
        <v>2503</v>
      </c>
    </row>
    <row r="886" spans="5:21" x14ac:dyDescent="0.25">
      <c r="E886" t="s">
        <v>2405</v>
      </c>
      <c r="F886" t="s">
        <v>2436</v>
      </c>
      <c r="G886" t="s">
        <v>37</v>
      </c>
      <c r="H886" t="s">
        <v>1230</v>
      </c>
      <c r="I886">
        <v>3152</v>
      </c>
      <c r="K886" t="s">
        <v>3371</v>
      </c>
      <c r="L886" t="str">
        <f t="shared" si="151"/>
        <v>"id":"s868",</v>
      </c>
      <c r="M886" t="str">
        <v>"cate":"Capacitor",</v>
      </c>
      <c r="N886" t="str">
        <v>"des":"Capacitor 1NF 100V 1206",</v>
      </c>
      <c r="O886" t="str">
        <v>"mfg":"KEMET",</v>
      </c>
      <c r="P886" t="str">
        <v>"pn":"C1206C102J1GAC",</v>
      </c>
      <c r="Q886" t="str">
        <v>"qty":3218</v>
      </c>
      <c r="S886" t="s">
        <v>2498</v>
      </c>
      <c r="T886" t="str">
        <f t="shared" si="152"/>
        <v>"id":"s868","cate":"Capacitor","des":"Capacitor 1NF 100V 1206","mfg":"KEMET","pn":"C1206C102J1GAC","qty":3218</v>
      </c>
      <c r="U886" t="s">
        <v>2503</v>
      </c>
    </row>
    <row r="887" spans="5:21" x14ac:dyDescent="0.25">
      <c r="E887" t="s">
        <v>2405</v>
      </c>
      <c r="F887" t="s">
        <v>2436</v>
      </c>
      <c r="G887" t="s">
        <v>2467</v>
      </c>
      <c r="H887" t="s">
        <v>1231</v>
      </c>
      <c r="I887">
        <v>3152</v>
      </c>
      <c r="K887" t="s">
        <v>3372</v>
      </c>
      <c r="L887" t="str">
        <f t="shared" si="151"/>
        <v>"id":"s869",</v>
      </c>
      <c r="M887" t="str">
        <v>"cate":"IND ",</v>
      </c>
      <c r="N887" t="str">
        <v>"des":"IND 51UH 0,5A SMD",</v>
      </c>
      <c r="O887" t="str">
        <v>"mfg":"WURTH ELEKTRONIK",</v>
      </c>
      <c r="P887" t="str">
        <v>"pn":"744227",</v>
      </c>
      <c r="Q887" t="str">
        <v>"qty":3198</v>
      </c>
      <c r="S887" t="s">
        <v>2498</v>
      </c>
      <c r="T887" t="str">
        <f t="shared" si="152"/>
        <v>"id":"s869","cate":"IND ","des":"IND 51UH 0,5A SMD","mfg":"WURTH ELEKTRONIK","pn":"744227","qty":3198</v>
      </c>
      <c r="U887" t="s">
        <v>2503</v>
      </c>
    </row>
    <row r="888" spans="5:21" x14ac:dyDescent="0.25">
      <c r="E888" s="6" t="s">
        <v>2495</v>
      </c>
      <c r="F888" t="s">
        <v>1232</v>
      </c>
      <c r="G888" t="s">
        <v>1233</v>
      </c>
      <c r="H888" t="s">
        <v>1234</v>
      </c>
      <c r="I888">
        <v>3127</v>
      </c>
      <c r="K888" t="s">
        <v>3373</v>
      </c>
      <c r="L888" t="str">
        <f t="shared" si="151"/>
        <v>"id":"s870",</v>
      </c>
      <c r="M888" t="str">
        <v>"cate":"IND ",</v>
      </c>
      <c r="N888" t="str">
        <v>"des":"IND 51UH 0,5A SMD",</v>
      </c>
      <c r="O888" t="str">
        <v>"mfg":"TDK",</v>
      </c>
      <c r="P888" t="str">
        <v>"pn":"ZJYS81R5-2P50 -G01",</v>
      </c>
      <c r="Q888" t="str">
        <v>"qty":3198</v>
      </c>
      <c r="S888" t="s">
        <v>2498</v>
      </c>
      <c r="T888" t="str">
        <f t="shared" si="152"/>
        <v>"id":"s870","cate":"IND ","des":"IND 51UH 0,5A SMD","mfg":"TDK","pn":"ZJYS81R5-2P50 -G01","qty":3198</v>
      </c>
      <c r="U888" t="s">
        <v>2503</v>
      </c>
    </row>
    <row r="889" spans="5:21" x14ac:dyDescent="0.25">
      <c r="E889" t="s">
        <v>2194</v>
      </c>
      <c r="F889" t="s">
        <v>2288</v>
      </c>
      <c r="G889" t="s">
        <v>13</v>
      </c>
      <c r="H889" t="s">
        <v>1006</v>
      </c>
      <c r="I889">
        <v>3124</v>
      </c>
      <c r="K889" t="s">
        <v>3374</v>
      </c>
      <c r="L889" t="str">
        <f t="shared" si="151"/>
        <v>"id":"s871",</v>
      </c>
      <c r="M889" t="str">
        <v>"cate":"IND ",</v>
      </c>
      <c r="N889" t="str">
        <v>"des":"IND 51UH 0,5A SMD",</v>
      </c>
      <c r="O889" t="str">
        <v>"mfg":"BOURNS",</v>
      </c>
      <c r="P889" t="str">
        <v>"pn":"DR331-513BE",</v>
      </c>
      <c r="Q889" t="str">
        <v>"qty":3198</v>
      </c>
      <c r="S889" t="s">
        <v>2498</v>
      </c>
      <c r="T889" t="str">
        <f t="shared" si="152"/>
        <v>"id":"s871","cate":"IND ","des":"IND 51UH 0,5A SMD","mfg":"BOURNS","pn":"DR331-513BE","qty":3198</v>
      </c>
      <c r="U889" t="s">
        <v>2503</v>
      </c>
    </row>
    <row r="890" spans="5:21" x14ac:dyDescent="0.25">
      <c r="E890" t="s">
        <v>2194</v>
      </c>
      <c r="F890" t="s">
        <v>2288</v>
      </c>
      <c r="G890" t="s">
        <v>45</v>
      </c>
      <c r="H890" t="s">
        <v>1235</v>
      </c>
      <c r="I890">
        <v>3124</v>
      </c>
      <c r="K890" t="s">
        <v>3375</v>
      </c>
      <c r="L890" t="str">
        <f t="shared" si="151"/>
        <v>"id":"s872",</v>
      </c>
      <c r="M890" t="str">
        <v>"cate":"Diode",</v>
      </c>
      <c r="N890" t="str">
        <v>"des":"DiodeE 1A 1000V",</v>
      </c>
      <c r="O890" t="str">
        <v>"mfg":"MCC",</v>
      </c>
      <c r="P890" t="str">
        <v>"pn":"1N4007-TP",</v>
      </c>
      <c r="Q890" t="str">
        <v>"qty":3197</v>
      </c>
      <c r="S890" t="s">
        <v>2498</v>
      </c>
      <c r="T890" t="str">
        <f t="shared" si="152"/>
        <v>"id":"s872","cate":"Diode","des":"DiodeE 1A 1000V","mfg":"MCC","pn":"1N4007-TP","qty":3197</v>
      </c>
      <c r="U890" t="s">
        <v>2503</v>
      </c>
    </row>
    <row r="891" spans="5:21" x14ac:dyDescent="0.25">
      <c r="E891" t="s">
        <v>2194</v>
      </c>
      <c r="F891" t="s">
        <v>2288</v>
      </c>
      <c r="G891" t="s">
        <v>47</v>
      </c>
      <c r="H891" t="s">
        <v>1236</v>
      </c>
      <c r="I891">
        <v>3124</v>
      </c>
      <c r="K891" t="s">
        <v>3376</v>
      </c>
      <c r="L891" t="str">
        <f t="shared" si="151"/>
        <v>"id":"s873",</v>
      </c>
      <c r="M891" t="str">
        <v>"cate":"Diode",</v>
      </c>
      <c r="N891" t="str">
        <v>"des":"DiodeE 8A/400V",</v>
      </c>
      <c r="O891" t="str">
        <v>"mfg":"VISHAY",</v>
      </c>
      <c r="P891" t="str">
        <v>"pn":"VS-8ETU04HN3",</v>
      </c>
      <c r="Q891" t="str">
        <v>"qty":3189</v>
      </c>
      <c r="S891" t="s">
        <v>2498</v>
      </c>
      <c r="T891" t="str">
        <f t="shared" si="152"/>
        <v>"id":"s873","cate":"Diode","des":"DiodeE 8A/400V","mfg":"VISHAY","pn":"VS-8ETU04HN3","qty":3189</v>
      </c>
      <c r="U891" t="s">
        <v>2503</v>
      </c>
    </row>
    <row r="892" spans="5:21" x14ac:dyDescent="0.25">
      <c r="E892" t="s">
        <v>2194</v>
      </c>
      <c r="F892" t="s">
        <v>2288</v>
      </c>
      <c r="G892" t="s">
        <v>37</v>
      </c>
      <c r="H892" t="s">
        <v>1237</v>
      </c>
      <c r="I892">
        <v>3124</v>
      </c>
      <c r="K892" t="s">
        <v>3377</v>
      </c>
      <c r="L892" t="str">
        <f t="shared" si="151"/>
        <v>"id":"s874",</v>
      </c>
      <c r="M892" t="str">
        <v>"cate":"Diode",</v>
      </c>
      <c r="N892" t="str">
        <v>"des":"DiodeE 8A/400V",</v>
      </c>
      <c r="O892" t="str">
        <v>"mfg":"VISHAY",</v>
      </c>
      <c r="P892" t="str">
        <v>"pn":"8ETU04HN3",</v>
      </c>
      <c r="Q892" t="str">
        <v>"qty":3189</v>
      </c>
      <c r="S892" t="s">
        <v>2498</v>
      </c>
      <c r="T892" t="str">
        <f t="shared" si="152"/>
        <v>"id":"s874","cate":"Diode","des":"DiodeE 8A/400V","mfg":"VISHAY","pn":"8ETU04HN3","qty":3189</v>
      </c>
      <c r="U892" t="s">
        <v>2503</v>
      </c>
    </row>
    <row r="893" spans="5:21" x14ac:dyDescent="0.25">
      <c r="E893" t="s">
        <v>2194</v>
      </c>
      <c r="F893" t="s">
        <v>2288</v>
      </c>
      <c r="G893" t="s">
        <v>64</v>
      </c>
      <c r="H893" t="s">
        <v>1238</v>
      </c>
      <c r="I893">
        <v>3124</v>
      </c>
      <c r="K893" t="s">
        <v>3378</v>
      </c>
      <c r="L893" t="str">
        <f t="shared" si="151"/>
        <v>"id":"s875",</v>
      </c>
      <c r="M893" t="str">
        <v>"cate":"Diode",</v>
      </c>
      <c r="N893" t="str">
        <v>"des":"DiodeE 8A/400V",</v>
      </c>
      <c r="O893" t="str">
        <v>"mfg":"ON SEMICONDUCTOR",</v>
      </c>
      <c r="P893" t="str">
        <v>"pn":"MUR840G",</v>
      </c>
      <c r="Q893" t="str">
        <v>"qty":3189</v>
      </c>
      <c r="S893" t="s">
        <v>2498</v>
      </c>
      <c r="T893" t="str">
        <f t="shared" si="152"/>
        <v>"id":"s875","cate":"Diode","des":"DiodeE 8A/400V","mfg":"ON SEMICONDUCTOR","pn":"MUR840G","qty":3189</v>
      </c>
      <c r="U893" t="s">
        <v>2503</v>
      </c>
    </row>
    <row r="894" spans="5:21" x14ac:dyDescent="0.25">
      <c r="E894" t="s">
        <v>2194</v>
      </c>
      <c r="F894" t="s">
        <v>2288</v>
      </c>
      <c r="G894" t="s">
        <v>62</v>
      </c>
      <c r="H894" t="s">
        <v>1239</v>
      </c>
      <c r="I894">
        <v>3124</v>
      </c>
      <c r="K894" t="s">
        <v>3379</v>
      </c>
      <c r="L894" t="str">
        <f t="shared" si="151"/>
        <v>"id":"s876",</v>
      </c>
      <c r="M894" t="str">
        <v>"cate":"IC",</v>
      </c>
      <c r="N894" t="str">
        <v>"des":"IC 24LC512-I/ST",</v>
      </c>
      <c r="O894" t="str">
        <v>"mfg":"STMICROELECTRONICS",</v>
      </c>
      <c r="P894" t="str">
        <v>"pn":"M24512-WDW6TP",</v>
      </c>
      <c r="Q894" t="str">
        <v>"qty":3184</v>
      </c>
      <c r="S894" t="s">
        <v>2498</v>
      </c>
      <c r="T894" t="str">
        <f t="shared" si="152"/>
        <v>"id":"s876","cate":"IC","des":"IC 24LC512-I/ST","mfg":"STMICROELECTRONICS","pn":"M24512-WDW6TP","qty":3184</v>
      </c>
      <c r="U894" t="s">
        <v>2503</v>
      </c>
    </row>
    <row r="895" spans="5:21" x14ac:dyDescent="0.25">
      <c r="E895" t="s">
        <v>2194</v>
      </c>
      <c r="F895" t="s">
        <v>2289</v>
      </c>
      <c r="G895" t="s">
        <v>13</v>
      </c>
      <c r="H895" t="s">
        <v>1240</v>
      </c>
      <c r="I895">
        <v>3093</v>
      </c>
      <c r="K895" t="s">
        <v>3380</v>
      </c>
      <c r="L895" t="str">
        <f t="shared" si="151"/>
        <v>"id":"s877",</v>
      </c>
      <c r="M895" t="str">
        <v>"cate":"IC",</v>
      </c>
      <c r="N895" t="str">
        <v>"des":"IC 24LC512-I/ST",</v>
      </c>
      <c r="O895" t="str">
        <v>"mfg":"MICROCHIP",</v>
      </c>
      <c r="P895" t="str">
        <v>"pn":"24LC512-I/ST",</v>
      </c>
      <c r="Q895" t="str">
        <v>"qty":3184</v>
      </c>
      <c r="S895" t="s">
        <v>2498</v>
      </c>
      <c r="T895" t="str">
        <f t="shared" si="152"/>
        <v>"id":"s877","cate":"IC","des":"IC 24LC512-I/ST","mfg":"MICROCHIP","pn":"24LC512-I/ST","qty":3184</v>
      </c>
      <c r="U895" t="s">
        <v>2503</v>
      </c>
    </row>
    <row r="896" spans="5:21" x14ac:dyDescent="0.25">
      <c r="E896" t="s">
        <v>2194</v>
      </c>
      <c r="F896" t="s">
        <v>2289</v>
      </c>
      <c r="G896" t="s">
        <v>47</v>
      </c>
      <c r="H896" t="s">
        <v>1241</v>
      </c>
      <c r="I896">
        <v>3093</v>
      </c>
      <c r="K896" t="s">
        <v>3381</v>
      </c>
      <c r="L896" t="str">
        <f t="shared" si="151"/>
        <v>"id":"s878",</v>
      </c>
      <c r="M896" t="str">
        <v>"cate":"LED ",</v>
      </c>
      <c r="N896" t="str">
        <v>"des":"LED RGB 0606 SMD",</v>
      </c>
      <c r="O896" t="str">
        <v>"mfg":"DIALIGHT",</v>
      </c>
      <c r="P896" t="str">
        <v>"pn":"598-8710-307F",</v>
      </c>
      <c r="Q896" t="str">
        <v>"qty":3167</v>
      </c>
      <c r="S896" t="s">
        <v>2498</v>
      </c>
      <c r="T896" t="str">
        <f t="shared" si="152"/>
        <v>"id":"s878","cate":"LED ","des":"LED RGB 0606 SMD","mfg":"DIALIGHT","pn":"598-8710-307F","qty":3167</v>
      </c>
      <c r="U896" t="s">
        <v>2503</v>
      </c>
    </row>
    <row r="897" spans="5:21" x14ac:dyDescent="0.25">
      <c r="E897" t="s">
        <v>2194</v>
      </c>
      <c r="F897" t="s">
        <v>2289</v>
      </c>
      <c r="G897" t="s">
        <v>8</v>
      </c>
      <c r="H897" t="s">
        <v>1242</v>
      </c>
      <c r="I897">
        <v>3093</v>
      </c>
      <c r="K897" t="s">
        <v>3382</v>
      </c>
      <c r="L897" t="str">
        <f t="shared" si="151"/>
        <v>"id":"s879",</v>
      </c>
      <c r="M897" t="str">
        <v>"cate":"Transistor",</v>
      </c>
      <c r="N897" t="str">
        <v>"des":"TRAN 40V 3A",</v>
      </c>
      <c r="O897" t="str">
        <v>"mfg":"DiodeES INC.",</v>
      </c>
      <c r="P897" t="str">
        <v>"pn":"ZXTP25040DFH",</v>
      </c>
      <c r="Q897" t="str">
        <v>"qty":3162</v>
      </c>
      <c r="S897" t="s">
        <v>2498</v>
      </c>
      <c r="T897" t="str">
        <f t="shared" si="152"/>
        <v>"id":"s879","cate":"Transistor","des":"TRAN 40V 3A","mfg":"DiodeES INC.","pn":"ZXTP25040DFH","qty":3162</v>
      </c>
      <c r="U897" t="s">
        <v>2503</v>
      </c>
    </row>
    <row r="898" spans="5:21" x14ac:dyDescent="0.25">
      <c r="E898" t="s">
        <v>2194</v>
      </c>
      <c r="F898" t="s">
        <v>2289</v>
      </c>
      <c r="G898" t="s">
        <v>8</v>
      </c>
      <c r="H898" t="s">
        <v>1243</v>
      </c>
      <c r="I898">
        <v>3093</v>
      </c>
      <c r="K898" t="s">
        <v>3383</v>
      </c>
      <c r="L898" t="str">
        <f t="shared" si="151"/>
        <v>"id":"s880",</v>
      </c>
      <c r="M898" t="str">
        <v>"cate":"Transistor",</v>
      </c>
      <c r="N898" t="str">
        <v>"des":"TRAN 40V 3A",</v>
      </c>
      <c r="O898" t="str">
        <v>"mfg":"DiodeES INC.",</v>
      </c>
      <c r="P898" t="str">
        <v>"pn":"ZXTP25040DFHTA",</v>
      </c>
      <c r="Q898" t="str">
        <v>"qty":3162</v>
      </c>
      <c r="S898" t="s">
        <v>2498</v>
      </c>
      <c r="T898" t="str">
        <f t="shared" si="152"/>
        <v>"id":"s880","cate":"Transistor","des":"TRAN 40V 3A","mfg":"DiodeES INC.","pn":"ZXTP25040DFHTA","qty":3162</v>
      </c>
      <c r="U898" t="s">
        <v>2503</v>
      </c>
    </row>
    <row r="899" spans="5:21" x14ac:dyDescent="0.25">
      <c r="E899" t="s">
        <v>2194</v>
      </c>
      <c r="F899" t="s">
        <v>2289</v>
      </c>
      <c r="G899" t="s">
        <v>10</v>
      </c>
      <c r="H899" t="s">
        <v>1244</v>
      </c>
      <c r="I899">
        <v>3093</v>
      </c>
      <c r="K899" t="s">
        <v>3384</v>
      </c>
      <c r="L899" t="str">
        <f t="shared" si="151"/>
        <v>"id":"s881",</v>
      </c>
      <c r="M899" t="str">
        <v>"cate":"Diode",</v>
      </c>
      <c r="N899" t="str">
        <v>"des":"DiodeE 1A 600V SMA",</v>
      </c>
      <c r="O899" t="str">
        <v>"mfg":"VISHAY",</v>
      </c>
      <c r="P899" t="str">
        <v>"pn":"US1J-E3",</v>
      </c>
      <c r="Q899" t="str">
        <v>"qty":3152</v>
      </c>
      <c r="S899" t="s">
        <v>2498</v>
      </c>
      <c r="T899" t="str">
        <f t="shared" si="152"/>
        <v>"id":"s881","cate":"Diode","des":"DiodeE 1A 600V SMA","mfg":"VISHAY","pn":"US1J-E3","qty":3152</v>
      </c>
      <c r="U899" t="s">
        <v>2503</v>
      </c>
    </row>
    <row r="900" spans="5:21" x14ac:dyDescent="0.25">
      <c r="E900" t="s">
        <v>2194</v>
      </c>
      <c r="F900" t="s">
        <v>2290</v>
      </c>
      <c r="G900" t="s">
        <v>47</v>
      </c>
      <c r="H900" t="s">
        <v>1245</v>
      </c>
      <c r="I900">
        <v>3081</v>
      </c>
      <c r="K900" t="s">
        <v>3385</v>
      </c>
      <c r="L900" t="str">
        <f t="shared" si="151"/>
        <v>"id":"s882",</v>
      </c>
      <c r="M900" t="str">
        <v>"cate":"Diode",</v>
      </c>
      <c r="N900" t="str">
        <v>"des":"DiodeE 1A 600V SMA",</v>
      </c>
      <c r="O900" t="str">
        <v>"mfg":"DiodeES INC.",</v>
      </c>
      <c r="P900" t="str">
        <v>"pn":"US1J-13-F",</v>
      </c>
      <c r="Q900" t="str">
        <v>"qty":3152</v>
      </c>
      <c r="S900" t="s">
        <v>2498</v>
      </c>
      <c r="T900" t="str">
        <f t="shared" si="152"/>
        <v>"id":"s882","cate":"Diode","des":"DiodeE 1A 600V SMA","mfg":"DiodeES INC.","pn":"US1J-13-F","qty":3152</v>
      </c>
      <c r="U900" t="s">
        <v>2503</v>
      </c>
    </row>
    <row r="901" spans="5:21" x14ac:dyDescent="0.25">
      <c r="E901" t="s">
        <v>2194</v>
      </c>
      <c r="F901" t="s">
        <v>2290</v>
      </c>
      <c r="G901" t="s">
        <v>47</v>
      </c>
      <c r="H901" t="s">
        <v>1246</v>
      </c>
      <c r="I901">
        <v>3081</v>
      </c>
      <c r="K901" t="s">
        <v>3386</v>
      </c>
      <c r="L901" t="str">
        <f t="shared" si="151"/>
        <v>"id":"s883",</v>
      </c>
      <c r="M901" t="str">
        <v>"cate":"Terminal",</v>
      </c>
      <c r="N901" t="str">
        <v>"des":"CNT H3163-01",</v>
      </c>
      <c r="O901" t="str">
        <v>"mfg":"HARWIN",</v>
      </c>
      <c r="P901" t="str">
        <v>"pn":"H3163-01",</v>
      </c>
      <c r="Q901" t="str">
        <v>"qty":3127</v>
      </c>
      <c r="S901" t="s">
        <v>2498</v>
      </c>
      <c r="T901" t="str">
        <f t="shared" si="152"/>
        <v>"id":"s883","cate":"Terminal","des":"CNT H3163-01","mfg":"HARWIN","pn":"H3163-01","qty":3127</v>
      </c>
      <c r="U901" t="s">
        <v>2503</v>
      </c>
    </row>
    <row r="902" spans="5:21" x14ac:dyDescent="0.25">
      <c r="E902" t="s">
        <v>2194</v>
      </c>
      <c r="F902" t="s">
        <v>2290</v>
      </c>
      <c r="G902" t="s">
        <v>37</v>
      </c>
      <c r="H902" t="s">
        <v>1247</v>
      </c>
      <c r="I902">
        <v>3081</v>
      </c>
      <c r="K902" t="s">
        <v>3387</v>
      </c>
      <c r="L902" t="str">
        <f t="shared" si="151"/>
        <v>"id":"s884",</v>
      </c>
      <c r="M902" t="str">
        <v>"cate":"Capacitor",</v>
      </c>
      <c r="N902" t="str">
        <v>"des":"Capacitor 47PF50V 5%603B",</v>
      </c>
      <c r="O902" t="str">
        <v>"mfg":"YAGEO",</v>
      </c>
      <c r="P902" t="str">
        <v>"pn":"CC0603JRNPO9BN470",</v>
      </c>
      <c r="Q902" t="str">
        <v>"qty":3124</v>
      </c>
      <c r="S902" t="s">
        <v>2498</v>
      </c>
      <c r="T902" t="str">
        <f t="shared" si="152"/>
        <v>"id":"s884","cate":"Capacitor","des":"Capacitor 47PF50V 5%603B","mfg":"YAGEO","pn":"CC0603JRNPO9BN470","qty":3124</v>
      </c>
      <c r="U902" t="s">
        <v>2503</v>
      </c>
    </row>
    <row r="903" spans="5:21" x14ac:dyDescent="0.25">
      <c r="E903" t="s">
        <v>2194</v>
      </c>
      <c r="F903" t="s">
        <v>2290</v>
      </c>
      <c r="G903" t="s">
        <v>64</v>
      </c>
      <c r="H903" t="s">
        <v>1248</v>
      </c>
      <c r="I903">
        <v>3081</v>
      </c>
      <c r="K903" t="s">
        <v>3388</v>
      </c>
      <c r="L903" t="str">
        <f t="shared" si="151"/>
        <v>"id":"s885",</v>
      </c>
      <c r="M903" t="str">
        <v>"cate":"Capacitor",</v>
      </c>
      <c r="N903" t="str">
        <v>"des":"Capacitor 47PF50V 5%603B",</v>
      </c>
      <c r="O903" t="str">
        <v>"mfg":"EPCOS/TDK",</v>
      </c>
      <c r="P903" t="str">
        <v>"pn":"B37930-K5470J060",</v>
      </c>
      <c r="Q903" t="str">
        <v>"qty":3124</v>
      </c>
      <c r="S903" t="s">
        <v>2498</v>
      </c>
      <c r="T903" t="str">
        <f t="shared" si="152"/>
        <v>"id":"s885","cate":"Capacitor","des":"Capacitor 47PF50V 5%603B","mfg":"EPCOS/TDK","pn":"B37930-K5470J060","qty":3124</v>
      </c>
      <c r="U903" t="s">
        <v>2503</v>
      </c>
    </row>
    <row r="904" spans="5:21" x14ac:dyDescent="0.25">
      <c r="E904" t="s">
        <v>2474</v>
      </c>
      <c r="F904" t="s">
        <v>2480</v>
      </c>
      <c r="G904" t="s">
        <v>37</v>
      </c>
      <c r="H904" t="s">
        <v>1249</v>
      </c>
      <c r="I904">
        <v>3079</v>
      </c>
      <c r="K904" t="s">
        <v>3389</v>
      </c>
      <c r="L904" t="str">
        <f t="shared" si="151"/>
        <v>"id":"s886",</v>
      </c>
      <c r="M904" t="str">
        <v>"cate":"Capacitor",</v>
      </c>
      <c r="N904" t="str">
        <v>"des":"Capacitor 47PF50V 5%603B",</v>
      </c>
      <c r="O904" t="str">
        <v>"mfg":"KEMET",</v>
      </c>
      <c r="P904" t="str">
        <v>"pn":"C0603C470J5GAC7867",</v>
      </c>
      <c r="Q904" t="str">
        <v>"qty":3124</v>
      </c>
      <c r="S904" t="s">
        <v>2498</v>
      </c>
      <c r="T904" t="str">
        <f t="shared" si="152"/>
        <v>"id":"s886","cate":"Capacitor","des":"Capacitor 47PF50V 5%603B","mfg":"KEMET","pn":"C0603C470J5GAC7867","qty":3124</v>
      </c>
      <c r="U904" t="s">
        <v>2503</v>
      </c>
    </row>
    <row r="905" spans="5:21" x14ac:dyDescent="0.25">
      <c r="E905" t="s">
        <v>2194</v>
      </c>
      <c r="F905" t="s">
        <v>2291</v>
      </c>
      <c r="G905" t="s">
        <v>47</v>
      </c>
      <c r="H905" t="s">
        <v>1250</v>
      </c>
      <c r="I905">
        <v>3078</v>
      </c>
      <c r="K905" t="s">
        <v>3390</v>
      </c>
      <c r="L905" t="str">
        <f t="shared" si="151"/>
        <v>"id":"s887",</v>
      </c>
      <c r="M905" t="str">
        <v>"cate":"Capacitor",</v>
      </c>
      <c r="N905" t="str">
        <v>"des":"Capacitor 47PF50V 5%603B",</v>
      </c>
      <c r="O905" t="str">
        <v>"mfg":"VISHAY",</v>
      </c>
      <c r="P905" t="str">
        <v>"pn":"VJ0603A470JXACW1BC",</v>
      </c>
      <c r="Q905" t="str">
        <v>"qty":3124</v>
      </c>
      <c r="S905" t="s">
        <v>2498</v>
      </c>
      <c r="T905" t="str">
        <f t="shared" si="152"/>
        <v>"id":"s887","cate":"Capacitor","des":"Capacitor 47PF50V 5%603B","mfg":"VISHAY","pn":"VJ0603A470JXACW1BC","qty":3124</v>
      </c>
      <c r="U905" t="s">
        <v>2503</v>
      </c>
    </row>
    <row r="906" spans="5:21" x14ac:dyDescent="0.25">
      <c r="E906" t="s">
        <v>2194</v>
      </c>
      <c r="F906" t="s">
        <v>2291</v>
      </c>
      <c r="G906" t="s">
        <v>64</v>
      </c>
      <c r="H906" t="s">
        <v>1251</v>
      </c>
      <c r="I906">
        <v>3078</v>
      </c>
      <c r="K906" t="s">
        <v>3391</v>
      </c>
      <c r="L906" t="str">
        <f t="shared" si="151"/>
        <v>"id":"s888",</v>
      </c>
      <c r="M906" t="str">
        <v>"cate":"Capacitor",</v>
      </c>
      <c r="N906" t="str">
        <v>"des":"Capacitor 47PF50V 5%603B",</v>
      </c>
      <c r="O906" t="str">
        <v>"mfg":"MURATA MANUFACTURING",</v>
      </c>
      <c r="P906" t="str">
        <v>"pn":"GRM1885C1H470JA01D",</v>
      </c>
      <c r="Q906" t="str">
        <v>"qty":3124</v>
      </c>
      <c r="S906" t="s">
        <v>2498</v>
      </c>
      <c r="T906" t="str">
        <f t="shared" si="152"/>
        <v>"id":"s888","cate":"Capacitor","des":"Capacitor 47PF50V 5%603B","mfg":"MURATA MANUFACTURING","pn":"GRM1885C1H470JA01D","qty":3124</v>
      </c>
      <c r="U906" t="s">
        <v>2503</v>
      </c>
    </row>
    <row r="907" spans="5:21" x14ac:dyDescent="0.25">
      <c r="E907" s="6" t="s">
        <v>2382</v>
      </c>
      <c r="F907" t="s">
        <v>1252</v>
      </c>
      <c r="G907" t="s">
        <v>1253</v>
      </c>
      <c r="H907" t="s">
        <v>1254</v>
      </c>
      <c r="I907">
        <v>3067</v>
      </c>
      <c r="K907" t="s">
        <v>3392</v>
      </c>
      <c r="L907" t="str">
        <f t="shared" si="151"/>
        <v>"id":"s889",</v>
      </c>
      <c r="M907" t="str">
        <v>"cate":"Capacitor",</v>
      </c>
      <c r="N907" t="str">
        <v>"des":"Capacitor 47PF50V 5%603B",</v>
      </c>
      <c r="O907" t="str">
        <v>"mfg":"TDK",</v>
      </c>
      <c r="P907" t="str">
        <v>"pn":"C1608COG1H470J080AA",</v>
      </c>
      <c r="Q907" t="str">
        <v>"qty":3124</v>
      </c>
      <c r="S907" t="s">
        <v>2498</v>
      </c>
      <c r="T907" t="str">
        <f t="shared" si="152"/>
        <v>"id":"s889","cate":"Capacitor","des":"Capacitor 47PF50V 5%603B","mfg":"TDK","pn":"C1608COG1H470J080AA","qty":3124</v>
      </c>
      <c r="U907" t="s">
        <v>2503</v>
      </c>
    </row>
    <row r="908" spans="5:21" x14ac:dyDescent="0.25">
      <c r="E908" s="6" t="s">
        <v>2382</v>
      </c>
      <c r="F908" t="s">
        <v>1252</v>
      </c>
      <c r="G908" t="s">
        <v>1253</v>
      </c>
      <c r="H908" t="s">
        <v>1255</v>
      </c>
      <c r="I908">
        <v>3067</v>
      </c>
      <c r="K908" t="s">
        <v>3393</v>
      </c>
      <c r="L908" t="str">
        <f t="shared" si="151"/>
        <v>"id":"s890",</v>
      </c>
      <c r="M908" t="str">
        <v>"cate":"Capacitor",</v>
      </c>
      <c r="N908" t="str">
        <v>"des":"Capacitor 10PF J50V 0805",</v>
      </c>
      <c r="O908" t="str">
        <v>"mfg":"YAGEO",</v>
      </c>
      <c r="P908" t="str">
        <v>"pn":"CC0805JRNPO9BN100",</v>
      </c>
      <c r="Q908" t="str">
        <v>"qty":3093</v>
      </c>
      <c r="S908" t="s">
        <v>2498</v>
      </c>
      <c r="T908" t="str">
        <f t="shared" si="152"/>
        <v>"id":"s890","cate":"Capacitor","des":"Capacitor 10PF J50V 0805","mfg":"YAGEO","pn":"CC0805JRNPO9BN100","qty":3093</v>
      </c>
      <c r="U908" t="s">
        <v>2503</v>
      </c>
    </row>
    <row r="909" spans="5:21" x14ac:dyDescent="0.25">
      <c r="E909" t="s">
        <v>2193</v>
      </c>
      <c r="F909" t="s">
        <v>1256</v>
      </c>
      <c r="G909" t="s">
        <v>13</v>
      </c>
      <c r="H909" t="s">
        <v>1257</v>
      </c>
      <c r="I909">
        <v>3044</v>
      </c>
      <c r="K909" t="s">
        <v>3394</v>
      </c>
      <c r="L909" t="str">
        <f t="shared" si="151"/>
        <v>"id":"s891",</v>
      </c>
      <c r="M909" t="str">
        <v>"cate":"Capacitor",</v>
      </c>
      <c r="N909" t="str">
        <v>"des":"Capacitor 10PF J50V 0805",</v>
      </c>
      <c r="O909" t="str">
        <v>"mfg":"KEMET",</v>
      </c>
      <c r="P909" t="str">
        <v>"pn":"C0805C100J5GACTU",</v>
      </c>
      <c r="Q909" t="str">
        <v>"qty":3093</v>
      </c>
      <c r="S909" t="s">
        <v>2498</v>
      </c>
      <c r="T909" t="str">
        <f t="shared" si="152"/>
        <v>"id":"s891","cate":"Capacitor","des":"Capacitor 10PF J50V 0805","mfg":"KEMET","pn":"C0805C100J5GACTU","qty":3093</v>
      </c>
      <c r="U909" t="s">
        <v>2503</v>
      </c>
    </row>
    <row r="910" spans="5:21" x14ac:dyDescent="0.25">
      <c r="E910" t="s">
        <v>2193</v>
      </c>
      <c r="F910" t="s">
        <v>1258</v>
      </c>
      <c r="G910" t="s">
        <v>13</v>
      </c>
      <c r="H910" t="s">
        <v>1259</v>
      </c>
      <c r="I910">
        <v>3017</v>
      </c>
      <c r="K910" t="s">
        <v>3395</v>
      </c>
      <c r="L910" t="str">
        <f t="shared" si="151"/>
        <v>"id":"s892",</v>
      </c>
      <c r="M910" t="str">
        <v>"cate":"Capacitor",</v>
      </c>
      <c r="N910" t="str">
        <v>"des":"Capacitor 10PF J50V 0805",</v>
      </c>
      <c r="O910" t="str">
        <v>"mfg":"SAMSUNG",</v>
      </c>
      <c r="P910" t="str">
        <v>"pn":"CL21C100CBANNNC",</v>
      </c>
      <c r="Q910" t="str">
        <v>"qty":3093</v>
      </c>
      <c r="S910" t="s">
        <v>2498</v>
      </c>
      <c r="T910" t="str">
        <f t="shared" si="152"/>
        <v>"id":"s892","cate":"Capacitor","des":"Capacitor 10PF J50V 0805","mfg":"SAMSUNG","pn":"CL21C100CBANNNC","qty":3093</v>
      </c>
      <c r="U910" t="s">
        <v>2503</v>
      </c>
    </row>
    <row r="911" spans="5:21" x14ac:dyDescent="0.25">
      <c r="E911" s="6" t="s">
        <v>2474</v>
      </c>
      <c r="F911" t="s">
        <v>1260</v>
      </c>
      <c r="G911" t="s">
        <v>30</v>
      </c>
      <c r="H911" t="s">
        <v>1261</v>
      </c>
      <c r="I911">
        <v>3010</v>
      </c>
      <c r="K911" t="s">
        <v>3396</v>
      </c>
      <c r="L911" t="str">
        <f t="shared" si="151"/>
        <v>"id":"s893",</v>
      </c>
      <c r="M911" t="str">
        <v>"cate":"Capacitor",</v>
      </c>
      <c r="N911" t="str">
        <v>"des":"Capacitor 10PF J50V 0805",</v>
      </c>
      <c r="O911" t="str">
        <v>"mfg":"SAMSUNG",</v>
      </c>
      <c r="P911" t="str">
        <v>"pn":"CL21C100JBANNNC",</v>
      </c>
      <c r="Q911" t="str">
        <v>"qty":3093</v>
      </c>
      <c r="S911" t="s">
        <v>2498</v>
      </c>
      <c r="T911" t="str">
        <f t="shared" si="152"/>
        <v>"id":"s893","cate":"Capacitor","des":"Capacitor 10PF J50V 0805","mfg":"SAMSUNG","pn":"CL21C100JBANNNC","qty":3093</v>
      </c>
      <c r="U911" t="s">
        <v>2503</v>
      </c>
    </row>
    <row r="912" spans="5:21" x14ac:dyDescent="0.25">
      <c r="E912" s="6" t="s">
        <v>2474</v>
      </c>
      <c r="F912" t="s">
        <v>1260</v>
      </c>
      <c r="G912" t="s">
        <v>30</v>
      </c>
      <c r="H912" t="s">
        <v>1262</v>
      </c>
      <c r="I912">
        <v>3010</v>
      </c>
      <c r="K912" t="s">
        <v>3397</v>
      </c>
      <c r="L912" t="str">
        <f t="shared" si="151"/>
        <v>"id":"s894",</v>
      </c>
      <c r="M912" t="str">
        <v>"cate":"Capacitor",</v>
      </c>
      <c r="N912" t="str">
        <v>"des":"Capacitor 10PF J50V 0805",</v>
      </c>
      <c r="O912" t="str">
        <v>"mfg":"WALSIN",</v>
      </c>
      <c r="P912" t="str">
        <v>"pn":"0805N100J500CT",</v>
      </c>
      <c r="Q912" t="str">
        <v>"qty":3093</v>
      </c>
      <c r="S912" t="s">
        <v>2498</v>
      </c>
      <c r="T912" t="str">
        <f t="shared" si="152"/>
        <v>"id":"s894","cate":"Capacitor","des":"Capacitor 10PF J50V 0805","mfg":"WALSIN","pn":"0805N100J500CT","qty":3093</v>
      </c>
      <c r="U912" t="s">
        <v>2503</v>
      </c>
    </row>
    <row r="913" spans="5:21" x14ac:dyDescent="0.25">
      <c r="E913" s="6" t="s">
        <v>2149</v>
      </c>
      <c r="F913" t="s">
        <v>1263</v>
      </c>
      <c r="G913" t="s">
        <v>1264</v>
      </c>
      <c r="H913" t="s">
        <v>1265</v>
      </c>
      <c r="I913">
        <v>3005</v>
      </c>
      <c r="K913" t="s">
        <v>3398</v>
      </c>
      <c r="L913" t="str">
        <f t="shared" si="151"/>
        <v>"id":"s895",</v>
      </c>
      <c r="M913" t="str">
        <v>"cate":"Capacitor",</v>
      </c>
      <c r="N913" t="str">
        <v>"des":"Capacitor 1NF/50V 5%",</v>
      </c>
      <c r="O913" t="str">
        <v>"mfg":"KEMET",</v>
      </c>
      <c r="P913" t="str">
        <v>"pn":"C0603C102J5GACTU",</v>
      </c>
      <c r="Q913" t="str">
        <v>"qty":3081</v>
      </c>
      <c r="S913" t="s">
        <v>2498</v>
      </c>
      <c r="T913" t="str">
        <f t="shared" si="152"/>
        <v>"id":"s895","cate":"Capacitor","des":"Capacitor 1NF/50V 5%","mfg":"KEMET","pn":"C0603C102J5GACTU","qty":3081</v>
      </c>
      <c r="U913" t="s">
        <v>2503</v>
      </c>
    </row>
    <row r="914" spans="5:21" x14ac:dyDescent="0.25">
      <c r="E914" t="s">
        <v>2123</v>
      </c>
      <c r="F914" t="s">
        <v>1266</v>
      </c>
      <c r="G914" t="s">
        <v>184</v>
      </c>
      <c r="H914" t="s">
        <v>1267</v>
      </c>
      <c r="I914">
        <v>3000</v>
      </c>
      <c r="K914" t="s">
        <v>3399</v>
      </c>
      <c r="L914" t="str">
        <f t="shared" si="151"/>
        <v>"id":"s896",</v>
      </c>
      <c r="M914" t="str">
        <v>"cate":"Capacitor",</v>
      </c>
      <c r="N914" t="str">
        <v>"des":"Capacitor 1NF/50V 5%",</v>
      </c>
      <c r="O914" t="str">
        <v>"mfg":"KEMET",</v>
      </c>
      <c r="P914" t="str">
        <v>"pn":"C0603X102J5GACTU",</v>
      </c>
      <c r="Q914" t="str">
        <v>"qty":3081</v>
      </c>
      <c r="S914" t="s">
        <v>2498</v>
      </c>
      <c r="T914" t="str">
        <f t="shared" si="152"/>
        <v>"id":"s896","cate":"Capacitor","des":"Capacitor 1NF/50V 5%","mfg":"KEMET","pn":"C0603X102J5GACTU","qty":3081</v>
      </c>
      <c r="U914" t="s">
        <v>2503</v>
      </c>
    </row>
    <row r="915" spans="5:21" x14ac:dyDescent="0.25">
      <c r="E915" t="s">
        <v>2193</v>
      </c>
      <c r="F915" t="s">
        <v>1268</v>
      </c>
      <c r="G915" t="s">
        <v>13</v>
      </c>
      <c r="H915" t="s">
        <v>1269</v>
      </c>
      <c r="I915">
        <v>2997</v>
      </c>
      <c r="K915" t="s">
        <v>3400</v>
      </c>
      <c r="L915" t="str">
        <f t="shared" si="151"/>
        <v>"id":"s897",</v>
      </c>
      <c r="M915" t="str">
        <v>"cate":"Capacitor",</v>
      </c>
      <c r="N915" t="str">
        <v>"des":"Capacitor 1NF/50V 5%",</v>
      </c>
      <c r="O915" t="str">
        <v>"mfg":"VISHAY",</v>
      </c>
      <c r="P915" t="str">
        <v>"pn":"VJ0603A102JXACW1BC",</v>
      </c>
      <c r="Q915" t="str">
        <v>"qty":3081</v>
      </c>
      <c r="S915" t="s">
        <v>2498</v>
      </c>
      <c r="T915" t="str">
        <f t="shared" si="152"/>
        <v>"id":"s897","cate":"Capacitor","des":"Capacitor 1NF/50V 5%","mfg":"VISHAY","pn":"VJ0603A102JXACW1BC","qty":3081</v>
      </c>
      <c r="U915" t="s">
        <v>2503</v>
      </c>
    </row>
    <row r="916" spans="5:21" x14ac:dyDescent="0.25">
      <c r="E916" t="s">
        <v>2193</v>
      </c>
      <c r="F916" t="s">
        <v>1268</v>
      </c>
      <c r="G916" t="s">
        <v>10</v>
      </c>
      <c r="H916" t="s">
        <v>180</v>
      </c>
      <c r="I916">
        <v>2997</v>
      </c>
      <c r="K916" t="s">
        <v>3401</v>
      </c>
      <c r="L916" t="str">
        <f t="shared" ref="L916:L979" si="153">_xlfn.CONCAT("""","id","""",":","""",K916,"""",",")</f>
        <v>"id":"s898",</v>
      </c>
      <c r="M916" t="str">
        <v>"cate":"Capacitor",</v>
      </c>
      <c r="N916" t="str">
        <v>"des":"Capacitor 1NF/50V 5%",</v>
      </c>
      <c r="O916" t="str">
        <v>"mfg":"MURATA MANUFACTURING",</v>
      </c>
      <c r="P916" t="str">
        <v>"pn":"GRM1885C1H102JA01D",</v>
      </c>
      <c r="Q916" t="str">
        <v>"qty":3081</v>
      </c>
      <c r="S916" t="s">
        <v>2498</v>
      </c>
      <c r="T916" t="str">
        <f t="shared" ref="T916:T979" si="154">_xlfn.CONCAT(L916:Q916)</f>
        <v>"id":"s898","cate":"Capacitor","des":"Capacitor 1NF/50V 5%","mfg":"MURATA MANUFACTURING","pn":"GRM1885C1H102JA01D","qty":3081</v>
      </c>
      <c r="U916" t="s">
        <v>2503</v>
      </c>
    </row>
    <row r="917" spans="5:21" x14ac:dyDescent="0.25">
      <c r="E917" t="s">
        <v>2193</v>
      </c>
      <c r="F917" t="s">
        <v>1270</v>
      </c>
      <c r="G917" t="s">
        <v>13</v>
      </c>
      <c r="H917" t="s">
        <v>1271</v>
      </c>
      <c r="I917">
        <v>2995</v>
      </c>
      <c r="K917" t="s">
        <v>3402</v>
      </c>
      <c r="L917" t="str">
        <f t="shared" si="153"/>
        <v>"id":"s899",</v>
      </c>
      <c r="M917" t="str">
        <v>"cate":"MOSFET",</v>
      </c>
      <c r="N917" t="str">
        <v>"des":"MOSFETET 20V 9A SC70",</v>
      </c>
      <c r="O917" t="str">
        <v>"mfg":"VISHAY",</v>
      </c>
      <c r="P917" t="str">
        <v>"pn":"SIA459EDJ-T1-GE3",</v>
      </c>
      <c r="Q917" t="str">
        <v>"qty":3079</v>
      </c>
      <c r="S917" t="s">
        <v>2498</v>
      </c>
      <c r="T917" t="str">
        <f t="shared" si="154"/>
        <v>"id":"s899","cate":"MOSFET","des":"MOSFETET 20V 9A SC70","mfg":"VISHAY","pn":"SIA459EDJ-T1-GE3","qty":3079</v>
      </c>
      <c r="U917" t="s">
        <v>2503</v>
      </c>
    </row>
    <row r="918" spans="5:21" x14ac:dyDescent="0.25">
      <c r="E918" s="6" t="s">
        <v>2382</v>
      </c>
      <c r="F918" t="s">
        <v>1272</v>
      </c>
      <c r="G918" t="s">
        <v>149</v>
      </c>
      <c r="H918" t="s">
        <v>1273</v>
      </c>
      <c r="I918">
        <v>2994</v>
      </c>
      <c r="K918" t="s">
        <v>3403</v>
      </c>
      <c r="L918" t="str">
        <f t="shared" si="153"/>
        <v>"id":"s900",</v>
      </c>
      <c r="M918" t="str">
        <v>"cate":"Capacitor",</v>
      </c>
      <c r="N918" t="str">
        <v>"des":"Capacitor 68PF/630V 805",</v>
      </c>
      <c r="O918" t="str">
        <v>"mfg":"KEMET",</v>
      </c>
      <c r="P918" t="str">
        <v>"pn":"C0805C680FBGACTU",</v>
      </c>
      <c r="Q918" t="str">
        <v>"qty":3078</v>
      </c>
      <c r="S918" t="s">
        <v>2498</v>
      </c>
      <c r="T918" t="str">
        <f t="shared" si="154"/>
        <v>"id":"s900","cate":"Capacitor","des":"Capacitor 68PF/630V 805","mfg":"KEMET","pn":"C0805C680FBGACTU","qty":3078</v>
      </c>
      <c r="U918" t="s">
        <v>2503</v>
      </c>
    </row>
    <row r="919" spans="5:21" x14ac:dyDescent="0.25">
      <c r="E919" s="6" t="s">
        <v>2382</v>
      </c>
      <c r="F919" t="s">
        <v>1272</v>
      </c>
      <c r="G919" t="s">
        <v>149</v>
      </c>
      <c r="H919" t="s">
        <v>1274</v>
      </c>
      <c r="I919">
        <v>2994</v>
      </c>
      <c r="K919" t="s">
        <v>3404</v>
      </c>
      <c r="L919" t="str">
        <f t="shared" si="153"/>
        <v>"id":"s901",</v>
      </c>
      <c r="M919" t="str">
        <v>"cate":"Capacitor",</v>
      </c>
      <c r="N919" t="str">
        <v>"des":"Capacitor 68PF/630V 805",</v>
      </c>
      <c r="O919" t="str">
        <v>"mfg":"MURATA MANUFACTURING",</v>
      </c>
      <c r="P919" t="str">
        <v>"pn":"GRM21A5C2J680FWA1D",</v>
      </c>
      <c r="Q919" t="str">
        <v>"qty":3078</v>
      </c>
      <c r="S919" t="s">
        <v>2498</v>
      </c>
      <c r="T919" t="str">
        <f t="shared" si="154"/>
        <v>"id":"s901","cate":"Capacitor","des":"Capacitor 68PF/630V 805","mfg":"MURATA MANUFACTURING","pn":"GRM21A5C2J680FWA1D","qty":3078</v>
      </c>
      <c r="U919" t="s">
        <v>2503</v>
      </c>
    </row>
    <row r="920" spans="5:21" x14ac:dyDescent="0.25">
      <c r="E920" s="6" t="s">
        <v>2382</v>
      </c>
      <c r="F920" t="s">
        <v>1272</v>
      </c>
      <c r="G920" t="s">
        <v>149</v>
      </c>
      <c r="H920" t="s">
        <v>1275</v>
      </c>
      <c r="I920">
        <v>2994</v>
      </c>
      <c r="K920" t="s">
        <v>3405</v>
      </c>
      <c r="L920" t="str">
        <f t="shared" si="153"/>
        <v>"id":"s902",</v>
      </c>
      <c r="M920" t="str">
        <v>"cate":"IC",</v>
      </c>
      <c r="N920" t="str">
        <v>"des":"IC AT25DF041B-SSHN",</v>
      </c>
      <c r="O920" t="str">
        <v>"mfg":"DIALOG SEMICONDUCTOR",</v>
      </c>
      <c r="P920" t="str">
        <v>"pn":"AT25DF041B-SSHN",</v>
      </c>
      <c r="Q920" t="str">
        <v>"qty":3067</v>
      </c>
      <c r="S920" t="s">
        <v>2498</v>
      </c>
      <c r="T920" t="str">
        <f t="shared" si="154"/>
        <v>"id":"s902","cate":"IC","des":"IC AT25DF041B-SSHN","mfg":"DIALOG SEMICONDUCTOR","pn":"AT25DF041B-SSHN","qty":3067</v>
      </c>
      <c r="U920" t="s">
        <v>2503</v>
      </c>
    </row>
    <row r="921" spans="5:21" x14ac:dyDescent="0.25">
      <c r="E921" t="s">
        <v>2194</v>
      </c>
      <c r="F921" t="s">
        <v>2292</v>
      </c>
      <c r="G921" t="s">
        <v>13</v>
      </c>
      <c r="H921" t="s">
        <v>1276</v>
      </c>
      <c r="I921">
        <v>2981</v>
      </c>
      <c r="K921" t="s">
        <v>3406</v>
      </c>
      <c r="L921" t="str">
        <f t="shared" si="153"/>
        <v>"id":"s903",</v>
      </c>
      <c r="M921" t="str">
        <v>"cate":"IC",</v>
      </c>
      <c r="N921" t="str">
        <v>"des":"IC AT25DF041B-SSHN",</v>
      </c>
      <c r="O921" t="str">
        <v>"mfg":"DIALOG SEMICONDUCTOR",</v>
      </c>
      <c r="P921" t="str">
        <v>"pn":"AT25DF041B-SSHN-T",</v>
      </c>
      <c r="Q921" t="str">
        <v>"qty":3067</v>
      </c>
      <c r="S921" t="s">
        <v>2498</v>
      </c>
      <c r="T921" t="str">
        <f t="shared" si="154"/>
        <v>"id":"s903","cate":"IC","des":"IC AT25DF041B-SSHN","mfg":"DIALOG SEMICONDUCTOR","pn":"AT25DF041B-SSHN-T","qty":3067</v>
      </c>
      <c r="U921" t="s">
        <v>2503</v>
      </c>
    </row>
    <row r="922" spans="5:21" x14ac:dyDescent="0.25">
      <c r="E922" t="s">
        <v>2194</v>
      </c>
      <c r="F922" t="s">
        <v>2292</v>
      </c>
      <c r="G922" t="s">
        <v>8</v>
      </c>
      <c r="H922" t="s">
        <v>1277</v>
      </c>
      <c r="I922">
        <v>2981</v>
      </c>
      <c r="K922" t="s">
        <v>3407</v>
      </c>
      <c r="L922" t="str">
        <f t="shared" si="153"/>
        <v>"id":"s904",</v>
      </c>
      <c r="M922" t="str">
        <v>"cate":"Resistor ",</v>
      </c>
      <c r="N922" t="str">
        <v>"des":"RST 20K 1/4W 1%1206",</v>
      </c>
      <c r="O922" t="str">
        <v>"mfg":"YAGEO",</v>
      </c>
      <c r="P922" t="str">
        <v>"pn":"RC1206FR-0720KL",</v>
      </c>
      <c r="Q922" t="str">
        <v>"qty":3044</v>
      </c>
      <c r="S922" t="s">
        <v>2498</v>
      </c>
      <c r="T922" t="str">
        <f t="shared" si="154"/>
        <v>"id":"s904","cate":"Resistor ","des":"RST 20K 1/4W 1%1206","mfg":"YAGEO","pn":"RC1206FR-0720KL","qty":3044</v>
      </c>
      <c r="U922" t="s">
        <v>2503</v>
      </c>
    </row>
    <row r="923" spans="5:21" x14ac:dyDescent="0.25">
      <c r="E923" t="s">
        <v>2193</v>
      </c>
      <c r="F923" t="s">
        <v>1278</v>
      </c>
      <c r="G923" t="s">
        <v>320</v>
      </c>
      <c r="H923" t="s">
        <v>1279</v>
      </c>
      <c r="I923">
        <v>2963</v>
      </c>
      <c r="K923" t="s">
        <v>3408</v>
      </c>
      <c r="L923" t="str">
        <f t="shared" si="153"/>
        <v>"id":"s905",</v>
      </c>
      <c r="M923" t="str">
        <v>"cate":"Resistor ",</v>
      </c>
      <c r="N923" t="str">
        <v>"des":"RST 43K2 1/4W1%1206",</v>
      </c>
      <c r="O923" t="str">
        <v>"mfg":"YAGEO",</v>
      </c>
      <c r="P923" t="str">
        <v>"pn":"RC1206FR-0743K2L",</v>
      </c>
      <c r="Q923" t="str">
        <v>"qty":3017</v>
      </c>
      <c r="S923" t="s">
        <v>2498</v>
      </c>
      <c r="T923" t="str">
        <f t="shared" si="154"/>
        <v>"id":"s905","cate":"Resistor ","des":"RST 43K2 1/4W1%1206","mfg":"YAGEO","pn":"RC1206FR-0743K2L","qty":3017</v>
      </c>
      <c r="U923" t="s">
        <v>2503</v>
      </c>
    </row>
    <row r="924" spans="5:21" x14ac:dyDescent="0.25">
      <c r="E924" t="s">
        <v>2405</v>
      </c>
      <c r="F924" t="s">
        <v>2437</v>
      </c>
      <c r="G924" t="s">
        <v>37</v>
      </c>
      <c r="H924" t="s">
        <v>1280</v>
      </c>
      <c r="I924">
        <v>2960</v>
      </c>
      <c r="K924" t="s">
        <v>3409</v>
      </c>
      <c r="L924" t="str">
        <f t="shared" si="153"/>
        <v>"id":"s906",</v>
      </c>
      <c r="M924" t="str">
        <v>"cate":"MOSFET",</v>
      </c>
      <c r="N924" t="str">
        <v>"des":"MOS 60V 0,3A SOT23",</v>
      </c>
      <c r="O924" t="str">
        <v>"mfg":"NEXPERIA",</v>
      </c>
      <c r="P924" t="str">
        <v>"pn":"2N7002,215",</v>
      </c>
      <c r="Q924" t="str">
        <v>"qty":3010</v>
      </c>
      <c r="S924" t="s">
        <v>2498</v>
      </c>
      <c r="T924" t="str">
        <f t="shared" si="154"/>
        <v>"id":"s906","cate":"MOSFET","des":"MOS 60V 0,3A SOT23","mfg":"NEXPERIA","pn":"2N7002,215","qty":3010</v>
      </c>
      <c r="U924" t="s">
        <v>2503</v>
      </c>
    </row>
    <row r="925" spans="5:21" x14ac:dyDescent="0.25">
      <c r="E925" t="s">
        <v>2405</v>
      </c>
      <c r="F925" t="s">
        <v>2437</v>
      </c>
      <c r="G925" t="s">
        <v>37</v>
      </c>
      <c r="H925" t="s">
        <v>1281</v>
      </c>
      <c r="I925">
        <v>2960</v>
      </c>
      <c r="K925" t="s">
        <v>3410</v>
      </c>
      <c r="L925" t="str">
        <f t="shared" si="153"/>
        <v>"id":"s907",</v>
      </c>
      <c r="M925" t="str">
        <v>"cate":"MOSFET",</v>
      </c>
      <c r="N925" t="str">
        <v>"des":"MOS 60V 0,3A SOT23",</v>
      </c>
      <c r="O925" t="str">
        <v>"mfg":"NEXPERIA",</v>
      </c>
      <c r="P925" t="str">
        <v>"pn":"2N7002BK,215",</v>
      </c>
      <c r="Q925" t="str">
        <v>"qty":3010</v>
      </c>
      <c r="S925" t="s">
        <v>2498</v>
      </c>
      <c r="T925" t="str">
        <f t="shared" si="154"/>
        <v>"id":"s907","cate":"MOSFET","des":"MOS 60V 0,3A SOT23","mfg":"NEXPERIA","pn":"2N7002BK,215","qty":3010</v>
      </c>
      <c r="U925" t="s">
        <v>2503</v>
      </c>
    </row>
    <row r="926" spans="5:21" x14ac:dyDescent="0.25">
      <c r="E926" t="s">
        <v>2194</v>
      </c>
      <c r="F926" t="s">
        <v>2293</v>
      </c>
      <c r="G926" t="s">
        <v>47</v>
      </c>
      <c r="H926" t="s">
        <v>1282</v>
      </c>
      <c r="I926">
        <v>2958</v>
      </c>
      <c r="K926" t="s">
        <v>3411</v>
      </c>
      <c r="L926" t="str">
        <f t="shared" si="153"/>
        <v>"id":"s908",</v>
      </c>
      <c r="M926" t="str">
        <v>"cate":"XTAL",</v>
      </c>
      <c r="N926" t="str">
        <v>"des":"CRYSTAL 4MHZ 16PF",</v>
      </c>
      <c r="O926" t="str">
        <v>"mfg":"KONY",</v>
      </c>
      <c r="P926" t="str">
        <v>"pn":"MSM040FRM-T/R",</v>
      </c>
      <c r="Q926" t="str">
        <v>"qty":3005</v>
      </c>
      <c r="S926" t="s">
        <v>2498</v>
      </c>
      <c r="T926" t="str">
        <f t="shared" si="154"/>
        <v>"id":"s908","cate":"XTAL","des":"CRYSTAL 4MHZ 16PF","mfg":"KONY","pn":"MSM040FRM-T/R","qty":3005</v>
      </c>
      <c r="U926" t="s">
        <v>2503</v>
      </c>
    </row>
    <row r="927" spans="5:21" x14ac:dyDescent="0.25">
      <c r="E927" t="s">
        <v>2193</v>
      </c>
      <c r="F927" t="s">
        <v>1283</v>
      </c>
      <c r="G927" t="s">
        <v>37</v>
      </c>
      <c r="H927" t="s">
        <v>1284</v>
      </c>
      <c r="I927">
        <v>2952</v>
      </c>
      <c r="K927" t="s">
        <v>3412</v>
      </c>
      <c r="L927" t="str">
        <f t="shared" si="153"/>
        <v>"id":"s909",</v>
      </c>
      <c r="M927" t="str">
        <v>"cate":"LED ",</v>
      </c>
      <c r="N927" t="str">
        <v>"des":"LED YEL DIA 5 MM-2",</v>
      </c>
      <c r="O927" t="str">
        <v>"mfg":"WURTH ELEKTRONIK",</v>
      </c>
      <c r="P927" t="str">
        <v>"pn":"151 051 YS0 400 0",</v>
      </c>
      <c r="Q927" t="str">
        <v>"qty":3000</v>
      </c>
      <c r="S927" t="s">
        <v>2498</v>
      </c>
      <c r="T927" t="str">
        <f t="shared" si="154"/>
        <v>"id":"s909","cate":"LED ","des":"LED YEL DIA 5 MM-2","mfg":"WURTH ELEKTRONIK","pn":"151 051 YS0 400 0","qty":3000</v>
      </c>
      <c r="U927" t="s">
        <v>2503</v>
      </c>
    </row>
    <row r="928" spans="5:21" x14ac:dyDescent="0.25">
      <c r="E928" t="s">
        <v>2193</v>
      </c>
      <c r="F928" t="s">
        <v>1285</v>
      </c>
      <c r="G928" t="s">
        <v>207</v>
      </c>
      <c r="H928" t="s">
        <v>1286</v>
      </c>
      <c r="I928">
        <v>2945</v>
      </c>
      <c r="K928" t="s">
        <v>3413</v>
      </c>
      <c r="L928" t="str">
        <f t="shared" si="153"/>
        <v>"id":"s910",</v>
      </c>
      <c r="M928" t="str">
        <v>"cate":"Resistor ",</v>
      </c>
      <c r="N928" t="str">
        <v>"des":"RST 60,4 1/4W 1%206",</v>
      </c>
      <c r="O928" t="str">
        <v>"mfg":"YAGEO",</v>
      </c>
      <c r="P928" t="str">
        <v>"pn":"RC1206FR-0760R4L",</v>
      </c>
      <c r="Q928" t="str">
        <v>"qty":2997</v>
      </c>
      <c r="S928" t="s">
        <v>2498</v>
      </c>
      <c r="T928" t="str">
        <f t="shared" si="154"/>
        <v>"id":"s910","cate":"Resistor ","des":"RST 60,4 1/4W 1%206","mfg":"YAGEO","pn":"RC1206FR-0760R4L","qty":2997</v>
      </c>
      <c r="U928" t="s">
        <v>2503</v>
      </c>
    </row>
    <row r="929" spans="5:21" x14ac:dyDescent="0.25">
      <c r="E929" t="s">
        <v>2193</v>
      </c>
      <c r="F929" t="s">
        <v>1287</v>
      </c>
      <c r="G929" t="s">
        <v>37</v>
      </c>
      <c r="H929" t="s">
        <v>1288</v>
      </c>
      <c r="I929">
        <v>2932</v>
      </c>
      <c r="K929" t="s">
        <v>3414</v>
      </c>
      <c r="L929" t="str">
        <f t="shared" si="153"/>
        <v>"id":"s911",</v>
      </c>
      <c r="M929" t="str">
        <v>"cate":"Resistor ",</v>
      </c>
      <c r="N929" t="str">
        <v>"des":"RST 60,4 1/4W 1%206",</v>
      </c>
      <c r="O929" t="str">
        <v>"mfg":"WALSIN",</v>
      </c>
      <c r="P929" t="str">
        <v>"pn":"WR12X60R4FTL",</v>
      </c>
      <c r="Q929" t="str">
        <v>"qty":2997</v>
      </c>
      <c r="S929" t="s">
        <v>2498</v>
      </c>
      <c r="T929" t="str">
        <f t="shared" si="154"/>
        <v>"id":"s911","cate":"Resistor ","des":"RST 60,4 1/4W 1%206","mfg":"WALSIN","pn":"WR12X60R4FTL","qty":2997</v>
      </c>
      <c r="U929" t="s">
        <v>2503</v>
      </c>
    </row>
    <row r="930" spans="5:21" x14ac:dyDescent="0.25">
      <c r="E930" t="s">
        <v>2405</v>
      </c>
      <c r="F930" t="s">
        <v>2438</v>
      </c>
      <c r="G930" t="s">
        <v>57</v>
      </c>
      <c r="H930" t="s">
        <v>1289</v>
      </c>
      <c r="I930">
        <v>2927</v>
      </c>
      <c r="K930" t="s">
        <v>3415</v>
      </c>
      <c r="L930" t="str">
        <f t="shared" si="153"/>
        <v>"id":"s912",</v>
      </c>
      <c r="M930" t="str">
        <v>"cate":"Resistor ",</v>
      </c>
      <c r="N930" t="str">
        <v>"des":"RST 4K75 0,1W1%0603",</v>
      </c>
      <c r="O930" t="str">
        <v>"mfg":"YAGEO",</v>
      </c>
      <c r="P930" t="str">
        <v>"pn":"RC0603FR-074K75L",</v>
      </c>
      <c r="Q930" t="str">
        <v>"qty":2995</v>
      </c>
      <c r="S930" t="s">
        <v>2498</v>
      </c>
      <c r="T930" t="str">
        <f t="shared" si="154"/>
        <v>"id":"s912","cate":"Resistor ","des":"RST 4K75 0,1W1%0603","mfg":"YAGEO","pn":"RC0603FR-074K75L","qty":2995</v>
      </c>
      <c r="U930" t="s">
        <v>2503</v>
      </c>
    </row>
    <row r="931" spans="5:21" x14ac:dyDescent="0.25">
      <c r="E931" t="s">
        <v>2405</v>
      </c>
      <c r="F931" t="s">
        <v>2438</v>
      </c>
      <c r="G931" t="s">
        <v>37</v>
      </c>
      <c r="H931" t="s">
        <v>1290</v>
      </c>
      <c r="I931">
        <v>2927</v>
      </c>
      <c r="K931" t="s">
        <v>3416</v>
      </c>
      <c r="L931" t="str">
        <f t="shared" si="153"/>
        <v>"id":"s913",</v>
      </c>
      <c r="M931" t="str">
        <v>"cate":"IC",</v>
      </c>
      <c r="N931" t="str">
        <v>"des":"IC LM1117DT50",</v>
      </c>
      <c r="O931" t="str">
        <v>"mfg":"TEXAS INSTRUMENTS",</v>
      </c>
      <c r="P931" t="str">
        <v>"pn":"LM1117DT-5.0/NOPB",</v>
      </c>
      <c r="Q931" t="str">
        <v>"qty":2994</v>
      </c>
      <c r="S931" t="s">
        <v>2498</v>
      </c>
      <c r="T931" t="str">
        <f t="shared" si="154"/>
        <v>"id":"s913","cate":"IC","des":"IC LM1117DT50","mfg":"TEXAS INSTRUMENTS","pn":"LM1117DT-5.0/NOPB","qty":2994</v>
      </c>
      <c r="U931" t="s">
        <v>2503</v>
      </c>
    </row>
    <row r="932" spans="5:21" x14ac:dyDescent="0.25">
      <c r="E932" t="s">
        <v>2405</v>
      </c>
      <c r="F932" t="s">
        <v>2438</v>
      </c>
      <c r="G932" t="s">
        <v>61</v>
      </c>
      <c r="H932" t="s">
        <v>1291</v>
      </c>
      <c r="I932">
        <v>2927</v>
      </c>
      <c r="K932" t="s">
        <v>3417</v>
      </c>
      <c r="L932" t="str">
        <f t="shared" si="153"/>
        <v>"id":"s914",</v>
      </c>
      <c r="M932" t="str">
        <v>"cate":"IC",</v>
      </c>
      <c r="N932" t="str">
        <v>"des":"IC LM1117DT50",</v>
      </c>
      <c r="O932" t="str">
        <v>"mfg":"TEXAS INSTRUMENTS",</v>
      </c>
      <c r="P932" t="str">
        <v>"pn":"LM1117DTX-5.0/NOPB",</v>
      </c>
      <c r="Q932" t="str">
        <v>"qty":2994</v>
      </c>
      <c r="S932" t="s">
        <v>2498</v>
      </c>
      <c r="T932" t="str">
        <f t="shared" si="154"/>
        <v>"id":"s914","cate":"IC","des":"IC LM1117DT50","mfg":"TEXAS INSTRUMENTS","pn":"LM1117DTX-5.0/NOPB","qty":2994</v>
      </c>
      <c r="U932" t="s">
        <v>2503</v>
      </c>
    </row>
    <row r="933" spans="5:21" x14ac:dyDescent="0.25">
      <c r="E933" t="s">
        <v>2405</v>
      </c>
      <c r="F933" t="s">
        <v>2438</v>
      </c>
      <c r="G933" t="s">
        <v>1292</v>
      </c>
      <c r="H933" t="s">
        <v>1293</v>
      </c>
      <c r="I933">
        <v>2927</v>
      </c>
      <c r="K933" t="s">
        <v>3418</v>
      </c>
      <c r="L933" t="str">
        <f t="shared" si="153"/>
        <v>"id":"s915",</v>
      </c>
      <c r="M933" t="str">
        <v>"cate":"IC",</v>
      </c>
      <c r="N933" t="str">
        <v>"des":"IC LM1117DT50",</v>
      </c>
      <c r="O933" t="str">
        <v>"mfg":"TEXAS INSTRUMENTS",</v>
      </c>
      <c r="P933" t="str">
        <v>"pn":"LM1117DT50",</v>
      </c>
      <c r="Q933" t="str">
        <v>"qty":2994</v>
      </c>
      <c r="S933" t="s">
        <v>2498</v>
      </c>
      <c r="T933" t="str">
        <f t="shared" si="154"/>
        <v>"id":"s915","cate":"IC","des":"IC LM1117DT50","mfg":"TEXAS INSTRUMENTS","pn":"LM1117DT50","qty":2994</v>
      </c>
      <c r="U933" t="s">
        <v>2503</v>
      </c>
    </row>
    <row r="934" spans="5:21" x14ac:dyDescent="0.25">
      <c r="E934" t="s">
        <v>2193</v>
      </c>
      <c r="F934" t="s">
        <v>1294</v>
      </c>
      <c r="G934" t="s">
        <v>13</v>
      </c>
      <c r="H934" t="s">
        <v>1295</v>
      </c>
      <c r="I934">
        <v>2924</v>
      </c>
      <c r="K934" t="s">
        <v>3419</v>
      </c>
      <c r="L934" t="str">
        <f t="shared" si="153"/>
        <v>"id":"s916",</v>
      </c>
      <c r="M934" t="str">
        <v>"cate":"Capacitor",</v>
      </c>
      <c r="N934" t="str">
        <v>"des":"Capacitor 56PF/16V 10%",</v>
      </c>
      <c r="O934" t="str">
        <v>"mfg":"YAGEO",</v>
      </c>
      <c r="P934" t="str">
        <v>"pn":"CC0805JRNPO9BN560",</v>
      </c>
      <c r="Q934" t="str">
        <v>"qty":2981</v>
      </c>
      <c r="S934" t="s">
        <v>2498</v>
      </c>
      <c r="T934" t="str">
        <f t="shared" si="154"/>
        <v>"id":"s916","cate":"Capacitor","des":"Capacitor 56PF/16V 10%","mfg":"YAGEO","pn":"CC0805JRNPO9BN560","qty":2981</v>
      </c>
      <c r="U934" t="s">
        <v>2503</v>
      </c>
    </row>
    <row r="935" spans="5:21" x14ac:dyDescent="0.25">
      <c r="E935" t="s">
        <v>2193</v>
      </c>
      <c r="F935" t="s">
        <v>1296</v>
      </c>
      <c r="G935" t="s">
        <v>13</v>
      </c>
      <c r="H935" t="s">
        <v>1297</v>
      </c>
      <c r="I935">
        <v>2923</v>
      </c>
      <c r="K935" t="s">
        <v>3420</v>
      </c>
      <c r="L935" t="str">
        <f t="shared" si="153"/>
        <v>"id":"s917",</v>
      </c>
      <c r="M935" t="str">
        <v>"cate":"Capacitor",</v>
      </c>
      <c r="N935" t="str">
        <v>"des":"Capacitor 56PF/16V 10%",</v>
      </c>
      <c r="O935" t="str">
        <v>"mfg":"SAMSUNG",</v>
      </c>
      <c r="P935" t="str">
        <v>"pn":"CL21C560JBANNNC",</v>
      </c>
      <c r="Q935" t="str">
        <v>"qty":2981</v>
      </c>
      <c r="S935" t="s">
        <v>2498</v>
      </c>
      <c r="T935" t="str">
        <f t="shared" si="154"/>
        <v>"id":"s917","cate":"Capacitor","des":"Capacitor 56PF/16V 10%","mfg":"SAMSUNG","pn":"CL21C560JBANNNC","qty":2981</v>
      </c>
      <c r="U935" t="s">
        <v>2503</v>
      </c>
    </row>
    <row r="936" spans="5:21" x14ac:dyDescent="0.25">
      <c r="E936" t="s">
        <v>2194</v>
      </c>
      <c r="F936" t="s">
        <v>2294</v>
      </c>
      <c r="G936" t="s">
        <v>47</v>
      </c>
      <c r="H936" t="s">
        <v>1298</v>
      </c>
      <c r="I936">
        <v>2911</v>
      </c>
      <c r="K936" t="s">
        <v>3421</v>
      </c>
      <c r="L936" t="str">
        <f t="shared" si="153"/>
        <v>"id":"s918",</v>
      </c>
      <c r="M936" t="str">
        <v>"cate":"Resistor ",</v>
      </c>
      <c r="N936" t="str">
        <v>"des":"RST 4,7K 1/4W 1% MF",</v>
      </c>
      <c r="O936" t="str">
        <v>"mfg":"ROYAL OHM",</v>
      </c>
      <c r="P936" t="str">
        <v>"pn":"MF0W4FF4701A50",</v>
      </c>
      <c r="Q936" t="str">
        <v>"qty":2963</v>
      </c>
      <c r="S936" t="s">
        <v>2498</v>
      </c>
      <c r="T936" t="str">
        <f t="shared" si="154"/>
        <v>"id":"s918","cate":"Resistor ","des":"RST 4,7K 1/4W 1% MF","mfg":"ROYAL OHM","pn":"MF0W4FF4701A50","qty":2963</v>
      </c>
      <c r="U936" t="s">
        <v>2503</v>
      </c>
    </row>
    <row r="937" spans="5:21" x14ac:dyDescent="0.25">
      <c r="E937" t="s">
        <v>2194</v>
      </c>
      <c r="F937" t="s">
        <v>2294</v>
      </c>
      <c r="G937" t="s">
        <v>49</v>
      </c>
      <c r="H937" t="s">
        <v>1299</v>
      </c>
      <c r="I937">
        <v>2911</v>
      </c>
      <c r="K937" t="s">
        <v>3422</v>
      </c>
      <c r="L937" t="str">
        <f t="shared" si="153"/>
        <v>"id":"s919",</v>
      </c>
      <c r="M937" t="str">
        <v>"cate":"Diode",</v>
      </c>
      <c r="N937" t="str">
        <v>"des":"DiodeE 4A 40V",</v>
      </c>
      <c r="O937" t="str">
        <v>"mfg":"VISHAY",</v>
      </c>
      <c r="P937" t="str">
        <v>"pn":"SSB44-E3/52T",</v>
      </c>
      <c r="Q937" t="str">
        <v>"qty":2960</v>
      </c>
      <c r="S937" t="s">
        <v>2498</v>
      </c>
      <c r="T937" t="str">
        <f t="shared" si="154"/>
        <v>"id":"s919","cate":"Diode","des":"DiodeE 4A 40V","mfg":"VISHAY","pn":"SSB44-E3/52T","qty":2960</v>
      </c>
      <c r="U937" t="s">
        <v>2503</v>
      </c>
    </row>
    <row r="938" spans="5:21" x14ac:dyDescent="0.25">
      <c r="E938" t="s">
        <v>2382</v>
      </c>
      <c r="F938" t="s">
        <v>2388</v>
      </c>
      <c r="G938" t="s">
        <v>149</v>
      </c>
      <c r="H938" t="s">
        <v>1300</v>
      </c>
      <c r="I938">
        <v>2909</v>
      </c>
      <c r="K938" t="s">
        <v>3423</v>
      </c>
      <c r="L938" t="str">
        <f t="shared" si="153"/>
        <v>"id":"s920",</v>
      </c>
      <c r="M938" t="str">
        <v>"cate":"Diode",</v>
      </c>
      <c r="N938" t="str">
        <v>"des":"DiodeE 4A 40V",</v>
      </c>
      <c r="O938" t="str">
        <v>"mfg":"VISHAY",</v>
      </c>
      <c r="P938" t="str">
        <v>"pn":"SSB44-HE3",</v>
      </c>
      <c r="Q938" t="str">
        <v>"qty":2960</v>
      </c>
      <c r="S938" t="s">
        <v>2498</v>
      </c>
      <c r="T938" t="str">
        <f t="shared" si="154"/>
        <v>"id":"s920","cate":"Diode","des":"DiodeE 4A 40V","mfg":"VISHAY","pn":"SSB44-HE3","qty":2960</v>
      </c>
      <c r="U938" t="s">
        <v>2503</v>
      </c>
    </row>
    <row r="939" spans="5:21" x14ac:dyDescent="0.25">
      <c r="E939" t="s">
        <v>2382</v>
      </c>
      <c r="F939" t="s">
        <v>2388</v>
      </c>
      <c r="G939" t="s">
        <v>153</v>
      </c>
      <c r="H939" t="s">
        <v>1300</v>
      </c>
      <c r="I939">
        <v>2909</v>
      </c>
      <c r="K939" t="s">
        <v>3424</v>
      </c>
      <c r="L939" t="str">
        <f t="shared" si="153"/>
        <v>"id":"s921",</v>
      </c>
      <c r="M939" t="str">
        <v>"cate":"Capacitor",</v>
      </c>
      <c r="N939" t="str">
        <v>"des":"Capacitor 330PF/25V 0603",</v>
      </c>
      <c r="O939" t="str">
        <v>"mfg":"KEMET",</v>
      </c>
      <c r="P939" t="str">
        <v>"pn":"C0603C331J5GACTU",</v>
      </c>
      <c r="Q939" t="str">
        <v>"qty":2958</v>
      </c>
      <c r="S939" t="s">
        <v>2498</v>
      </c>
      <c r="T939" t="str">
        <f t="shared" si="154"/>
        <v>"id":"s921","cate":"Capacitor","des":"Capacitor 330PF/25V 0603","mfg":"KEMET","pn":"C0603C331J5GACTU","qty":2958</v>
      </c>
      <c r="U939" t="s">
        <v>2503</v>
      </c>
    </row>
    <row r="940" spans="5:21" x14ac:dyDescent="0.25">
      <c r="E940" s="6" t="s">
        <v>2382</v>
      </c>
      <c r="F940" t="s">
        <v>1301</v>
      </c>
      <c r="G940" t="s">
        <v>61</v>
      </c>
      <c r="H940" t="s">
        <v>1302</v>
      </c>
      <c r="I940">
        <v>2891</v>
      </c>
      <c r="K940" t="s">
        <v>3425</v>
      </c>
      <c r="L940" t="str">
        <f t="shared" si="153"/>
        <v>"id":"s922",</v>
      </c>
      <c r="M940" t="str">
        <v>"cate":"Resistor ",</v>
      </c>
      <c r="N940" t="str">
        <v>"des":"RST 10K 1/16W5%402T",</v>
      </c>
      <c r="O940" t="str">
        <v>"mfg":"VISHAY",</v>
      </c>
      <c r="P940" t="str">
        <v>"pn":"CRCW040210K0JNED",</v>
      </c>
      <c r="Q940" t="str">
        <v>"qty":2952</v>
      </c>
      <c r="S940" t="s">
        <v>2498</v>
      </c>
      <c r="T940" t="str">
        <f t="shared" si="154"/>
        <v>"id":"s922","cate":"Resistor ","des":"RST 10K 1/16W5%402T","mfg":"VISHAY","pn":"CRCW040210K0JNED","qty":2952</v>
      </c>
      <c r="U940" t="s">
        <v>2503</v>
      </c>
    </row>
    <row r="941" spans="5:21" x14ac:dyDescent="0.25">
      <c r="E941" t="s">
        <v>2193</v>
      </c>
      <c r="F941" t="s">
        <v>1303</v>
      </c>
      <c r="G941" t="s">
        <v>13</v>
      </c>
      <c r="H941" t="s">
        <v>1304</v>
      </c>
      <c r="I941">
        <v>2866</v>
      </c>
      <c r="K941" t="s">
        <v>3426</v>
      </c>
      <c r="L941" t="str">
        <f t="shared" si="153"/>
        <v>"id":"s923",</v>
      </c>
      <c r="M941" t="str">
        <v>"cate":"Resistor ",</v>
      </c>
      <c r="N941" t="str">
        <v>"des":"RST 475 1/8W 1%0805",</v>
      </c>
      <c r="O941" t="str">
        <v>"mfg":"STACKPOLE ELECTRONICS INC",</v>
      </c>
      <c r="P941" t="str">
        <v>"pn":"RMCF0805FT475R",</v>
      </c>
      <c r="Q941" t="str">
        <v>"qty":2945</v>
      </c>
      <c r="S941" t="s">
        <v>2498</v>
      </c>
      <c r="T941" t="str">
        <f t="shared" si="154"/>
        <v>"id":"s923","cate":"Resistor ","des":"RST 475 1/8W 1%0805","mfg":"STACKPOLE ELECTRONICS INC","pn":"RMCF0805FT475R","qty":2945</v>
      </c>
      <c r="U941" t="s">
        <v>2503</v>
      </c>
    </row>
    <row r="942" spans="5:21" x14ac:dyDescent="0.25">
      <c r="E942" t="s">
        <v>2193</v>
      </c>
      <c r="F942" t="s">
        <v>1305</v>
      </c>
      <c r="G942" t="s">
        <v>13</v>
      </c>
      <c r="H942" t="s">
        <v>571</v>
      </c>
      <c r="I942">
        <v>2863</v>
      </c>
      <c r="K942" t="s">
        <v>3427</v>
      </c>
      <c r="L942" t="str">
        <f t="shared" si="153"/>
        <v>"id":"s924",</v>
      </c>
      <c r="M942" t="str">
        <v>"cate":"Resistor ",</v>
      </c>
      <c r="N942" t="str">
        <v>"des":"RST 20K 1/16W 1%402",</v>
      </c>
      <c r="O942" t="str">
        <v>"mfg":"VISHAY",</v>
      </c>
      <c r="P942" t="str">
        <v>"pn":"CRCW040220K0FKED",</v>
      </c>
      <c r="Q942" t="str">
        <v>"qty":2932</v>
      </c>
      <c r="S942" t="s">
        <v>2498</v>
      </c>
      <c r="T942" t="str">
        <f t="shared" si="154"/>
        <v>"id":"s924","cate":"Resistor ","des":"RST 20K 1/16W 1%402","mfg":"VISHAY","pn":"CRCW040220K0FKED","qty":2932</v>
      </c>
      <c r="U942" t="s">
        <v>2503</v>
      </c>
    </row>
    <row r="943" spans="5:21" x14ac:dyDescent="0.25">
      <c r="E943" t="s">
        <v>2193</v>
      </c>
      <c r="F943" t="s">
        <v>1306</v>
      </c>
      <c r="G943" t="s">
        <v>13</v>
      </c>
      <c r="H943" t="s">
        <v>1307</v>
      </c>
      <c r="I943">
        <v>2860</v>
      </c>
      <c r="K943" t="s">
        <v>3428</v>
      </c>
      <c r="L943" t="str">
        <f t="shared" si="153"/>
        <v>"id":"s925",</v>
      </c>
      <c r="M943" t="str">
        <v>"cate":"Diode",</v>
      </c>
      <c r="N943" t="str">
        <v>"des":"DiodeE TVS 200V SMT",</v>
      </c>
      <c r="O943" t="str">
        <v>"mfg":"LITTELFUSE",</v>
      </c>
      <c r="P943" t="str">
        <v>"pn":"P6SMB200A",</v>
      </c>
      <c r="Q943" t="str">
        <v>"qty":2927</v>
      </c>
      <c r="S943" t="s">
        <v>2498</v>
      </c>
      <c r="T943" t="str">
        <f t="shared" si="154"/>
        <v>"id":"s925","cate":"Diode","des":"DiodeE TVS 200V SMT","mfg":"LITTELFUSE","pn":"P6SMB200A","qty":2927</v>
      </c>
      <c r="U943" t="s">
        <v>2503</v>
      </c>
    </row>
    <row r="944" spans="5:21" x14ac:dyDescent="0.25">
      <c r="E944" t="s">
        <v>2193</v>
      </c>
      <c r="F944" t="s">
        <v>1306</v>
      </c>
      <c r="G944" t="s">
        <v>89</v>
      </c>
      <c r="H944" t="s">
        <v>1308</v>
      </c>
      <c r="I944">
        <v>2860</v>
      </c>
      <c r="K944" t="s">
        <v>3429</v>
      </c>
      <c r="L944" t="str">
        <f t="shared" si="153"/>
        <v>"id":"s926",</v>
      </c>
      <c r="M944" t="str">
        <v>"cate":"Diode",</v>
      </c>
      <c r="N944" t="str">
        <v>"des":"DiodeE TVS 200V SMT",</v>
      </c>
      <c r="O944" t="str">
        <v>"mfg":"VISHAY",</v>
      </c>
      <c r="P944" t="str">
        <v>"pn":"SM6T200A-E3",</v>
      </c>
      <c r="Q944" t="str">
        <v>"qty":2927</v>
      </c>
      <c r="S944" t="s">
        <v>2498</v>
      </c>
      <c r="T944" t="str">
        <f t="shared" si="154"/>
        <v>"id":"s926","cate":"Diode","des":"DiodeE TVS 200V SMT","mfg":"VISHAY","pn":"SM6T200A-E3","qty":2927</v>
      </c>
      <c r="U944" t="s">
        <v>2503</v>
      </c>
    </row>
    <row r="945" spans="5:21" x14ac:dyDescent="0.25">
      <c r="E945" t="s">
        <v>2165</v>
      </c>
      <c r="F945" t="s">
        <v>1309</v>
      </c>
      <c r="G945" t="s">
        <v>1310</v>
      </c>
      <c r="H945" t="s">
        <v>1311</v>
      </c>
      <c r="I945">
        <v>2851</v>
      </c>
      <c r="K945" t="s">
        <v>3430</v>
      </c>
      <c r="L945" t="str">
        <f t="shared" si="153"/>
        <v>"id":"s927",</v>
      </c>
      <c r="M945" t="str">
        <v>"cate":"Diode",</v>
      </c>
      <c r="N945" t="str">
        <v>"des":"DiodeE TVS 200V SMT",</v>
      </c>
      <c r="O945" t="str">
        <v>"mfg":"STMICROELECTRONICS",</v>
      </c>
      <c r="P945" t="str">
        <v>"pn":"SM6T200A",</v>
      </c>
      <c r="Q945" t="str">
        <v>"qty":2927</v>
      </c>
      <c r="S945" t="s">
        <v>2498</v>
      </c>
      <c r="T945" t="str">
        <f t="shared" si="154"/>
        <v>"id":"s927","cate":"Diode","des":"DiodeE TVS 200V SMT","mfg":"STMICROELECTRONICS","pn":"SM6T200A","qty":2927</v>
      </c>
      <c r="U945" t="s">
        <v>2503</v>
      </c>
    </row>
    <row r="946" spans="5:21" x14ac:dyDescent="0.25">
      <c r="E946" t="s">
        <v>2193</v>
      </c>
      <c r="F946" t="s">
        <v>1312</v>
      </c>
      <c r="G946" t="s">
        <v>37</v>
      </c>
      <c r="H946" t="s">
        <v>1313</v>
      </c>
      <c r="I946">
        <v>2850</v>
      </c>
      <c r="K946" t="s">
        <v>3431</v>
      </c>
      <c r="L946" t="str">
        <f t="shared" si="153"/>
        <v>"id":"s928",</v>
      </c>
      <c r="M946" t="str">
        <v>"cate":"Diode",</v>
      </c>
      <c r="N946" t="str">
        <v>"des":"DiodeE TVS 200V SMT",</v>
      </c>
      <c r="O946" t="str">
        <v>"mfg":"FAGOR",</v>
      </c>
      <c r="P946" t="str">
        <v>"pn":"P6SMB200A TRTB",</v>
      </c>
      <c r="Q946" t="str">
        <v>"qty":2927</v>
      </c>
      <c r="S946" t="s">
        <v>2498</v>
      </c>
      <c r="T946" t="str">
        <f t="shared" si="154"/>
        <v>"id":"s928","cate":"Diode","des":"DiodeE TVS 200V SMT","mfg":"FAGOR","pn":"P6SMB200A TRTB","qty":2927</v>
      </c>
      <c r="U946" t="s">
        <v>2503</v>
      </c>
    </row>
    <row r="947" spans="5:21" x14ac:dyDescent="0.25">
      <c r="E947" t="s">
        <v>2193</v>
      </c>
      <c r="F947" t="s">
        <v>1314</v>
      </c>
      <c r="G947" t="s">
        <v>37</v>
      </c>
      <c r="H947" t="s">
        <v>1315</v>
      </c>
      <c r="I947">
        <v>2846</v>
      </c>
      <c r="K947" t="s">
        <v>3432</v>
      </c>
      <c r="L947" t="str">
        <f t="shared" si="153"/>
        <v>"id":"s929",</v>
      </c>
      <c r="M947" t="str">
        <v>"cate":"Resistor ",</v>
      </c>
      <c r="N947" t="str">
        <v>"des":"RST 5K62 0,1W1%0603",</v>
      </c>
      <c r="O947" t="str">
        <v>"mfg":"YAGEO",</v>
      </c>
      <c r="P947" t="str">
        <v>"pn":"RC0603FR-075K62L",</v>
      </c>
      <c r="Q947" t="str">
        <v>"qty":2924</v>
      </c>
      <c r="S947" t="s">
        <v>2498</v>
      </c>
      <c r="T947" t="str">
        <f t="shared" si="154"/>
        <v>"id":"s929","cate":"Resistor ","des":"RST 5K62 0,1W1%0603","mfg":"YAGEO","pn":"RC0603FR-075K62L","qty":2924</v>
      </c>
      <c r="U947" t="s">
        <v>2503</v>
      </c>
    </row>
    <row r="948" spans="5:21" x14ac:dyDescent="0.25">
      <c r="E948" t="s">
        <v>2193</v>
      </c>
      <c r="F948" t="s">
        <v>1314</v>
      </c>
      <c r="G948" t="s">
        <v>320</v>
      </c>
      <c r="H948" t="s">
        <v>1316</v>
      </c>
      <c r="I948">
        <v>2846</v>
      </c>
      <c r="K948" t="s">
        <v>3433</v>
      </c>
      <c r="L948" t="str">
        <f t="shared" si="153"/>
        <v>"id":"s930",</v>
      </c>
      <c r="M948" t="str">
        <v>"cate":"Resistor ",</v>
      </c>
      <c r="N948" t="str">
        <v>"des":"RST 100K 1/16W 1%-A",</v>
      </c>
      <c r="O948" t="str">
        <v>"mfg":"YAGEO",</v>
      </c>
      <c r="P948" t="str">
        <v>"pn":"RT0402FRE07100KL",</v>
      </c>
      <c r="Q948" t="str">
        <v>"qty":2923</v>
      </c>
      <c r="S948" t="s">
        <v>2498</v>
      </c>
      <c r="T948" t="str">
        <f t="shared" si="154"/>
        <v>"id":"s930","cate":"Resistor ","des":"RST 100K 1/16W 1%-A","mfg":"YAGEO","pn":"RT0402FRE07100KL","qty":2923</v>
      </c>
      <c r="U948" t="s">
        <v>2503</v>
      </c>
    </row>
    <row r="949" spans="5:21" x14ac:dyDescent="0.25">
      <c r="E949" t="s">
        <v>2194</v>
      </c>
      <c r="F949" t="s">
        <v>2295</v>
      </c>
      <c r="G949" t="s">
        <v>47</v>
      </c>
      <c r="H949" t="s">
        <v>1317</v>
      </c>
      <c r="I949">
        <v>2826</v>
      </c>
      <c r="K949" t="s">
        <v>3434</v>
      </c>
      <c r="L949" t="str">
        <f t="shared" si="153"/>
        <v>"id":"s931",</v>
      </c>
      <c r="M949" t="str">
        <v>"cate":"Capacitor",</v>
      </c>
      <c r="N949" t="str">
        <v>"des":"Capacitor 0,1UF/100V 805",</v>
      </c>
      <c r="O949" t="str">
        <v>"mfg":"KEMET",</v>
      </c>
      <c r="P949" t="str">
        <v>"pn":"C0805C104K1RACTU",</v>
      </c>
      <c r="Q949" t="str">
        <v>"qty":2911</v>
      </c>
      <c r="S949" t="s">
        <v>2498</v>
      </c>
      <c r="T949" t="str">
        <f t="shared" si="154"/>
        <v>"id":"s931","cate":"Capacitor","des":"Capacitor 0,1UF/100V 805","mfg":"KEMET","pn":"C0805C104K1RACTU","qty":2911</v>
      </c>
      <c r="U949" t="s">
        <v>2503</v>
      </c>
    </row>
    <row r="950" spans="5:21" x14ac:dyDescent="0.25">
      <c r="E950" t="s">
        <v>2194</v>
      </c>
      <c r="F950" t="s">
        <v>2296</v>
      </c>
      <c r="G950" t="s">
        <v>13</v>
      </c>
      <c r="H950" t="s">
        <v>1318</v>
      </c>
      <c r="I950">
        <v>2822</v>
      </c>
      <c r="K950" t="s">
        <v>3435</v>
      </c>
      <c r="L950" t="str">
        <f t="shared" si="153"/>
        <v>"id":"s932",</v>
      </c>
      <c r="M950" t="str">
        <v>"cate":"Capacitor",</v>
      </c>
      <c r="N950" t="str">
        <v>"des":"Capacitor 0,1UF/100V 805",</v>
      </c>
      <c r="O950" t="str">
        <v>"mfg":"AVX",</v>
      </c>
      <c r="P950" t="str">
        <v>"pn":"08051C104KAT2A",</v>
      </c>
      <c r="Q950" t="str">
        <v>"qty":2911</v>
      </c>
      <c r="S950" t="s">
        <v>2498</v>
      </c>
      <c r="T950" t="str">
        <f t="shared" si="154"/>
        <v>"id":"s932","cate":"Capacitor","des":"Capacitor 0,1UF/100V 805","mfg":"AVX","pn":"08051C104KAT2A","qty":2911</v>
      </c>
      <c r="U950" t="s">
        <v>2503</v>
      </c>
    </row>
    <row r="951" spans="5:21" x14ac:dyDescent="0.25">
      <c r="E951" t="s">
        <v>2194</v>
      </c>
      <c r="F951" t="s">
        <v>2296</v>
      </c>
      <c r="G951" t="s">
        <v>62</v>
      </c>
      <c r="H951" t="s">
        <v>1319</v>
      </c>
      <c r="I951">
        <v>2822</v>
      </c>
      <c r="K951" t="s">
        <v>3436</v>
      </c>
      <c r="L951" t="str">
        <f t="shared" si="153"/>
        <v>"id":"s933",</v>
      </c>
      <c r="M951" t="str">
        <v>"cate":"IC",</v>
      </c>
      <c r="N951" t="str">
        <v>"des":"ICMD UCC25600DR",</v>
      </c>
      <c r="O951" t="str">
        <v>"mfg":"TEXAS INSTRUMENTS",</v>
      </c>
      <c r="P951" t="str">
        <v>"pn":"UCC25600DR",</v>
      </c>
      <c r="Q951" t="str">
        <v>"qty":2909</v>
      </c>
      <c r="S951" t="s">
        <v>2498</v>
      </c>
      <c r="T951" t="str">
        <f t="shared" si="154"/>
        <v>"id":"s933","cate":"IC","des":"ICMD UCC25600DR","mfg":"TEXAS INSTRUMENTS","pn":"UCC25600DR","qty":2909</v>
      </c>
      <c r="U951" t="s">
        <v>2503</v>
      </c>
    </row>
    <row r="952" spans="5:21" x14ac:dyDescent="0.25">
      <c r="E952" t="s">
        <v>2194</v>
      </c>
      <c r="F952" t="s">
        <v>2296</v>
      </c>
      <c r="G952" t="s">
        <v>62</v>
      </c>
      <c r="H952" t="s">
        <v>1320</v>
      </c>
      <c r="I952">
        <v>2822</v>
      </c>
      <c r="K952" t="s">
        <v>3437</v>
      </c>
      <c r="L952" t="str">
        <f t="shared" si="153"/>
        <v>"id":"s934",</v>
      </c>
      <c r="M952" t="str">
        <v>"cate":"IC",</v>
      </c>
      <c r="N952" t="str">
        <v>"des":"ICMD UCC25600DR",</v>
      </c>
      <c r="O952" t="str">
        <v>"mfg":"TEXAS INSTRUMENTS (CANCEL",</v>
      </c>
      <c r="P952" t="str">
        <v>"pn":"UCC25600DR",</v>
      </c>
      <c r="Q952" t="str">
        <v>"qty":2909</v>
      </c>
      <c r="S952" t="s">
        <v>2498</v>
      </c>
      <c r="T952" t="str">
        <f t="shared" si="154"/>
        <v>"id":"s934","cate":"IC","des":"ICMD UCC25600DR","mfg":"TEXAS INSTRUMENTS (CANCEL","pn":"UCC25600DR","qty":2909</v>
      </c>
      <c r="U952" t="s">
        <v>2503</v>
      </c>
    </row>
    <row r="953" spans="5:21" x14ac:dyDescent="0.25">
      <c r="E953" t="s">
        <v>2193</v>
      </c>
      <c r="F953" t="s">
        <v>1321</v>
      </c>
      <c r="G953" t="s">
        <v>37</v>
      </c>
      <c r="H953" t="s">
        <v>1322</v>
      </c>
      <c r="I953">
        <v>2802</v>
      </c>
      <c r="K953" t="s">
        <v>3438</v>
      </c>
      <c r="L953" t="str">
        <f t="shared" si="153"/>
        <v>"id":"s935",</v>
      </c>
      <c r="M953" t="str">
        <v>"cate":"IC",</v>
      </c>
      <c r="N953" t="str">
        <v>"des":"IC LM258DT",</v>
      </c>
      <c r="O953" t="str">
        <v>"mfg":"STMICROELECTRONICS",</v>
      </c>
      <c r="P953" t="str">
        <v>"pn":"LM258DT",</v>
      </c>
      <c r="Q953" t="str">
        <v>"qty":2891</v>
      </c>
      <c r="S953" t="s">
        <v>2498</v>
      </c>
      <c r="T953" t="str">
        <f t="shared" si="154"/>
        <v>"id":"s935","cate":"IC","des":"IC LM258DT","mfg":"STMICROELECTRONICS","pn":"LM258DT","qty":2891</v>
      </c>
      <c r="U953" t="s">
        <v>2503</v>
      </c>
    </row>
    <row r="954" spans="5:21" x14ac:dyDescent="0.25">
      <c r="E954" t="s">
        <v>2193</v>
      </c>
      <c r="F954" t="s">
        <v>1321</v>
      </c>
      <c r="G954" t="s">
        <v>320</v>
      </c>
      <c r="H954" t="s">
        <v>1323</v>
      </c>
      <c r="I954">
        <v>2802</v>
      </c>
      <c r="K954" t="s">
        <v>3439</v>
      </c>
      <c r="L954" t="str">
        <f t="shared" si="153"/>
        <v>"id":"s936",</v>
      </c>
      <c r="M954" t="str">
        <v>"cate":"Resistor ",</v>
      </c>
      <c r="N954" t="str">
        <v>"des":"RST 9K53 1/4W1%1206",</v>
      </c>
      <c r="O954" t="str">
        <v>"mfg":"YAGEO",</v>
      </c>
      <c r="P954" t="str">
        <v>"pn":"RC1206FR-079K53L",</v>
      </c>
      <c r="Q954" t="str">
        <v>"qty":2866</v>
      </c>
      <c r="S954" t="s">
        <v>2498</v>
      </c>
      <c r="T954" t="str">
        <f t="shared" si="154"/>
        <v>"id":"s936","cate":"Resistor ","des":"RST 9K53 1/4W1%1206","mfg":"YAGEO","pn":"RC1206FR-079K53L","qty":2866</v>
      </c>
      <c r="U954" t="s">
        <v>2503</v>
      </c>
    </row>
    <row r="955" spans="5:21" x14ac:dyDescent="0.25">
      <c r="E955" t="s">
        <v>2141</v>
      </c>
      <c r="F955" t="s">
        <v>1324</v>
      </c>
      <c r="G955" t="s">
        <v>202</v>
      </c>
      <c r="H955" t="s">
        <v>1325</v>
      </c>
      <c r="I955">
        <v>2795</v>
      </c>
      <c r="K955" t="s">
        <v>3440</v>
      </c>
      <c r="L955" t="str">
        <f t="shared" si="153"/>
        <v>"id":"s937",</v>
      </c>
      <c r="M955" t="str">
        <v>"cate":"Resistor ",</v>
      </c>
      <c r="N955" t="str">
        <v>"des":"RST 1M 0,1W 5% 0603",</v>
      </c>
      <c r="O955" t="str">
        <v>"mfg":"YAGEO",</v>
      </c>
      <c r="P955" t="str">
        <v>"pn":"RC0603JR-071ML",</v>
      </c>
      <c r="Q955" t="str">
        <v>"qty":2863</v>
      </c>
      <c r="S955" t="s">
        <v>2498</v>
      </c>
      <c r="T955" t="str">
        <f t="shared" si="154"/>
        <v>"id":"s937","cate":"Resistor ","des":"RST 1M 0,1W 5% 0603","mfg":"YAGEO","pn":"RC0603JR-071ML","qty":2863</v>
      </c>
      <c r="U955" t="s">
        <v>2503</v>
      </c>
    </row>
    <row r="956" spans="5:21" x14ac:dyDescent="0.25">
      <c r="E956" s="6" t="s">
        <v>2474</v>
      </c>
      <c r="F956" t="s">
        <v>1326</v>
      </c>
      <c r="G956" t="s">
        <v>556</v>
      </c>
      <c r="H956" t="s">
        <v>1327</v>
      </c>
      <c r="I956">
        <v>2790</v>
      </c>
      <c r="K956" t="s">
        <v>3441</v>
      </c>
      <c r="L956" t="str">
        <f t="shared" si="153"/>
        <v>"id":"s938",</v>
      </c>
      <c r="M956" t="str">
        <v>"cate":"Resistor ",</v>
      </c>
      <c r="N956" t="str">
        <v>"des":"RST 10K7 0,1W 1%603",</v>
      </c>
      <c r="O956" t="str">
        <v>"mfg":"YAGEO",</v>
      </c>
      <c r="P956" t="str">
        <v>"pn":"RC0603FR-0710K7L",</v>
      </c>
      <c r="Q956" t="str">
        <v>"qty":2860</v>
      </c>
      <c r="S956" t="s">
        <v>2498</v>
      </c>
      <c r="T956" t="str">
        <f t="shared" si="154"/>
        <v>"id":"s938","cate":"Resistor ","des":"RST 10K7 0,1W 1%603","mfg":"YAGEO","pn":"RC0603FR-0710K7L","qty":2860</v>
      </c>
      <c r="U956" t="s">
        <v>2503</v>
      </c>
    </row>
    <row r="957" spans="5:21" x14ac:dyDescent="0.25">
      <c r="E957" s="6" t="s">
        <v>2474</v>
      </c>
      <c r="F957" t="s">
        <v>1326</v>
      </c>
      <c r="G957" t="s">
        <v>30</v>
      </c>
      <c r="H957" t="s">
        <v>1261</v>
      </c>
      <c r="I957">
        <v>2790</v>
      </c>
      <c r="K957" t="s">
        <v>3442</v>
      </c>
      <c r="L957" t="str">
        <f t="shared" si="153"/>
        <v>"id":"s939",</v>
      </c>
      <c r="M957" t="str">
        <v>"cate":"Resistor ",</v>
      </c>
      <c r="N957" t="str">
        <v>"des":"RST 10K7 0,1W 1%603",</v>
      </c>
      <c r="O957" t="str">
        <v>"mfg":"BOURNS",</v>
      </c>
      <c r="P957" t="str">
        <v>"pn":"CR0603FX1072ELF",</v>
      </c>
      <c r="Q957" t="str">
        <v>"qty":2860</v>
      </c>
      <c r="S957" t="s">
        <v>2498</v>
      </c>
      <c r="T957" t="str">
        <f t="shared" si="154"/>
        <v>"id":"s939","cate":"Resistor ","des":"RST 10K7 0,1W 1%603","mfg":"BOURNS","pn":"CR0603FX1072ELF","qty":2860</v>
      </c>
      <c r="U957" t="s">
        <v>2503</v>
      </c>
    </row>
    <row r="958" spans="5:21" x14ac:dyDescent="0.25">
      <c r="E958" s="6" t="s">
        <v>2474</v>
      </c>
      <c r="F958" t="s">
        <v>1326</v>
      </c>
      <c r="G958" t="s">
        <v>1328</v>
      </c>
      <c r="H958" t="s">
        <v>1329</v>
      </c>
      <c r="I958">
        <v>2790</v>
      </c>
      <c r="K958" t="s">
        <v>3443</v>
      </c>
      <c r="L958" t="str">
        <f t="shared" si="153"/>
        <v>"id":"s940",</v>
      </c>
      <c r="M958" t="str">
        <v>"cate":"BASE",</v>
      </c>
      <c r="N958" t="str">
        <v>"des":"BASE T 4X2,4X1,8",</v>
      </c>
      <c r="O958" t="str">
        <v>"mfg":"YING CHIN",</v>
      </c>
      <c r="P958" t="str">
        <v>"pn":"YC-B-112",</v>
      </c>
      <c r="Q958" t="str">
        <v>"qty":2851</v>
      </c>
      <c r="S958" t="s">
        <v>2498</v>
      </c>
      <c r="T958" t="str">
        <f t="shared" si="154"/>
        <v>"id":"s940","cate":"BASE","des":"BASE T 4X2,4X1,8","mfg":"YING CHIN","pn":"YC-B-112","qty":2851</v>
      </c>
      <c r="U958" t="s">
        <v>2503</v>
      </c>
    </row>
    <row r="959" spans="5:21" x14ac:dyDescent="0.25">
      <c r="E959" s="6" t="s">
        <v>2474</v>
      </c>
      <c r="F959" t="s">
        <v>1326</v>
      </c>
      <c r="G959" t="s">
        <v>1328</v>
      </c>
      <c r="H959" t="s">
        <v>1330</v>
      </c>
      <c r="I959">
        <v>2790</v>
      </c>
      <c r="K959" t="s">
        <v>3444</v>
      </c>
      <c r="L959" t="str">
        <f t="shared" si="153"/>
        <v>"id":"s941",</v>
      </c>
      <c r="M959" t="str">
        <v>"cate":"Resistor ",</v>
      </c>
      <c r="N959" t="str">
        <v>"des":"RST 22 1/16W 1%0402",</v>
      </c>
      <c r="O959" t="str">
        <v>"mfg":"VISHAY",</v>
      </c>
      <c r="P959" t="str">
        <v>"pn":"CRCW040222R0FKED",</v>
      </c>
      <c r="Q959" t="str">
        <v>"qty":2850</v>
      </c>
      <c r="S959" t="s">
        <v>2498</v>
      </c>
      <c r="T959" t="str">
        <f t="shared" si="154"/>
        <v>"id":"s941","cate":"Resistor ","des":"RST 22 1/16W 1%0402","mfg":"VISHAY","pn":"CRCW040222R0FKED","qty":2850</v>
      </c>
      <c r="U959" t="s">
        <v>2503</v>
      </c>
    </row>
    <row r="960" spans="5:21" x14ac:dyDescent="0.25">
      <c r="E960" s="6" t="s">
        <v>2489</v>
      </c>
      <c r="F960" t="s">
        <v>1331</v>
      </c>
      <c r="G960" t="s">
        <v>57</v>
      </c>
      <c r="H960" t="s">
        <v>1332</v>
      </c>
      <c r="I960">
        <v>2788</v>
      </c>
      <c r="K960" t="s">
        <v>3445</v>
      </c>
      <c r="L960" t="str">
        <f t="shared" si="153"/>
        <v>"id":"s942",</v>
      </c>
      <c r="M960" t="str">
        <v>"cate":"Resistor ",</v>
      </c>
      <c r="N960" t="str">
        <v>"des":"RST 27K 1/8W 1% 805",</v>
      </c>
      <c r="O960" t="str">
        <v>"mfg":"VISHAY",</v>
      </c>
      <c r="P960" t="str">
        <v>"pn":"CRCW080527K0FKEA",</v>
      </c>
      <c r="Q960" t="str">
        <v>"qty":2846</v>
      </c>
      <c r="S960" t="s">
        <v>2498</v>
      </c>
      <c r="T960" t="str">
        <f t="shared" si="154"/>
        <v>"id":"s942","cate":"Resistor ","des":"RST 27K 1/8W 1% 805","mfg":"VISHAY","pn":"CRCW080527K0FKEA","qty":2846</v>
      </c>
      <c r="U960" t="s">
        <v>2503</v>
      </c>
    </row>
    <row r="961" spans="5:21" x14ac:dyDescent="0.25">
      <c r="E961" s="6" t="s">
        <v>2489</v>
      </c>
      <c r="F961" t="s">
        <v>1331</v>
      </c>
      <c r="G961" t="s">
        <v>1333</v>
      </c>
      <c r="H961" t="s">
        <v>1334</v>
      </c>
      <c r="I961">
        <v>2788</v>
      </c>
      <c r="K961" t="s">
        <v>3446</v>
      </c>
      <c r="L961" t="str">
        <f t="shared" si="153"/>
        <v>"id":"s943",</v>
      </c>
      <c r="M961" t="str">
        <v>"cate":"Resistor ",</v>
      </c>
      <c r="N961" t="str">
        <v>"des":"RST 27K 1/8W 1% 805",</v>
      </c>
      <c r="O961" t="str">
        <v>"mfg":"ROYAL OHM",</v>
      </c>
      <c r="P961" t="str">
        <v>"pn":"0805W8F2702T5E",</v>
      </c>
      <c r="Q961" t="str">
        <v>"qty":2846</v>
      </c>
      <c r="S961" t="s">
        <v>2498</v>
      </c>
      <c r="T961" t="str">
        <f t="shared" si="154"/>
        <v>"id":"s943","cate":"Resistor ","des":"RST 27K 1/8W 1% 805","mfg":"ROYAL OHM","pn":"0805W8F2702T5E","qty":2846</v>
      </c>
      <c r="U961" t="s">
        <v>2503</v>
      </c>
    </row>
    <row r="962" spans="5:21" x14ac:dyDescent="0.25">
      <c r="E962" t="s">
        <v>2194</v>
      </c>
      <c r="F962" t="s">
        <v>2297</v>
      </c>
      <c r="G962" t="s">
        <v>47</v>
      </c>
      <c r="H962" t="s">
        <v>1335</v>
      </c>
      <c r="I962">
        <v>2786</v>
      </c>
      <c r="K962" t="s">
        <v>3447</v>
      </c>
      <c r="L962" t="str">
        <f t="shared" si="153"/>
        <v>"id":"s944",</v>
      </c>
      <c r="M962" t="str">
        <v>"cate":"Capacitor",</v>
      </c>
      <c r="N962" t="str">
        <v>"des":"Capacitor 1NF/50V 0805B",</v>
      </c>
      <c r="O962" t="str">
        <v>"mfg":"KEMET",</v>
      </c>
      <c r="P962" t="str">
        <v>"pn":"C0805C102K5RACTU",</v>
      </c>
      <c r="Q962" t="str">
        <v>"qty":2826</v>
      </c>
      <c r="S962" t="s">
        <v>2498</v>
      </c>
      <c r="T962" t="str">
        <f t="shared" si="154"/>
        <v>"id":"s944","cate":"Capacitor","des":"Capacitor 1NF/50V 0805B","mfg":"KEMET","pn":"C0805C102K5RACTU","qty":2826</v>
      </c>
      <c r="U962" t="s">
        <v>2503</v>
      </c>
    </row>
    <row r="963" spans="5:21" x14ac:dyDescent="0.25">
      <c r="E963" t="s">
        <v>2194</v>
      </c>
      <c r="F963" t="s">
        <v>2297</v>
      </c>
      <c r="G963" t="s">
        <v>64</v>
      </c>
      <c r="H963" t="s">
        <v>1336</v>
      </c>
      <c r="I963">
        <v>2786</v>
      </c>
      <c r="K963" t="s">
        <v>3448</v>
      </c>
      <c r="L963" t="str">
        <f t="shared" si="153"/>
        <v>"id":"s945",</v>
      </c>
      <c r="M963" t="str">
        <v>"cate":"Capacitor",</v>
      </c>
      <c r="N963" t="str">
        <v>"des":"Capacitor 1UF/16V 0603",</v>
      </c>
      <c r="O963" t="str">
        <v>"mfg":"YAGEO",</v>
      </c>
      <c r="P963" t="str">
        <v>"pn":"CC0603KRX7R7BB105",</v>
      </c>
      <c r="Q963" t="str">
        <v>"qty":2822</v>
      </c>
      <c r="S963" t="s">
        <v>2498</v>
      </c>
      <c r="T963" t="str">
        <f t="shared" si="154"/>
        <v>"id":"s945","cate":"Capacitor","des":"Capacitor 1UF/16V 0603","mfg":"YAGEO","pn":"CC0603KRX7R7BB105","qty":2822</v>
      </c>
      <c r="U963" t="s">
        <v>2503</v>
      </c>
    </row>
    <row r="964" spans="5:21" x14ac:dyDescent="0.25">
      <c r="E964" t="s">
        <v>2194</v>
      </c>
      <c r="F964" t="s">
        <v>2297</v>
      </c>
      <c r="G964" t="s">
        <v>64</v>
      </c>
      <c r="H964" t="s">
        <v>1337</v>
      </c>
      <c r="I964">
        <v>2786</v>
      </c>
      <c r="K964" t="s">
        <v>3449</v>
      </c>
      <c r="L964" t="str">
        <f t="shared" si="153"/>
        <v>"id":"s946",</v>
      </c>
      <c r="M964" t="str">
        <v>"cate":"Capacitor",</v>
      </c>
      <c r="N964" t="str">
        <v>"des":"Capacitor 1UF/16V 0603",</v>
      </c>
      <c r="O964" t="str">
        <v>"mfg":"TDK",</v>
      </c>
      <c r="P964" t="str">
        <v>"pn":"C1608X7R1C105KT000N",</v>
      </c>
      <c r="Q964" t="str">
        <v>"qty":2822</v>
      </c>
      <c r="S964" t="s">
        <v>2498</v>
      </c>
      <c r="T964" t="str">
        <f t="shared" si="154"/>
        <v>"id":"s946","cate":"Capacitor","des":"Capacitor 1UF/16V 0603","mfg":"TDK","pn":"C1608X7R1C105KT000N","qty":2822</v>
      </c>
      <c r="U964" t="s">
        <v>2503</v>
      </c>
    </row>
    <row r="965" spans="5:21" x14ac:dyDescent="0.25">
      <c r="E965" t="s">
        <v>2194</v>
      </c>
      <c r="F965" t="s">
        <v>2297</v>
      </c>
      <c r="G965" t="s">
        <v>10</v>
      </c>
      <c r="H965" t="s">
        <v>1338</v>
      </c>
      <c r="I965">
        <v>2786</v>
      </c>
      <c r="K965" t="s">
        <v>3450</v>
      </c>
      <c r="L965" t="str">
        <f t="shared" si="153"/>
        <v>"id":"s947",</v>
      </c>
      <c r="M965" t="str">
        <v>"cate":"Capacitor",</v>
      </c>
      <c r="N965" t="str">
        <v>"des":"Capacitor 1UF/16V 0603",</v>
      </c>
      <c r="O965" t="str">
        <v>"mfg":"TDK",</v>
      </c>
      <c r="P965" t="str">
        <v>"pn":"C1608X7R1C105K080AC",</v>
      </c>
      <c r="Q965" t="str">
        <v>"qty":2822</v>
      </c>
      <c r="S965" t="s">
        <v>2498</v>
      </c>
      <c r="T965" t="str">
        <f t="shared" si="154"/>
        <v>"id":"s947","cate":"Capacitor","des":"Capacitor 1UF/16V 0603","mfg":"TDK","pn":"C1608X7R1C105K080AC","qty":2822</v>
      </c>
      <c r="U965" t="s">
        <v>2503</v>
      </c>
    </row>
    <row r="966" spans="5:21" x14ac:dyDescent="0.25">
      <c r="E966" t="s">
        <v>2194</v>
      </c>
      <c r="F966" t="s">
        <v>2297</v>
      </c>
      <c r="G966" t="s">
        <v>1339</v>
      </c>
      <c r="H966" t="s">
        <v>1340</v>
      </c>
      <c r="I966">
        <v>2786</v>
      </c>
      <c r="K966" t="s">
        <v>3451</v>
      </c>
      <c r="L966" t="str">
        <f t="shared" si="153"/>
        <v>"id":"s948",</v>
      </c>
      <c r="M966" t="str">
        <v>"cate":"Resistor ",</v>
      </c>
      <c r="N966" t="str">
        <v>"des":"RST 220 1% 1206-T",</v>
      </c>
      <c r="O966" t="str">
        <v>"mfg":"VISHAY",</v>
      </c>
      <c r="P966" t="str">
        <v>"pn":"CRCW1206220RFKEA",</v>
      </c>
      <c r="Q966" t="str">
        <v>"qty":2802</v>
      </c>
      <c r="S966" t="s">
        <v>2498</v>
      </c>
      <c r="T966" t="str">
        <f t="shared" si="154"/>
        <v>"id":"s948","cate":"Resistor ","des":"RST 220 1% 1206-T","mfg":"VISHAY","pn":"CRCW1206220RFKEA","qty":2802</v>
      </c>
      <c r="U966" t="s">
        <v>2503</v>
      </c>
    </row>
    <row r="967" spans="5:21" x14ac:dyDescent="0.25">
      <c r="E967" t="s">
        <v>2194</v>
      </c>
      <c r="F967" t="s">
        <v>2298</v>
      </c>
      <c r="G967" t="s">
        <v>47</v>
      </c>
      <c r="H967" t="s">
        <v>1341</v>
      </c>
      <c r="I967">
        <v>2778</v>
      </c>
      <c r="K967" t="s">
        <v>3452</v>
      </c>
      <c r="L967" t="str">
        <f t="shared" si="153"/>
        <v>"id":"s949",</v>
      </c>
      <c r="M967" t="str">
        <v>"cate":"Resistor ",</v>
      </c>
      <c r="N967" t="str">
        <v>"des":"RST 220 1% 1206-T",</v>
      </c>
      <c r="O967" t="str">
        <v>"mfg":"ROYAL OHM",</v>
      </c>
      <c r="P967" t="str">
        <v>"pn":"CQ06W4F2200T5E",</v>
      </c>
      <c r="Q967" t="str">
        <v>"qty":2802</v>
      </c>
      <c r="S967" t="s">
        <v>2498</v>
      </c>
      <c r="T967" t="str">
        <f t="shared" si="154"/>
        <v>"id":"s949","cate":"Resistor ","des":"RST 220 1% 1206-T","mfg":"ROYAL OHM","pn":"CQ06W4F2200T5E","qty":2802</v>
      </c>
      <c r="U967" t="s">
        <v>2503</v>
      </c>
    </row>
    <row r="968" spans="5:21" x14ac:dyDescent="0.25">
      <c r="E968" t="s">
        <v>2194</v>
      </c>
      <c r="F968" t="s">
        <v>2298</v>
      </c>
      <c r="G968" t="s">
        <v>47</v>
      </c>
      <c r="H968" t="s">
        <v>1342</v>
      </c>
      <c r="I968">
        <v>2778</v>
      </c>
      <c r="K968" t="s">
        <v>3453</v>
      </c>
      <c r="L968" t="str">
        <f t="shared" si="153"/>
        <v>"id":"s950",</v>
      </c>
      <c r="M968" t="str">
        <v>"cate":"CNTF",</v>
      </c>
      <c r="N968" t="str">
        <v>"des":"CNTF-MAT-350778-1",</v>
      </c>
      <c r="O968" t="str">
        <v>"mfg":"TE CONNECTIVITY",</v>
      </c>
      <c r="P968" t="str">
        <v>"pn":"350778-1",</v>
      </c>
      <c r="Q968" t="str">
        <v>"qty":2795</v>
      </c>
      <c r="S968" t="s">
        <v>2498</v>
      </c>
      <c r="T968" t="str">
        <f t="shared" si="154"/>
        <v>"id":"s950","cate":"CNTF","des":"CNTF-MAT-350778-1","mfg":"TE CONNECTIVITY","pn":"350778-1","qty":2795</v>
      </c>
      <c r="U968" t="s">
        <v>2503</v>
      </c>
    </row>
    <row r="969" spans="5:21" x14ac:dyDescent="0.25">
      <c r="E969" t="s">
        <v>2194</v>
      </c>
      <c r="F969" t="s">
        <v>2298</v>
      </c>
      <c r="G969" t="s">
        <v>37</v>
      </c>
      <c r="H969" t="s">
        <v>1343</v>
      </c>
      <c r="I969">
        <v>2778</v>
      </c>
      <c r="K969" t="s">
        <v>3454</v>
      </c>
      <c r="L969" t="str">
        <f t="shared" si="153"/>
        <v>"id":"s951",</v>
      </c>
      <c r="M969" t="str">
        <v>"cate":"MOSFET",</v>
      </c>
      <c r="N969" t="str">
        <v>"des":"MOS 60V 0,3A SOT23A",</v>
      </c>
      <c r="O969" t="str">
        <v>"mfg":"INFINEON TECHNOLOGIES",</v>
      </c>
      <c r="P969" t="str">
        <v>"pn":"SN7002NHXXXX",</v>
      </c>
      <c r="Q969" t="str">
        <v>"qty":2790</v>
      </c>
      <c r="S969" t="s">
        <v>2498</v>
      </c>
      <c r="T969" t="str">
        <f t="shared" si="154"/>
        <v>"id":"s951","cate":"MOSFET","des":"MOS 60V 0,3A SOT23A","mfg":"INFINEON TECHNOLOGIES","pn":"SN7002NHXXXX","qty":2790</v>
      </c>
      <c r="U969" t="s">
        <v>2503</v>
      </c>
    </row>
    <row r="970" spans="5:21" x14ac:dyDescent="0.25">
      <c r="E970" s="6" t="s">
        <v>2474</v>
      </c>
      <c r="F970" t="s">
        <v>1344</v>
      </c>
      <c r="G970" t="s">
        <v>37</v>
      </c>
      <c r="H970" t="s">
        <v>1345</v>
      </c>
      <c r="I970">
        <v>2774</v>
      </c>
      <c r="K970" t="s">
        <v>3455</v>
      </c>
      <c r="L970" t="str">
        <f t="shared" si="153"/>
        <v>"id":"s952",</v>
      </c>
      <c r="M970" t="str">
        <v>"cate":"MOSFET",</v>
      </c>
      <c r="N970" t="str">
        <v>"des":"MOS 60V 0,3A SOT23A",</v>
      </c>
      <c r="O970" t="str">
        <v>"mfg":"NEXPERIA",</v>
      </c>
      <c r="P970" t="str">
        <v>"pn":"2N7002,215",</v>
      </c>
      <c r="Q970" t="str">
        <v>"qty":2790</v>
      </c>
      <c r="S970" t="s">
        <v>2498</v>
      </c>
      <c r="T970" t="str">
        <f t="shared" si="154"/>
        <v>"id":"s952","cate":"MOSFET","des":"MOS 60V 0,3A SOT23A","mfg":"NEXPERIA","pn":"2N7002,215","qty":2790</v>
      </c>
      <c r="U970" t="s">
        <v>2503</v>
      </c>
    </row>
    <row r="971" spans="5:21" x14ac:dyDescent="0.25">
      <c r="E971" s="6" t="s">
        <v>2382</v>
      </c>
      <c r="F971" t="s">
        <v>1346</v>
      </c>
      <c r="G971" t="s">
        <v>149</v>
      </c>
      <c r="H971" t="s">
        <v>1347</v>
      </c>
      <c r="I971">
        <v>2763</v>
      </c>
      <c r="K971" t="s">
        <v>3456</v>
      </c>
      <c r="L971" t="str">
        <f t="shared" si="153"/>
        <v>"id":"s953",</v>
      </c>
      <c r="M971" t="str">
        <v>"cate":"MOSFET",</v>
      </c>
      <c r="N971" t="str">
        <v>"des":"MOS 60V 0,3A SOT23A",</v>
      </c>
      <c r="O971" t="str">
        <v>"mfg":"PANJIT",</v>
      </c>
      <c r="P971" t="str">
        <v>"pn":"2N7002K_R1_00001",</v>
      </c>
      <c r="Q971" t="str">
        <v>"qty":2790</v>
      </c>
      <c r="S971" t="s">
        <v>2498</v>
      </c>
      <c r="T971" t="str">
        <f t="shared" si="154"/>
        <v>"id":"s953","cate":"MOSFET","des":"MOS 60V 0,3A SOT23A","mfg":"PANJIT","pn":"2N7002K_R1_00001","qty":2790</v>
      </c>
      <c r="U971" t="s">
        <v>2503</v>
      </c>
    </row>
    <row r="972" spans="5:21" x14ac:dyDescent="0.25">
      <c r="E972" t="s">
        <v>2194</v>
      </c>
      <c r="F972" t="s">
        <v>2299</v>
      </c>
      <c r="G972" t="s">
        <v>47</v>
      </c>
      <c r="H972" t="s">
        <v>1348</v>
      </c>
      <c r="I972">
        <v>2722</v>
      </c>
      <c r="K972" t="s">
        <v>3457</v>
      </c>
      <c r="L972" t="str">
        <f t="shared" si="153"/>
        <v>"id":"s954",</v>
      </c>
      <c r="M972" t="str">
        <v>"cate":"MOSFET",</v>
      </c>
      <c r="N972" t="str">
        <v>"des":"MOS 60V 0,3A SOT23A",</v>
      </c>
      <c r="O972" t="str">
        <v>"mfg":"PANJIT",</v>
      </c>
      <c r="P972" t="str">
        <v>"pn":"2N7002K_R1_10001",</v>
      </c>
      <c r="Q972" t="str">
        <v>"qty":2790</v>
      </c>
      <c r="S972" t="s">
        <v>2498</v>
      </c>
      <c r="T972" t="str">
        <f t="shared" si="154"/>
        <v>"id":"s954","cate":"MOSFET","des":"MOS 60V 0,3A SOT23A","mfg":"PANJIT","pn":"2N7002K_R1_10001","qty":2790</v>
      </c>
      <c r="U972" t="s">
        <v>2503</v>
      </c>
    </row>
    <row r="973" spans="5:21" x14ac:dyDescent="0.25">
      <c r="E973" t="s">
        <v>2194</v>
      </c>
      <c r="F973" t="s">
        <v>2299</v>
      </c>
      <c r="G973" t="s">
        <v>64</v>
      </c>
      <c r="H973" t="s">
        <v>1349</v>
      </c>
      <c r="I973">
        <v>2722</v>
      </c>
      <c r="K973" t="s">
        <v>3458</v>
      </c>
      <c r="L973" t="str">
        <f t="shared" si="153"/>
        <v>"id":"s955",</v>
      </c>
      <c r="M973" t="str">
        <v>"cate":"Var Resistor",</v>
      </c>
      <c r="N973" t="str">
        <v>"des":"VAR 175V DIA 14MM",</v>
      </c>
      <c r="O973" t="str">
        <v>"mfg":"LITTELFUSE",</v>
      </c>
      <c r="P973" t="str">
        <v>"pn":"TMOV14RP175E",</v>
      </c>
      <c r="Q973" t="str">
        <v>"qty":2788</v>
      </c>
      <c r="S973" t="s">
        <v>2498</v>
      </c>
      <c r="T973" t="str">
        <f t="shared" si="154"/>
        <v>"id":"s955","cate":"Var Resistor","des":"VAR 175V DIA 14MM","mfg":"LITTELFUSE","pn":"TMOV14RP175E","qty":2788</v>
      </c>
      <c r="U973" t="s">
        <v>2503</v>
      </c>
    </row>
    <row r="974" spans="5:21" x14ac:dyDescent="0.25">
      <c r="E974" t="s">
        <v>2194</v>
      </c>
      <c r="F974" t="s">
        <v>2299</v>
      </c>
      <c r="G974" t="s">
        <v>73</v>
      </c>
      <c r="H974" t="s">
        <v>1350</v>
      </c>
      <c r="I974">
        <v>2722</v>
      </c>
      <c r="K974" t="s">
        <v>3459</v>
      </c>
      <c r="L974" t="str">
        <f t="shared" si="153"/>
        <v>"id":"s956",</v>
      </c>
      <c r="M974" t="str">
        <v>"cate":"Var Resistor",</v>
      </c>
      <c r="N974" t="str">
        <v>"des":"VAR 175V DIA 14MM",</v>
      </c>
      <c r="O974" t="str">
        <v>"mfg":"THINKING",</v>
      </c>
      <c r="P974" t="str">
        <v>"pn":"TVT14271KAKGB510",</v>
      </c>
      <c r="Q974" t="str">
        <v>"qty":2788</v>
      </c>
      <c r="S974" t="s">
        <v>2498</v>
      </c>
      <c r="T974" t="str">
        <f t="shared" si="154"/>
        <v>"id":"s956","cate":"Var Resistor","des":"VAR 175V DIA 14MM","mfg":"THINKING","pn":"TVT14271KAKGB510","qty":2788</v>
      </c>
      <c r="U974" t="s">
        <v>2503</v>
      </c>
    </row>
    <row r="975" spans="5:21" x14ac:dyDescent="0.25">
      <c r="E975" t="s">
        <v>2194</v>
      </c>
      <c r="F975" t="s">
        <v>2299</v>
      </c>
      <c r="G975" t="s">
        <v>1351</v>
      </c>
      <c r="H975" t="s">
        <v>1352</v>
      </c>
      <c r="I975">
        <v>2722</v>
      </c>
      <c r="K975" t="s">
        <v>3460</v>
      </c>
      <c r="L975" t="str">
        <f t="shared" si="153"/>
        <v>"id":"s957",</v>
      </c>
      <c r="M975" t="str">
        <v>"cate":"Capacitor",</v>
      </c>
      <c r="N975" t="str">
        <v>"des":"Capacitor 4,7UF K16V1206",</v>
      </c>
      <c r="O975" t="str">
        <v>"mfg":"KEMET",</v>
      </c>
      <c r="P975" t="str">
        <v>"pn":"C1206F475K4RACTU",</v>
      </c>
      <c r="Q975" t="str">
        <v>"qty":2786</v>
      </c>
      <c r="S975" t="s">
        <v>2498</v>
      </c>
      <c r="T975" t="str">
        <f t="shared" si="154"/>
        <v>"id":"s957","cate":"Capacitor","des":"Capacitor 4,7UF K16V1206","mfg":"KEMET","pn":"C1206F475K4RACTU","qty":2786</v>
      </c>
      <c r="U975" t="s">
        <v>2503</v>
      </c>
    </row>
    <row r="976" spans="5:21" x14ac:dyDescent="0.25">
      <c r="E976" t="s">
        <v>2194</v>
      </c>
      <c r="F976" t="s">
        <v>2300</v>
      </c>
      <c r="G976" t="s">
        <v>13</v>
      </c>
      <c r="H976" t="s">
        <v>482</v>
      </c>
      <c r="I976">
        <v>2694</v>
      </c>
      <c r="K976" t="s">
        <v>3461</v>
      </c>
      <c r="L976" t="str">
        <f t="shared" si="153"/>
        <v>"id":"s958",</v>
      </c>
      <c r="M976" t="str">
        <v>"cate":"Capacitor",</v>
      </c>
      <c r="N976" t="str">
        <v>"des":"Capacitor 4,7UF K16V1206",</v>
      </c>
      <c r="O976" t="str">
        <v>"mfg":"MURATA MANUFACTURING",</v>
      </c>
      <c r="P976" t="str">
        <v>"pn":"GCM31CR71C475KA37",</v>
      </c>
      <c r="Q976" t="str">
        <v>"qty":2786</v>
      </c>
      <c r="S976" t="s">
        <v>2498</v>
      </c>
      <c r="T976" t="str">
        <f t="shared" si="154"/>
        <v>"id":"s958","cate":"Capacitor","des":"Capacitor 4,7UF K16V1206","mfg":"MURATA MANUFACTURING","pn":"GCM31CR71C475KA37","qty":2786</v>
      </c>
      <c r="U976" t="s">
        <v>2503</v>
      </c>
    </row>
    <row r="977" spans="5:21" x14ac:dyDescent="0.25">
      <c r="E977" t="s">
        <v>2194</v>
      </c>
      <c r="F977" t="s">
        <v>2300</v>
      </c>
      <c r="G977" t="s">
        <v>49</v>
      </c>
      <c r="H977" t="s">
        <v>483</v>
      </c>
      <c r="I977">
        <v>2694</v>
      </c>
      <c r="K977" t="s">
        <v>3462</v>
      </c>
      <c r="L977" t="str">
        <f t="shared" si="153"/>
        <v>"id":"s959",</v>
      </c>
      <c r="M977" t="str">
        <v>"cate":"Capacitor",</v>
      </c>
      <c r="N977" t="str">
        <v>"des":"Capacitor 4,7UF K16V1206",</v>
      </c>
      <c r="O977" t="str">
        <v>"mfg":"MURATA MANUFACTURING",</v>
      </c>
      <c r="P977" t="str">
        <v>"pn":"GCM31CR71C475KA37L",</v>
      </c>
      <c r="Q977" t="str">
        <v>"qty":2786</v>
      </c>
      <c r="S977" t="s">
        <v>2498</v>
      </c>
      <c r="T977" t="str">
        <f t="shared" si="154"/>
        <v>"id":"s959","cate":"Capacitor","des":"Capacitor 4,7UF K16V1206","mfg":"MURATA MANUFACTURING","pn":"GCM31CR71C475KA37L","qty":2786</v>
      </c>
      <c r="U977" t="s">
        <v>2503</v>
      </c>
    </row>
    <row r="978" spans="5:21" x14ac:dyDescent="0.25">
      <c r="E978" t="s">
        <v>2382</v>
      </c>
      <c r="F978" t="s">
        <v>2389</v>
      </c>
      <c r="G978" t="s">
        <v>61</v>
      </c>
      <c r="H978" t="s">
        <v>1353</v>
      </c>
      <c r="I978">
        <v>2683</v>
      </c>
      <c r="K978" t="s">
        <v>3463</v>
      </c>
      <c r="L978" t="str">
        <f t="shared" si="153"/>
        <v>"id":"s960",</v>
      </c>
      <c r="M978" t="str">
        <v>"cate":"Capacitor",</v>
      </c>
      <c r="N978" t="str">
        <v>"des":"Capacitor 4,7UF K16V1206",</v>
      </c>
      <c r="O978" t="str">
        <v>"mfg":"WALSIN",</v>
      </c>
      <c r="P978" t="str">
        <v>"pn":"1206B475K160LT",</v>
      </c>
      <c r="Q978" t="str">
        <v>"qty":2786</v>
      </c>
      <c r="S978" t="s">
        <v>2498</v>
      </c>
      <c r="T978" t="str">
        <f t="shared" si="154"/>
        <v>"id":"s960","cate":"Capacitor","des":"Capacitor 4,7UF K16V1206","mfg":"WALSIN","pn":"1206B475K160LT","qty":2786</v>
      </c>
      <c r="U978" t="s">
        <v>2503</v>
      </c>
    </row>
    <row r="979" spans="5:21" x14ac:dyDescent="0.25">
      <c r="E979" s="6" t="s">
        <v>2495</v>
      </c>
      <c r="F979" t="s">
        <v>1354</v>
      </c>
      <c r="G979" t="s">
        <v>160</v>
      </c>
      <c r="H979" t="s">
        <v>1355</v>
      </c>
      <c r="I979">
        <v>2678</v>
      </c>
      <c r="K979" t="s">
        <v>3464</v>
      </c>
      <c r="L979" t="str">
        <f t="shared" si="153"/>
        <v>"id":"s961",</v>
      </c>
      <c r="M979" t="str">
        <v>"cate":"Capacitor",</v>
      </c>
      <c r="N979" t="str">
        <v>"des":"Capacitor 4,7UF K16V1206",</v>
      </c>
      <c r="O979" t="str">
        <v>"mfg":"WALSIN1",</v>
      </c>
      <c r="P979" t="str">
        <v>"pn":"1206B475K160CT",</v>
      </c>
      <c r="Q979" t="str">
        <v>"qty":2786</v>
      </c>
      <c r="S979" t="s">
        <v>2498</v>
      </c>
      <c r="T979" t="str">
        <f t="shared" si="154"/>
        <v>"id":"s961","cate":"Capacitor","des":"Capacitor 4,7UF K16V1206","mfg":"WALSIN1","pn":"1206B475K160CT","qty":2786</v>
      </c>
      <c r="U979" t="s">
        <v>2503</v>
      </c>
    </row>
    <row r="980" spans="5:21" x14ac:dyDescent="0.25">
      <c r="E980" t="s">
        <v>2194</v>
      </c>
      <c r="F980" t="s">
        <v>2301</v>
      </c>
      <c r="G980" t="s">
        <v>13</v>
      </c>
      <c r="H980" t="s">
        <v>1356</v>
      </c>
      <c r="I980">
        <v>2656</v>
      </c>
      <c r="K980" t="s">
        <v>3465</v>
      </c>
      <c r="L980" t="str">
        <f t="shared" ref="L980:L1043" si="155">_xlfn.CONCAT("""","id","""",":","""",K980,"""",",")</f>
        <v>"id":"s962",</v>
      </c>
      <c r="M980" t="str">
        <v>"cate":"Capacitor",</v>
      </c>
      <c r="N980" t="str">
        <v>"des":"Capacitor 10NF 250V TH",</v>
      </c>
      <c r="O980" t="str">
        <v>"mfg":"KEMET",</v>
      </c>
      <c r="P980" t="str">
        <v>"pn":"R413I2100CK00K",</v>
      </c>
      <c r="Q980" t="str">
        <v>"qty":2778</v>
      </c>
      <c r="S980" t="s">
        <v>2498</v>
      </c>
      <c r="T980" t="str">
        <f t="shared" ref="T980:T1043" si="156">_xlfn.CONCAT(L980:Q980)</f>
        <v>"id":"s962","cate":"Capacitor","des":"Capacitor 10NF 250V TH","mfg":"KEMET","pn":"R413I2100CK00K","qty":2778</v>
      </c>
      <c r="U980" t="s">
        <v>2503</v>
      </c>
    </row>
    <row r="981" spans="5:21" x14ac:dyDescent="0.25">
      <c r="E981" t="s">
        <v>2194</v>
      </c>
      <c r="F981" t="s">
        <v>2301</v>
      </c>
      <c r="G981" t="s">
        <v>47</v>
      </c>
      <c r="H981" t="s">
        <v>1357</v>
      </c>
      <c r="I981">
        <v>2656</v>
      </c>
      <c r="K981" t="s">
        <v>3466</v>
      </c>
      <c r="L981" t="str">
        <f t="shared" si="155"/>
        <v>"id":"s963",</v>
      </c>
      <c r="M981" t="str">
        <v>"cate":"Capacitor",</v>
      </c>
      <c r="N981" t="str">
        <v>"des":"Capacitor 10NF 250V TH",</v>
      </c>
      <c r="O981" t="str">
        <v>"mfg":"KEMET",</v>
      </c>
      <c r="P981" t="str">
        <v>"pn":"R413I2100DQ00K",</v>
      </c>
      <c r="Q981" t="str">
        <v>"qty":2778</v>
      </c>
      <c r="S981" t="s">
        <v>2498</v>
      </c>
      <c r="T981" t="str">
        <f t="shared" si="156"/>
        <v>"id":"s963","cate":"Capacitor","des":"Capacitor 10NF 250V TH","mfg":"KEMET","pn":"R413I2100DQ00K","qty":2778</v>
      </c>
      <c r="U981" t="s">
        <v>2503</v>
      </c>
    </row>
    <row r="982" spans="5:21" x14ac:dyDescent="0.25">
      <c r="E982" s="6" t="s">
        <v>2488</v>
      </c>
      <c r="F982" t="s">
        <v>1358</v>
      </c>
      <c r="G982" t="s">
        <v>37</v>
      </c>
      <c r="H982" t="s">
        <v>1359</v>
      </c>
      <c r="I982">
        <v>2654</v>
      </c>
      <c r="K982" t="s">
        <v>3467</v>
      </c>
      <c r="L982" t="str">
        <f t="shared" si="155"/>
        <v>"id":"s964",</v>
      </c>
      <c r="M982" t="str">
        <v>"cate":"Capacitor",</v>
      </c>
      <c r="N982" t="str">
        <v>"des":"Capacitor 10NF 250V TH",</v>
      </c>
      <c r="O982" t="str">
        <v>"mfg":"VISHAY",</v>
      </c>
      <c r="P982" t="str">
        <v>"pn":"BFC233661103",</v>
      </c>
      <c r="Q982" t="str">
        <v>"qty":2778</v>
      </c>
      <c r="S982" t="s">
        <v>2498</v>
      </c>
      <c r="T982" t="str">
        <f t="shared" si="156"/>
        <v>"id":"s964","cate":"Capacitor","des":"Capacitor 10NF 250V TH","mfg":"VISHAY","pn":"BFC233661103","qty":2778</v>
      </c>
      <c r="U982" t="s">
        <v>2503</v>
      </c>
    </row>
    <row r="983" spans="5:21" x14ac:dyDescent="0.25">
      <c r="E983" s="6" t="s">
        <v>2488</v>
      </c>
      <c r="F983" t="s">
        <v>1358</v>
      </c>
      <c r="G983" t="s">
        <v>23</v>
      </c>
      <c r="H983" t="s">
        <v>1360</v>
      </c>
      <c r="I983">
        <v>2654</v>
      </c>
      <c r="K983" t="s">
        <v>3468</v>
      </c>
      <c r="L983" t="str">
        <f t="shared" si="155"/>
        <v>"id":"s965",</v>
      </c>
      <c r="M983" t="str">
        <v>"cate":"MOSFET",</v>
      </c>
      <c r="N983" t="str">
        <v>"des":"MOS 600V 47A TH",</v>
      </c>
      <c r="O983" t="str">
        <v>"mfg":"VISHAY",</v>
      </c>
      <c r="P983" t="str">
        <v>"pn":"SIHG47N60EF-GE3",</v>
      </c>
      <c r="Q983" t="str">
        <v>"qty":2774</v>
      </c>
      <c r="S983" t="s">
        <v>2498</v>
      </c>
      <c r="T983" t="str">
        <f t="shared" si="156"/>
        <v>"id":"s965","cate":"MOSFET","des":"MOS 600V 47A TH","mfg":"VISHAY","pn":"SIHG47N60EF-GE3","qty":2774</v>
      </c>
      <c r="U983" t="s">
        <v>2503</v>
      </c>
    </row>
    <row r="984" spans="5:21" x14ac:dyDescent="0.25">
      <c r="E984" t="s">
        <v>2194</v>
      </c>
      <c r="F984" t="s">
        <v>2302</v>
      </c>
      <c r="G984" t="s">
        <v>49</v>
      </c>
      <c r="H984" t="s">
        <v>1361</v>
      </c>
      <c r="I984">
        <v>2652</v>
      </c>
      <c r="K984" t="s">
        <v>3469</v>
      </c>
      <c r="L984" t="str">
        <f t="shared" si="155"/>
        <v>"id":"s966",</v>
      </c>
      <c r="M984" t="str">
        <v>"cate":"IC",</v>
      </c>
      <c r="N984" t="str">
        <v>"des":"IC LM2664M6/NOPB",</v>
      </c>
      <c r="O984" t="str">
        <v>"mfg":"TEXAS INSTRUMENTS",</v>
      </c>
      <c r="P984" t="str">
        <v>"pn":"LM2664M6X/NOPB",</v>
      </c>
      <c r="Q984" t="str">
        <v>"qty":2763</v>
      </c>
      <c r="S984" t="s">
        <v>2498</v>
      </c>
      <c r="T984" t="str">
        <f t="shared" si="156"/>
        <v>"id":"s966","cate":"IC","des":"IC LM2664M6/NOPB","mfg":"TEXAS INSTRUMENTS","pn":"LM2664M6X/NOPB","qty":2763</v>
      </c>
      <c r="U984" t="s">
        <v>2503</v>
      </c>
    </row>
    <row r="985" spans="5:21" x14ac:dyDescent="0.25">
      <c r="E985" t="s">
        <v>2194</v>
      </c>
      <c r="F985" t="s">
        <v>2303</v>
      </c>
      <c r="G985" t="s">
        <v>13</v>
      </c>
      <c r="H985" t="s">
        <v>1362</v>
      </c>
      <c r="I985">
        <v>2640</v>
      </c>
      <c r="K985" t="s">
        <v>3470</v>
      </c>
      <c r="L985" t="str">
        <f t="shared" si="155"/>
        <v>"id":"s967",</v>
      </c>
      <c r="M985" t="str">
        <v>"cate":"Capacitor",</v>
      </c>
      <c r="N985" t="str">
        <v>"des":"Capacitor 10UF 16V 1206",</v>
      </c>
      <c r="O985" t="str">
        <v>"mfg":"KEMET",</v>
      </c>
      <c r="P985" t="str">
        <v>"pn":"C1206C106K4PAC",</v>
      </c>
      <c r="Q985" t="str">
        <v>"qty":2722</v>
      </c>
      <c r="S985" t="s">
        <v>2498</v>
      </c>
      <c r="T985" t="str">
        <f t="shared" si="156"/>
        <v>"id":"s967","cate":"Capacitor","des":"Capacitor 10UF 16V 1206","mfg":"KEMET","pn":"C1206C106K4PAC","qty":2722</v>
      </c>
      <c r="U985" t="s">
        <v>2503</v>
      </c>
    </row>
    <row r="986" spans="5:21" x14ac:dyDescent="0.25">
      <c r="E986" t="s">
        <v>2194</v>
      </c>
      <c r="F986" t="s">
        <v>2303</v>
      </c>
      <c r="G986" t="s">
        <v>1363</v>
      </c>
      <c r="H986" t="s">
        <v>1364</v>
      </c>
      <c r="I986">
        <v>2640</v>
      </c>
      <c r="K986" t="s">
        <v>3471</v>
      </c>
      <c r="L986" t="str">
        <f t="shared" si="155"/>
        <v>"id":"s968",</v>
      </c>
      <c r="M986" t="str">
        <v>"cate":"Capacitor",</v>
      </c>
      <c r="N986" t="str">
        <v>"des":"Capacitor 10UF 16V 1206",</v>
      </c>
      <c r="O986" t="str">
        <v>"mfg":"MURATA MANUFACTURING",</v>
      </c>
      <c r="P986" t="str">
        <v>"pn":"GRM31CR71C106KAC7",</v>
      </c>
      <c r="Q986" t="str">
        <v>"qty":2722</v>
      </c>
      <c r="S986" t="s">
        <v>2498</v>
      </c>
      <c r="T986" t="str">
        <f t="shared" si="156"/>
        <v>"id":"s968","cate":"Capacitor","des":"Capacitor 10UF 16V 1206","mfg":"MURATA MANUFACTURING","pn":"GRM31CR71C106KAC7","qty":2722</v>
      </c>
      <c r="U986" t="s">
        <v>2503</v>
      </c>
    </row>
    <row r="987" spans="5:21" x14ac:dyDescent="0.25">
      <c r="E987" t="s">
        <v>2193</v>
      </c>
      <c r="F987" t="s">
        <v>1365</v>
      </c>
      <c r="G987" t="s">
        <v>13</v>
      </c>
      <c r="H987" t="s">
        <v>1366</v>
      </c>
      <c r="I987">
        <v>2629</v>
      </c>
      <c r="K987" t="s">
        <v>3472</v>
      </c>
      <c r="L987" t="str">
        <f t="shared" si="155"/>
        <v>"id":"s969",</v>
      </c>
      <c r="M987" t="str">
        <v>"cate":"Capacitor",</v>
      </c>
      <c r="N987" t="str">
        <v>"des":"Capacitor 10UF 16V 1206",</v>
      </c>
      <c r="O987" t="str">
        <v>"mfg":"TAIYO YUDEN",</v>
      </c>
      <c r="P987" t="str">
        <v>"pn":"EMK316BJ106KL-T",</v>
      </c>
      <c r="Q987" t="str">
        <v>"qty":2722</v>
      </c>
      <c r="S987" t="s">
        <v>2498</v>
      </c>
      <c r="T987" t="str">
        <f t="shared" si="156"/>
        <v>"id":"s969","cate":"Capacitor","des":"Capacitor 10UF 16V 1206","mfg":"TAIYO YUDEN","pn":"EMK316BJ106KL-T","qty":2722</v>
      </c>
      <c r="U987" t="s">
        <v>2503</v>
      </c>
    </row>
    <row r="988" spans="5:21" x14ac:dyDescent="0.25">
      <c r="E988" t="s">
        <v>2193</v>
      </c>
      <c r="F988" t="s">
        <v>1365</v>
      </c>
      <c r="G988" t="s">
        <v>13</v>
      </c>
      <c r="H988" t="s">
        <v>1367</v>
      </c>
      <c r="I988">
        <v>2629</v>
      </c>
      <c r="K988" t="s">
        <v>3473</v>
      </c>
      <c r="L988" t="str">
        <f t="shared" si="155"/>
        <v>"id":"s970",</v>
      </c>
      <c r="M988" t="str">
        <v>"cate":"Capacitor",</v>
      </c>
      <c r="N988" t="str">
        <v>"des":"Capacitor 10UF 16V 1206",</v>
      </c>
      <c r="O988" t="str">
        <v>"mfg":"KYOCERA",</v>
      </c>
      <c r="P988" t="str">
        <v>"pn":"CM316X5R106K16A",</v>
      </c>
      <c r="Q988" t="str">
        <v>"qty":2722</v>
      </c>
      <c r="S988" t="s">
        <v>2498</v>
      </c>
      <c r="T988" t="str">
        <f t="shared" si="156"/>
        <v>"id":"s970","cate":"Capacitor","des":"Capacitor 10UF 16V 1206","mfg":"KYOCERA","pn":"CM316X5R106K16A","qty":2722</v>
      </c>
      <c r="U988" t="s">
        <v>2503</v>
      </c>
    </row>
    <row r="989" spans="5:21" x14ac:dyDescent="0.25">
      <c r="E989" t="s">
        <v>2193</v>
      </c>
      <c r="F989" t="s">
        <v>1368</v>
      </c>
      <c r="G989" t="s">
        <v>37</v>
      </c>
      <c r="H989" t="s">
        <v>1369</v>
      </c>
      <c r="I989">
        <v>2614</v>
      </c>
      <c r="K989" t="s">
        <v>3474</v>
      </c>
      <c r="L989" t="str">
        <f t="shared" si="155"/>
        <v>"id":"s971",</v>
      </c>
      <c r="M989" t="str">
        <v>"cate":"Capacitor",</v>
      </c>
      <c r="N989" t="str">
        <v>"des":"Capacitor 0,1UF/25V 0402",</v>
      </c>
      <c r="O989" t="str">
        <v>"mfg":"YAGEO",</v>
      </c>
      <c r="P989" t="str">
        <v>"pn":"CC0402KRX7R8BB104",</v>
      </c>
      <c r="Q989" t="str">
        <v>"qty":2694</v>
      </c>
      <c r="S989" t="s">
        <v>2498</v>
      </c>
      <c r="T989" t="str">
        <f t="shared" si="156"/>
        <v>"id":"s971","cate":"Capacitor","des":"Capacitor 0,1UF/25V 0402","mfg":"YAGEO","pn":"CC0402KRX7R8BB104","qty":2694</v>
      </c>
      <c r="U989" t="s">
        <v>2503</v>
      </c>
    </row>
    <row r="990" spans="5:21" x14ac:dyDescent="0.25">
      <c r="E990" t="s">
        <v>2193</v>
      </c>
      <c r="F990" t="s">
        <v>1368</v>
      </c>
      <c r="G990" t="s">
        <v>510</v>
      </c>
      <c r="H990" t="s">
        <v>1370</v>
      </c>
      <c r="I990">
        <v>2614</v>
      </c>
      <c r="K990" t="s">
        <v>3475</v>
      </c>
      <c r="L990" t="str">
        <f t="shared" si="155"/>
        <v>"id":"s972",</v>
      </c>
      <c r="M990" t="str">
        <v>"cate":"Capacitor",</v>
      </c>
      <c r="N990" t="str">
        <v>"des":"Capacitor 0,1UF/25V 0402",</v>
      </c>
      <c r="O990" t="str">
        <v>"mfg":"AVX",</v>
      </c>
      <c r="P990" t="str">
        <v>"pn":"04023C104KAT2A",</v>
      </c>
      <c r="Q990" t="str">
        <v>"qty":2694</v>
      </c>
      <c r="S990" t="s">
        <v>2498</v>
      </c>
      <c r="T990" t="str">
        <f t="shared" si="156"/>
        <v>"id":"s972","cate":"Capacitor","des":"Capacitor 0,1UF/25V 0402","mfg":"AVX","pn":"04023C104KAT2A","qty":2694</v>
      </c>
      <c r="U990" t="s">
        <v>2503</v>
      </c>
    </row>
    <row r="991" spans="5:21" x14ac:dyDescent="0.25">
      <c r="E991" t="s">
        <v>2193</v>
      </c>
      <c r="F991" t="s">
        <v>1368</v>
      </c>
      <c r="G991" t="s">
        <v>89</v>
      </c>
      <c r="H991" t="s">
        <v>1371</v>
      </c>
      <c r="I991">
        <v>2614</v>
      </c>
      <c r="K991" t="s">
        <v>3476</v>
      </c>
      <c r="L991" t="str">
        <f t="shared" si="155"/>
        <v>"id":"s973",</v>
      </c>
      <c r="M991" t="str">
        <v>"cate":"IC",</v>
      </c>
      <c r="N991" t="str">
        <v>"des":"ICTMPS2141STR",</v>
      </c>
      <c r="O991" t="str">
        <v>"mfg":"STMICROELECTRONICS",</v>
      </c>
      <c r="P991" t="str">
        <v>"pn":"STMPS2141STR",</v>
      </c>
      <c r="Q991" t="str">
        <v>"qty":2683</v>
      </c>
      <c r="S991" t="s">
        <v>2498</v>
      </c>
      <c r="T991" t="str">
        <f t="shared" si="156"/>
        <v>"id":"s973","cate":"IC","des":"ICTMPS2141STR","mfg":"STMICROELECTRONICS","pn":"STMPS2141STR","qty":2683</v>
      </c>
      <c r="U991" t="s">
        <v>2503</v>
      </c>
    </row>
    <row r="992" spans="5:21" x14ac:dyDescent="0.25">
      <c r="E992" t="s">
        <v>2382</v>
      </c>
      <c r="F992" t="s">
        <v>2390</v>
      </c>
      <c r="G992" t="s">
        <v>149</v>
      </c>
      <c r="H992" t="s">
        <v>1372</v>
      </c>
      <c r="I992">
        <v>2576</v>
      </c>
      <c r="K992" t="s">
        <v>3477</v>
      </c>
      <c r="L992" t="str">
        <f t="shared" si="155"/>
        <v>"id":"s974",</v>
      </c>
      <c r="M992" t="str">
        <v>"cate":"Terminal",</v>
      </c>
      <c r="N992" t="str">
        <v>"des":"CNT 39000061",</v>
      </c>
      <c r="O992" t="str">
        <v>"mfg":"MOLEX",</v>
      </c>
      <c r="P992" t="str">
        <v>"pn":"39000061",</v>
      </c>
      <c r="Q992" t="str">
        <v>"qty":2678</v>
      </c>
      <c r="S992" t="s">
        <v>2498</v>
      </c>
      <c r="T992" t="str">
        <f t="shared" si="156"/>
        <v>"id":"s974","cate":"Terminal","des":"CNT 39000061","mfg":"MOLEX","pn":"39000061","qty":2678</v>
      </c>
      <c r="U992" t="s">
        <v>2503</v>
      </c>
    </row>
    <row r="993" spans="5:21" x14ac:dyDescent="0.25">
      <c r="E993" t="s">
        <v>2382</v>
      </c>
      <c r="F993" t="s">
        <v>2390</v>
      </c>
      <c r="G993" t="s">
        <v>26</v>
      </c>
      <c r="H993" t="s">
        <v>1373</v>
      </c>
      <c r="I993">
        <v>2576</v>
      </c>
      <c r="K993" t="s">
        <v>3478</v>
      </c>
      <c r="L993" t="str">
        <f t="shared" si="155"/>
        <v>"id":"s975",</v>
      </c>
      <c r="M993" t="str">
        <v>"cate":"Capacitor",</v>
      </c>
      <c r="N993" t="str">
        <v>"des":"Capacitor 22PF/50V5% 402",</v>
      </c>
      <c r="O993" t="str">
        <v>"mfg":"YAGEO",</v>
      </c>
      <c r="P993" t="str">
        <v>"pn":"CC0402JRNPO9BN220",</v>
      </c>
      <c r="Q993" t="str">
        <v>"qty":2656</v>
      </c>
      <c r="S993" t="s">
        <v>2498</v>
      </c>
      <c r="T993" t="str">
        <f t="shared" si="156"/>
        <v>"id":"s975","cate":"Capacitor","des":"Capacitor 22PF/50V5% 402","mfg":"YAGEO","pn":"CC0402JRNPO9BN220","qty":2656</v>
      </c>
      <c r="U993" t="s">
        <v>2503</v>
      </c>
    </row>
    <row r="994" spans="5:21" x14ac:dyDescent="0.25">
      <c r="E994" t="s">
        <v>2382</v>
      </c>
      <c r="F994" t="s">
        <v>2390</v>
      </c>
      <c r="G994" t="s">
        <v>61</v>
      </c>
      <c r="H994" t="s">
        <v>1373</v>
      </c>
      <c r="I994">
        <v>2576</v>
      </c>
      <c r="K994" t="s">
        <v>3479</v>
      </c>
      <c r="L994" t="str">
        <f t="shared" si="155"/>
        <v>"id":"s976",</v>
      </c>
      <c r="M994" t="str">
        <v>"cate":"Capacitor",</v>
      </c>
      <c r="N994" t="str">
        <v>"des":"Capacitor 22PF/50V5% 402",</v>
      </c>
      <c r="O994" t="str">
        <v>"mfg":"KEMET",</v>
      </c>
      <c r="P994" t="str">
        <v>"pn":"C0402C220J5GACTU",</v>
      </c>
      <c r="Q994" t="str">
        <v>"qty":2656</v>
      </c>
      <c r="S994" t="s">
        <v>2498</v>
      </c>
      <c r="T994" t="str">
        <f t="shared" si="156"/>
        <v>"id":"s976","cate":"Capacitor","des":"Capacitor 22PF/50V5% 402","mfg":"KEMET","pn":"C0402C220J5GACTU","qty":2656</v>
      </c>
      <c r="U994" t="s">
        <v>2503</v>
      </c>
    </row>
    <row r="995" spans="5:21" x14ac:dyDescent="0.25">
      <c r="E995" t="s">
        <v>2382</v>
      </c>
      <c r="F995" t="s">
        <v>2390</v>
      </c>
      <c r="G995" t="s">
        <v>153</v>
      </c>
      <c r="H995" t="s">
        <v>1372</v>
      </c>
      <c r="I995">
        <v>2576</v>
      </c>
      <c r="K995" t="s">
        <v>3480</v>
      </c>
      <c r="L995" t="str">
        <f t="shared" si="155"/>
        <v>"id":"s977",</v>
      </c>
      <c r="M995" t="str">
        <v>"cate":"Transistor",</v>
      </c>
      <c r="N995" t="str">
        <v>"des":"TRAN TCLT1012",</v>
      </c>
      <c r="O995" t="str">
        <v>"mfg":"VISHAY",</v>
      </c>
      <c r="P995" t="str">
        <v>"pn":"TCLT1012",</v>
      </c>
      <c r="Q995" t="str">
        <v>"qty":2654</v>
      </c>
      <c r="S995" t="s">
        <v>2498</v>
      </c>
      <c r="T995" t="str">
        <f t="shared" si="156"/>
        <v>"id":"s977","cate":"Transistor","des":"TRAN TCLT1012","mfg":"VISHAY","pn":"TCLT1012","qty":2654</v>
      </c>
      <c r="U995" t="s">
        <v>2503</v>
      </c>
    </row>
    <row r="996" spans="5:21" x14ac:dyDescent="0.25">
      <c r="E996" t="s">
        <v>2194</v>
      </c>
      <c r="F996" t="s">
        <v>2304</v>
      </c>
      <c r="G996" t="s">
        <v>13</v>
      </c>
      <c r="H996" t="s">
        <v>1240</v>
      </c>
      <c r="I996">
        <v>2575</v>
      </c>
      <c r="K996" t="s">
        <v>3481</v>
      </c>
      <c r="L996" t="str">
        <f t="shared" si="155"/>
        <v>"id":"s978",</v>
      </c>
      <c r="M996" t="str">
        <v>"cate":"Transistor",</v>
      </c>
      <c r="N996" t="str">
        <v>"des":"TRAN TCLT1012",</v>
      </c>
      <c r="O996" t="str">
        <v>"mfg":"BROADCOM",</v>
      </c>
      <c r="P996" t="str">
        <v>"pn":"HCPL-817-30AE",</v>
      </c>
      <c r="Q996" t="str">
        <v>"qty":2654</v>
      </c>
      <c r="S996" t="s">
        <v>2498</v>
      </c>
      <c r="T996" t="str">
        <f t="shared" si="156"/>
        <v>"id":"s978","cate":"Transistor","des":"TRAN TCLT1012","mfg":"BROADCOM","pn":"HCPL-817-30AE","qty":2654</v>
      </c>
      <c r="U996" t="s">
        <v>2503</v>
      </c>
    </row>
    <row r="997" spans="5:21" x14ac:dyDescent="0.25">
      <c r="E997" t="s">
        <v>2194</v>
      </c>
      <c r="F997" t="s">
        <v>2304</v>
      </c>
      <c r="G997" t="s">
        <v>47</v>
      </c>
      <c r="H997" t="s">
        <v>1241</v>
      </c>
      <c r="I997">
        <v>2575</v>
      </c>
      <c r="K997" t="s">
        <v>3482</v>
      </c>
      <c r="L997" t="str">
        <f t="shared" si="155"/>
        <v>"id":"s979",</v>
      </c>
      <c r="M997" t="str">
        <v>"cate":"Capacitor",</v>
      </c>
      <c r="N997" t="str">
        <v>"des":"Capacitor 2,7PF/25V 0402",</v>
      </c>
      <c r="O997" t="str">
        <v>"mfg":"AVX",</v>
      </c>
      <c r="P997" t="str">
        <v>"pn":"04023J2R7ABSTR",</v>
      </c>
      <c r="Q997" t="str">
        <v>"qty":2652</v>
      </c>
      <c r="S997" t="s">
        <v>2498</v>
      </c>
      <c r="T997" t="str">
        <f t="shared" si="156"/>
        <v>"id":"s979","cate":"Capacitor","des":"Capacitor 2,7PF/25V 0402","mfg":"AVX","pn":"04023J2R7ABSTR","qty":2652</v>
      </c>
      <c r="U997" t="s">
        <v>2503</v>
      </c>
    </row>
    <row r="998" spans="5:21" x14ac:dyDescent="0.25">
      <c r="E998" t="s">
        <v>2194</v>
      </c>
      <c r="F998" t="s">
        <v>2304</v>
      </c>
      <c r="G998" t="s">
        <v>49</v>
      </c>
      <c r="H998" t="s">
        <v>1374</v>
      </c>
      <c r="I998">
        <v>2575</v>
      </c>
      <c r="K998" t="s">
        <v>3483</v>
      </c>
      <c r="L998" t="str">
        <f t="shared" si="155"/>
        <v>"id":"s980",</v>
      </c>
      <c r="M998" t="str">
        <v>"cate":"Capacitor",</v>
      </c>
      <c r="N998" t="str">
        <v>"des":"Capacitor 1NF/500V 1206",</v>
      </c>
      <c r="O998" t="str">
        <v>"mfg":"YAGEO",</v>
      </c>
      <c r="P998" t="str">
        <v>"pn":"CC1206KKX7RBBB102",</v>
      </c>
      <c r="Q998" t="str">
        <v>"qty":2640</v>
      </c>
      <c r="S998" t="s">
        <v>2498</v>
      </c>
      <c r="T998" t="str">
        <f t="shared" si="156"/>
        <v>"id":"s980","cate":"Capacitor","des":"Capacitor 1NF/500V 1206","mfg":"YAGEO","pn":"CC1206KKX7RBBB102","qty":2640</v>
      </c>
      <c r="U998" t="s">
        <v>2503</v>
      </c>
    </row>
    <row r="999" spans="5:21" x14ac:dyDescent="0.25">
      <c r="E999" t="s">
        <v>2194</v>
      </c>
      <c r="F999" t="s">
        <v>2304</v>
      </c>
      <c r="G999" t="s">
        <v>10</v>
      </c>
      <c r="H999" t="s">
        <v>1244</v>
      </c>
      <c r="I999">
        <v>2575</v>
      </c>
      <c r="K999" t="s">
        <v>3484</v>
      </c>
      <c r="L999" t="str">
        <f t="shared" si="155"/>
        <v>"id":"s981",</v>
      </c>
      <c r="M999" t="str">
        <v>"cate":"Capacitor",</v>
      </c>
      <c r="N999" t="str">
        <v>"des":"Capacitor 1NF/500V 1206",</v>
      </c>
      <c r="O999" t="str">
        <v>"mfg":"PHILIPS",</v>
      </c>
      <c r="P999" t="str">
        <v>"pn":"X7R 12062R102KDBB",</v>
      </c>
      <c r="Q999" t="str">
        <v>"qty":2640</v>
      </c>
      <c r="S999" t="s">
        <v>2498</v>
      </c>
      <c r="T999" t="str">
        <f t="shared" si="156"/>
        <v>"id":"s981","cate":"Capacitor","des":"Capacitor 1NF/500V 1206","mfg":"PHILIPS","pn":"X7R 12062R102KDBB","qty":2640</v>
      </c>
      <c r="U999" t="s">
        <v>2503</v>
      </c>
    </row>
    <row r="1000" spans="5:21" x14ac:dyDescent="0.25">
      <c r="E1000" t="s">
        <v>2194</v>
      </c>
      <c r="F1000" t="s">
        <v>2305</v>
      </c>
      <c r="G1000" t="s">
        <v>37</v>
      </c>
      <c r="H1000" t="s">
        <v>1375</v>
      </c>
      <c r="I1000">
        <v>2571</v>
      </c>
      <c r="K1000" t="s">
        <v>3485</v>
      </c>
      <c r="L1000" t="str">
        <f t="shared" si="155"/>
        <v>"id":"s982",</v>
      </c>
      <c r="M1000" t="str">
        <v>"cate":"Resistor ",</v>
      </c>
      <c r="N1000" t="str">
        <v>"des":"RST 15K 1/4W1%1206A",</v>
      </c>
      <c r="O1000" t="str">
        <v>"mfg":"YAGEO",</v>
      </c>
      <c r="P1000" t="str">
        <v>"pn":"RC1206FR-(**)15KL",</v>
      </c>
      <c r="Q1000" t="str">
        <v>"qty":2629</v>
      </c>
      <c r="S1000" t="s">
        <v>2498</v>
      </c>
      <c r="T1000" t="str">
        <f t="shared" si="156"/>
        <v>"id":"s982","cate":"Resistor ","des":"RST 15K 1/4W1%1206A","mfg":"YAGEO","pn":"RC1206FR-(**)15KL","qty":2629</v>
      </c>
      <c r="U1000" t="s">
        <v>2503</v>
      </c>
    </row>
    <row r="1001" spans="5:21" x14ac:dyDescent="0.25">
      <c r="E1001" t="s">
        <v>2194</v>
      </c>
      <c r="F1001" t="s">
        <v>2305</v>
      </c>
      <c r="G1001" t="s">
        <v>37</v>
      </c>
      <c r="H1001" t="s">
        <v>1376</v>
      </c>
      <c r="I1001">
        <v>2571</v>
      </c>
      <c r="K1001" t="s">
        <v>3486</v>
      </c>
      <c r="L1001" t="str">
        <f t="shared" si="155"/>
        <v>"id":"s983",</v>
      </c>
      <c r="M1001" t="str">
        <v>"cate":"Resistor ",</v>
      </c>
      <c r="N1001" t="str">
        <v>"des":"RST 15K 1/4W1%1206A",</v>
      </c>
      <c r="O1001" t="str">
        <v>"mfg":"YAGEO",</v>
      </c>
      <c r="P1001" t="str">
        <v>"pn":"RC1206FR-0715KL",</v>
      </c>
      <c r="Q1001" t="str">
        <v>"qty":2629</v>
      </c>
      <c r="S1001" t="s">
        <v>2498</v>
      </c>
      <c r="T1001" t="str">
        <f t="shared" si="156"/>
        <v>"id":"s983","cate":"Resistor ","des":"RST 15K 1/4W1%1206A","mfg":"YAGEO","pn":"RC1206FR-0715KL","qty":2629</v>
      </c>
      <c r="U1001" t="s">
        <v>2503</v>
      </c>
    </row>
    <row r="1002" spans="5:21" x14ac:dyDescent="0.25">
      <c r="E1002" t="s">
        <v>2166</v>
      </c>
      <c r="F1002" t="s">
        <v>1377</v>
      </c>
      <c r="G1002" t="s">
        <v>1378</v>
      </c>
      <c r="H1002" t="s">
        <v>1377</v>
      </c>
      <c r="I1002">
        <v>2570</v>
      </c>
      <c r="K1002" t="s">
        <v>3487</v>
      </c>
      <c r="L1002" t="str">
        <f t="shared" si="155"/>
        <v>"id":"s984",</v>
      </c>
      <c r="M1002" t="str">
        <v>"cate":"Resistor ",</v>
      </c>
      <c r="N1002" t="str">
        <v>"des":"RST 0,001 6W 1%2512",</v>
      </c>
      <c r="O1002" t="str">
        <v>"mfg":"VISHAY",</v>
      </c>
      <c r="P1002" t="str">
        <v>"pn":"WSLF25121L000FEA",</v>
      </c>
      <c r="Q1002" t="str">
        <v>"qty":2614</v>
      </c>
      <c r="S1002" t="s">
        <v>2498</v>
      </c>
      <c r="T1002" t="str">
        <f t="shared" si="156"/>
        <v>"id":"s984","cate":"Resistor ","des":"RST 0,001 6W 1%2512","mfg":"VISHAY","pn":"WSLF25121L000FEA","qty":2614</v>
      </c>
      <c r="U1002" t="s">
        <v>2503</v>
      </c>
    </row>
    <row r="1003" spans="5:21" x14ac:dyDescent="0.25">
      <c r="E1003" t="s">
        <v>2405</v>
      </c>
      <c r="F1003" t="s">
        <v>2439</v>
      </c>
      <c r="G1003" t="s">
        <v>61</v>
      </c>
      <c r="H1003" t="s">
        <v>1379</v>
      </c>
      <c r="I1003">
        <v>2569</v>
      </c>
      <c r="K1003" t="s">
        <v>3488</v>
      </c>
      <c r="L1003" t="str">
        <f t="shared" si="155"/>
        <v>"id":"s985",</v>
      </c>
      <c r="M1003" t="str">
        <v>"cate":"Resistor ",</v>
      </c>
      <c r="N1003" t="str">
        <v>"des":"RST 0,001 6W 1%2512",</v>
      </c>
      <c r="O1003" t="str">
        <v>"mfg":"ROHM SEMICONDUCTOR",</v>
      </c>
      <c r="P1003" t="str">
        <v>"pn":"PSR100KTQFH1L00",</v>
      </c>
      <c r="Q1003" t="str">
        <v>"qty":2614</v>
      </c>
      <c r="S1003" t="s">
        <v>2498</v>
      </c>
      <c r="T1003" t="str">
        <f t="shared" si="156"/>
        <v>"id":"s985","cate":"Resistor ","des":"RST 0,001 6W 1%2512","mfg":"ROHM SEMICONDUCTOR","pn":"PSR100KTQFH1L00","qty":2614</v>
      </c>
      <c r="U1003" t="s">
        <v>2503</v>
      </c>
    </row>
    <row r="1004" spans="5:21" x14ac:dyDescent="0.25">
      <c r="E1004" t="s">
        <v>2193</v>
      </c>
      <c r="F1004" t="s">
        <v>1380</v>
      </c>
      <c r="G1004" t="s">
        <v>13</v>
      </c>
      <c r="H1004" t="s">
        <v>1381</v>
      </c>
      <c r="I1004">
        <v>2565</v>
      </c>
      <c r="K1004" t="s">
        <v>3489</v>
      </c>
      <c r="L1004" t="str">
        <f t="shared" si="155"/>
        <v>"id":"s986",</v>
      </c>
      <c r="M1004" t="str">
        <v>"cate":"Resistor ",</v>
      </c>
      <c r="N1004" t="str">
        <v>"des":"RST 0,001 6W 1%2512",</v>
      </c>
      <c r="O1004" t="str">
        <v>"mfg":"BOURNS",</v>
      </c>
      <c r="P1004" t="str">
        <v>"pn":"CSS2H-2512R-1L00F",</v>
      </c>
      <c r="Q1004" t="str">
        <v>"qty":2614</v>
      </c>
      <c r="S1004" t="s">
        <v>2498</v>
      </c>
      <c r="T1004" t="str">
        <f t="shared" si="156"/>
        <v>"id":"s986","cate":"Resistor ","des":"RST 0,001 6W 1%2512","mfg":"BOURNS","pn":"CSS2H-2512R-1L00F","qty":2614</v>
      </c>
      <c r="U1004" t="s">
        <v>2503</v>
      </c>
    </row>
    <row r="1005" spans="5:21" x14ac:dyDescent="0.25">
      <c r="E1005" t="s">
        <v>2193</v>
      </c>
      <c r="F1005" t="s">
        <v>1380</v>
      </c>
      <c r="G1005" t="s">
        <v>13</v>
      </c>
      <c r="H1005" t="s">
        <v>1382</v>
      </c>
      <c r="I1005">
        <v>2565</v>
      </c>
      <c r="K1005" t="s">
        <v>3490</v>
      </c>
      <c r="L1005" t="str">
        <f t="shared" si="155"/>
        <v>"id":"s987",</v>
      </c>
      <c r="M1005" t="str">
        <v>"cate":"IC",</v>
      </c>
      <c r="N1005" t="str">
        <v>"des":"ICMD ICM7555CBA",</v>
      </c>
      <c r="O1005" t="str">
        <v>"mfg":"TEXAS INSTRUMENTS",</v>
      </c>
      <c r="P1005" t="str">
        <v>"pn":"TLC555CDR",</v>
      </c>
      <c r="Q1005" t="str">
        <v>"qty":2576</v>
      </c>
      <c r="S1005" t="s">
        <v>2498</v>
      </c>
      <c r="T1005" t="str">
        <f t="shared" si="156"/>
        <v>"id":"s987","cate":"IC","des":"ICMD ICM7555CBA","mfg":"TEXAS INSTRUMENTS","pn":"TLC555CDR","qty":2576</v>
      </c>
      <c r="U1005" t="s">
        <v>2503</v>
      </c>
    </row>
    <row r="1006" spans="5:21" x14ac:dyDescent="0.25">
      <c r="E1006" t="s">
        <v>2193</v>
      </c>
      <c r="F1006" t="s">
        <v>1380</v>
      </c>
      <c r="G1006" t="s">
        <v>5</v>
      </c>
      <c r="H1006" t="s">
        <v>1383</v>
      </c>
      <c r="I1006">
        <v>2565</v>
      </c>
      <c r="K1006" t="s">
        <v>3491</v>
      </c>
      <c r="L1006" t="str">
        <f t="shared" si="155"/>
        <v>"id":"s988",</v>
      </c>
      <c r="M1006" t="str">
        <v>"cate":"IC",</v>
      </c>
      <c r="N1006" t="str">
        <v>"des":"ICMD ICM7555CBA",</v>
      </c>
      <c r="O1006" t="str">
        <v>"mfg":"NXP SEMICONDUCTORS",</v>
      </c>
      <c r="P1006" t="str">
        <v>"pn":"ICM7555CD",</v>
      </c>
      <c r="Q1006" t="str">
        <v>"qty":2576</v>
      </c>
      <c r="S1006" t="s">
        <v>2498</v>
      </c>
      <c r="T1006" t="str">
        <f t="shared" si="156"/>
        <v>"id":"s988","cate":"IC","des":"ICMD ICM7555CBA","mfg":"NXP SEMICONDUCTORS","pn":"ICM7555CD","qty":2576</v>
      </c>
      <c r="U1006" t="s">
        <v>2503</v>
      </c>
    </row>
    <row r="1007" spans="5:21" x14ac:dyDescent="0.25">
      <c r="E1007" t="s">
        <v>2193</v>
      </c>
      <c r="F1007" t="s">
        <v>1380</v>
      </c>
      <c r="G1007" t="s">
        <v>10</v>
      </c>
      <c r="H1007" t="s">
        <v>1384</v>
      </c>
      <c r="I1007">
        <v>2565</v>
      </c>
      <c r="K1007" t="s">
        <v>3492</v>
      </c>
      <c r="L1007" t="str">
        <f t="shared" si="155"/>
        <v>"id":"s989",</v>
      </c>
      <c r="M1007" t="str">
        <v>"cate":"IC",</v>
      </c>
      <c r="N1007" t="str">
        <v>"des":"ICMD ICM7555CBA",</v>
      </c>
      <c r="O1007" t="str">
        <v>"mfg":"STMICROELECTRONICS",</v>
      </c>
      <c r="P1007" t="str">
        <v>"pn":"ICM7555CD",</v>
      </c>
      <c r="Q1007" t="str">
        <v>"qty":2576</v>
      </c>
      <c r="S1007" t="s">
        <v>2498</v>
      </c>
      <c r="T1007" t="str">
        <f t="shared" si="156"/>
        <v>"id":"s989","cate":"IC","des":"ICMD ICM7555CBA","mfg":"STMICROELECTRONICS","pn":"ICM7555CD","qty":2576</v>
      </c>
      <c r="U1007" t="s">
        <v>2503</v>
      </c>
    </row>
    <row r="1008" spans="5:21" x14ac:dyDescent="0.25">
      <c r="E1008" t="s">
        <v>2193</v>
      </c>
      <c r="F1008" t="s">
        <v>1385</v>
      </c>
      <c r="G1008" t="s">
        <v>176</v>
      </c>
      <c r="H1008" t="s">
        <v>1386</v>
      </c>
      <c r="I1008">
        <v>2563</v>
      </c>
      <c r="K1008" t="s">
        <v>3493</v>
      </c>
      <c r="L1008" t="str">
        <f t="shared" si="155"/>
        <v>"id":"s990",</v>
      </c>
      <c r="M1008" t="str">
        <v>"cate":"IC",</v>
      </c>
      <c r="N1008" t="str">
        <v>"des":"ICMD ICM7555CBA",</v>
      </c>
      <c r="O1008" t="str">
        <v>"mfg":"TEXAS INSTRUMENTS (CANCEL",</v>
      </c>
      <c r="P1008" t="str">
        <v>"pn":"TLC555CDR",</v>
      </c>
      <c r="Q1008" t="str">
        <v>"qty":2576</v>
      </c>
      <c r="S1008" t="s">
        <v>2498</v>
      </c>
      <c r="T1008" t="str">
        <f t="shared" si="156"/>
        <v>"id":"s990","cate":"IC","des":"ICMD ICM7555CBA","mfg":"TEXAS INSTRUMENTS (CANCEL","pn":"TLC555CDR","qty":2576</v>
      </c>
      <c r="U1008" t="s">
        <v>2503</v>
      </c>
    </row>
    <row r="1009" spans="5:21" x14ac:dyDescent="0.25">
      <c r="E1009" t="s">
        <v>2193</v>
      </c>
      <c r="F1009" t="s">
        <v>1385</v>
      </c>
      <c r="G1009" t="s">
        <v>13</v>
      </c>
      <c r="H1009" t="s">
        <v>1387</v>
      </c>
      <c r="I1009">
        <v>2563</v>
      </c>
      <c r="K1009" t="s">
        <v>3494</v>
      </c>
      <c r="L1009" t="str">
        <f t="shared" si="155"/>
        <v>"id":"s991",</v>
      </c>
      <c r="M1009" t="str">
        <v>"cate":"Capacitor",</v>
      </c>
      <c r="N1009" t="str">
        <v>"des":"Capacitor 10PF/50V 0805",</v>
      </c>
      <c r="O1009" t="str">
        <v>"mfg":"YAGEO",</v>
      </c>
      <c r="P1009" t="str">
        <v>"pn":"CC0805JRNPO9BN100",</v>
      </c>
      <c r="Q1009" t="str">
        <v>"qty":2575</v>
      </c>
      <c r="S1009" t="s">
        <v>2498</v>
      </c>
      <c r="T1009" t="str">
        <f t="shared" si="156"/>
        <v>"id":"s991","cate":"Capacitor","des":"Capacitor 10PF/50V 0805","mfg":"YAGEO","pn":"CC0805JRNPO9BN100","qty":2575</v>
      </c>
      <c r="U1009" t="s">
        <v>2503</v>
      </c>
    </row>
    <row r="1010" spans="5:21" x14ac:dyDescent="0.25">
      <c r="E1010" t="s">
        <v>2193</v>
      </c>
      <c r="F1010" t="s">
        <v>1385</v>
      </c>
      <c r="G1010" t="s">
        <v>37</v>
      </c>
      <c r="H1010" t="s">
        <v>1388</v>
      </c>
      <c r="I1010">
        <v>2563</v>
      </c>
      <c r="K1010" t="s">
        <v>3495</v>
      </c>
      <c r="L1010" t="str">
        <f t="shared" si="155"/>
        <v>"id":"s992",</v>
      </c>
      <c r="M1010" t="str">
        <v>"cate":"Capacitor",</v>
      </c>
      <c r="N1010" t="str">
        <v>"des":"Capacitor 10PF/50V 0805",</v>
      </c>
      <c r="O1010" t="str">
        <v>"mfg":"KEMET",</v>
      </c>
      <c r="P1010" t="str">
        <v>"pn":"C0805C100J5GACTU",</v>
      </c>
      <c r="Q1010" t="str">
        <v>"qty":2575</v>
      </c>
      <c r="S1010" t="s">
        <v>2498</v>
      </c>
      <c r="T1010" t="str">
        <f t="shared" si="156"/>
        <v>"id":"s992","cate":"Capacitor","des":"Capacitor 10PF/50V 0805","mfg":"KEMET","pn":"C0805C100J5GACTU","qty":2575</v>
      </c>
      <c r="U1010" t="s">
        <v>2503</v>
      </c>
    </row>
    <row r="1011" spans="5:21" x14ac:dyDescent="0.25">
      <c r="E1011" t="s">
        <v>2193</v>
      </c>
      <c r="F1011" t="s">
        <v>1385</v>
      </c>
      <c r="G1011" t="s">
        <v>89</v>
      </c>
      <c r="H1011" t="s">
        <v>1389</v>
      </c>
      <c r="I1011">
        <v>2563</v>
      </c>
      <c r="K1011" t="s">
        <v>3496</v>
      </c>
      <c r="L1011" t="str">
        <f t="shared" si="155"/>
        <v>"id":"s993",</v>
      </c>
      <c r="M1011" t="str">
        <v>"cate":"Capacitor",</v>
      </c>
      <c r="N1011" t="str">
        <v>"des":"Capacitor 10PF/50V 0805",</v>
      </c>
      <c r="O1011" t="str">
        <v>"mfg":"AVX",</v>
      </c>
      <c r="P1011" t="str">
        <v>"pn":"08055A100KAT2A",</v>
      </c>
      <c r="Q1011" t="str">
        <v>"qty":2575</v>
      </c>
      <c r="S1011" t="s">
        <v>2498</v>
      </c>
      <c r="T1011" t="str">
        <f t="shared" si="156"/>
        <v>"id":"s993","cate":"Capacitor","des":"Capacitor 10PF/50V 0805","mfg":"AVX","pn":"08055A100KAT2A","qty":2575</v>
      </c>
      <c r="U1011" t="s">
        <v>2503</v>
      </c>
    </row>
    <row r="1012" spans="5:21" x14ac:dyDescent="0.25">
      <c r="E1012" t="s">
        <v>2193</v>
      </c>
      <c r="F1012" t="s">
        <v>1390</v>
      </c>
      <c r="G1012" t="s">
        <v>320</v>
      </c>
      <c r="H1012" t="s">
        <v>1391</v>
      </c>
      <c r="I1012">
        <v>2557</v>
      </c>
      <c r="K1012" t="s">
        <v>3497</v>
      </c>
      <c r="L1012" t="str">
        <f t="shared" si="155"/>
        <v>"id":"s994",</v>
      </c>
      <c r="M1012" t="str">
        <v>"cate":"Capacitor",</v>
      </c>
      <c r="N1012" t="str">
        <v>"des":"Capacitor 10PF/50V 0805",</v>
      </c>
      <c r="O1012" t="str">
        <v>"mfg":"WALSIN",</v>
      </c>
      <c r="P1012" t="str">
        <v>"pn":"0805N100J500CT",</v>
      </c>
      <c r="Q1012" t="str">
        <v>"qty":2575</v>
      </c>
      <c r="S1012" t="s">
        <v>2498</v>
      </c>
      <c r="T1012" t="str">
        <f t="shared" si="156"/>
        <v>"id":"s994","cate":"Capacitor","des":"Capacitor 10PF/50V 0805","mfg":"WALSIN","pn":"0805N100J500CT","qty":2575</v>
      </c>
      <c r="U1012" t="s">
        <v>2503</v>
      </c>
    </row>
    <row r="1013" spans="5:21" x14ac:dyDescent="0.25">
      <c r="E1013" t="s">
        <v>2193</v>
      </c>
      <c r="F1013" t="s">
        <v>1390</v>
      </c>
      <c r="G1013" t="s">
        <v>10</v>
      </c>
      <c r="H1013" t="s">
        <v>1392</v>
      </c>
      <c r="I1013">
        <v>2557</v>
      </c>
      <c r="K1013" t="s">
        <v>3498</v>
      </c>
      <c r="L1013" t="str">
        <f t="shared" si="155"/>
        <v>"id":"s995",</v>
      </c>
      <c r="M1013" t="str">
        <v>"cate":"Capacitor",</v>
      </c>
      <c r="N1013" t="str">
        <v>"des":"Capacitor 10NF 1000V1812",</v>
      </c>
      <c r="O1013" t="str">
        <v>"mfg":"VISHAY",</v>
      </c>
      <c r="P1013" t="str">
        <v>"pn":"VJ1812Y103KXGAT4X",</v>
      </c>
      <c r="Q1013" t="str">
        <v>"qty":2571</v>
      </c>
      <c r="S1013" t="s">
        <v>2498</v>
      </c>
      <c r="T1013" t="str">
        <f t="shared" si="156"/>
        <v>"id":"s995","cate":"Capacitor","des":"Capacitor 10NF 1000V1812","mfg":"VISHAY","pn":"VJ1812Y103KXGAT4X","qty":2571</v>
      </c>
      <c r="U1013" t="s">
        <v>2503</v>
      </c>
    </row>
    <row r="1014" spans="5:21" x14ac:dyDescent="0.25">
      <c r="E1014" t="s">
        <v>2194</v>
      </c>
      <c r="F1014" t="s">
        <v>2306</v>
      </c>
      <c r="G1014" t="s">
        <v>1393</v>
      </c>
      <c r="H1014" t="s">
        <v>1394</v>
      </c>
      <c r="I1014">
        <v>2553</v>
      </c>
      <c r="K1014" t="s">
        <v>3499</v>
      </c>
      <c r="L1014" t="str">
        <f t="shared" si="155"/>
        <v>"id":"s996",</v>
      </c>
      <c r="M1014" t="str">
        <v>"cate":"Capacitor",</v>
      </c>
      <c r="N1014" t="str">
        <v>"des":"Capacitor 10NF 1000V1812",</v>
      </c>
      <c r="O1014" t="str">
        <v>"mfg":"VISHAY",</v>
      </c>
      <c r="P1014" t="str">
        <v>"pn":"VJ1812Y103KXRAT4X",</v>
      </c>
      <c r="Q1014" t="str">
        <v>"qty":2571</v>
      </c>
      <c r="S1014" t="s">
        <v>2498</v>
      </c>
      <c r="T1014" t="str">
        <f t="shared" si="156"/>
        <v>"id":"s996","cate":"Capacitor","des":"Capacitor 10NF 1000V1812","mfg":"VISHAY","pn":"VJ1812Y103KXRAT4X","qty":2571</v>
      </c>
      <c r="U1014" t="s">
        <v>2503</v>
      </c>
    </row>
    <row r="1015" spans="5:21" x14ac:dyDescent="0.25">
      <c r="E1015" t="s">
        <v>2193</v>
      </c>
      <c r="F1015" t="s">
        <v>1395</v>
      </c>
      <c r="G1015" t="s">
        <v>37</v>
      </c>
      <c r="H1015" t="s">
        <v>1396</v>
      </c>
      <c r="I1015">
        <v>2542</v>
      </c>
      <c r="K1015" t="s">
        <v>3500</v>
      </c>
      <c r="L1015" t="str">
        <f t="shared" si="155"/>
        <v>"id":"s997",</v>
      </c>
      <c r="M1015" t="str">
        <v>"cate":"SPAC",</v>
      </c>
      <c r="N1015" t="str">
        <v>"des":"SPACER 09 MM",</v>
      </c>
      <c r="O1015" t="str">
        <v>"mfg":"INTER KAPPA CORPORATION",</v>
      </c>
      <c r="P1015" t="str">
        <v>"pn":"SPACER 09 MM",</v>
      </c>
      <c r="Q1015" t="str">
        <v>"qty":2570</v>
      </c>
      <c r="S1015" t="s">
        <v>2498</v>
      </c>
      <c r="T1015" t="str">
        <f t="shared" si="156"/>
        <v>"id":"s997","cate":"SPAC","des":"SPACER 09 MM","mfg":"INTER KAPPA CORPORATION","pn":"SPACER 09 MM","qty":2570</v>
      </c>
      <c r="U1015" t="s">
        <v>2503</v>
      </c>
    </row>
    <row r="1016" spans="5:21" x14ac:dyDescent="0.25">
      <c r="E1016" t="s">
        <v>2193</v>
      </c>
      <c r="F1016" t="s">
        <v>1395</v>
      </c>
      <c r="G1016" t="s">
        <v>37</v>
      </c>
      <c r="H1016" t="s">
        <v>1397</v>
      </c>
      <c r="I1016">
        <v>2542</v>
      </c>
      <c r="K1016" t="s">
        <v>3501</v>
      </c>
      <c r="L1016" t="str">
        <f t="shared" si="155"/>
        <v>"id":"s998",</v>
      </c>
      <c r="M1016" t="str">
        <v>"cate":"Diode",</v>
      </c>
      <c r="N1016" t="str">
        <v>"des":"DiodeE 40V 0,35A SOD",</v>
      </c>
      <c r="O1016" t="str">
        <v>"mfg":"STMICROELECTRONICS",</v>
      </c>
      <c r="P1016" t="str">
        <v>"pn":"BAT48ZFILM",</v>
      </c>
      <c r="Q1016" t="str">
        <v>"qty":2569</v>
      </c>
      <c r="S1016" t="s">
        <v>2498</v>
      </c>
      <c r="T1016" t="str">
        <f t="shared" si="156"/>
        <v>"id":"s998","cate":"Diode","des":"DiodeE 40V 0,35A SOD","mfg":"STMICROELECTRONICS","pn":"BAT48ZFILM","qty":2569</v>
      </c>
      <c r="U1016" t="s">
        <v>2503</v>
      </c>
    </row>
    <row r="1017" spans="5:21" x14ac:dyDescent="0.25">
      <c r="E1017" t="s">
        <v>2127</v>
      </c>
      <c r="F1017" t="s">
        <v>1398</v>
      </c>
      <c r="G1017" t="s">
        <v>89</v>
      </c>
      <c r="H1017" t="s">
        <v>1399</v>
      </c>
      <c r="I1017">
        <v>2541</v>
      </c>
      <c r="K1017" t="s">
        <v>3502</v>
      </c>
      <c r="L1017" t="str">
        <f t="shared" si="155"/>
        <v>"id":"s999",</v>
      </c>
      <c r="M1017" t="str">
        <v>"cate":"Resistor ",</v>
      </c>
      <c r="N1017" t="str">
        <v>"des":"RST 20R 1/8W1%0805A",</v>
      </c>
      <c r="O1017" t="str">
        <v>"mfg":"YAGEO",</v>
      </c>
      <c r="P1017" t="str">
        <v>"pn":"RC0805FR-(**)20RL",</v>
      </c>
      <c r="Q1017" t="str">
        <v>"qty":2565</v>
      </c>
      <c r="S1017" t="s">
        <v>2498</v>
      </c>
      <c r="T1017" t="str">
        <f t="shared" si="156"/>
        <v>"id":"s999","cate":"Resistor ","des":"RST 20R 1/8W1%0805A","mfg":"YAGEO","pn":"RC0805FR-(**)20RL","qty":2565</v>
      </c>
      <c r="U1017" t="s">
        <v>2503</v>
      </c>
    </row>
    <row r="1018" spans="5:21" x14ac:dyDescent="0.25">
      <c r="E1018" s="6" t="s">
        <v>2488</v>
      </c>
      <c r="F1018" t="s">
        <v>1400</v>
      </c>
      <c r="G1018" t="s">
        <v>28</v>
      </c>
      <c r="H1018" t="s">
        <v>1401</v>
      </c>
      <c r="I1018">
        <v>2532</v>
      </c>
      <c r="K1018" t="s">
        <v>3503</v>
      </c>
      <c r="L1018" t="str">
        <f t="shared" si="155"/>
        <v>"id":"s1000",</v>
      </c>
      <c r="M1018" t="str">
        <v>"cate":"Resistor ",</v>
      </c>
      <c r="N1018" t="str">
        <v>"des":"RST 20R 1/8W1%0805A",</v>
      </c>
      <c r="O1018" t="str">
        <v>"mfg":"YAGEO",</v>
      </c>
      <c r="P1018" t="str">
        <v>"pn":"RC0805FR-0720RL",</v>
      </c>
      <c r="Q1018" t="str">
        <v>"qty":2565</v>
      </c>
      <c r="S1018" t="s">
        <v>2498</v>
      </c>
      <c r="T1018" t="str">
        <f t="shared" si="156"/>
        <v>"id":"s1000","cate":"Resistor ","des":"RST 20R 1/8W1%0805A","mfg":"YAGEO","pn":"RC0805FR-0720RL","qty":2565</v>
      </c>
      <c r="U1018" t="s">
        <v>2503</v>
      </c>
    </row>
    <row r="1019" spans="5:21" x14ac:dyDescent="0.25">
      <c r="E1019" s="6" t="s">
        <v>2488</v>
      </c>
      <c r="F1019" t="s">
        <v>1400</v>
      </c>
      <c r="G1019" t="s">
        <v>30</v>
      </c>
      <c r="H1019" t="s">
        <v>1402</v>
      </c>
      <c r="I1019">
        <v>2532</v>
      </c>
      <c r="K1019" t="s">
        <v>3504</v>
      </c>
      <c r="L1019" t="str">
        <f t="shared" si="155"/>
        <v>"id":"s1001",</v>
      </c>
      <c r="M1019" t="str">
        <v>"cate":"Resistor ",</v>
      </c>
      <c r="N1019" t="str">
        <v>"des":"RST 20R 1/8W1%0805A",</v>
      </c>
      <c r="O1019" t="str">
        <v>"mfg":"KOA",</v>
      </c>
      <c r="P1019" t="str">
        <v>"pn":"RK73H2AT(**)20R0F",</v>
      </c>
      <c r="Q1019" t="str">
        <v>"qty":2565</v>
      </c>
      <c r="S1019" t="s">
        <v>2498</v>
      </c>
      <c r="T1019" t="str">
        <f t="shared" si="156"/>
        <v>"id":"s1001","cate":"Resistor ","des":"RST 20R 1/8W1%0805A","mfg":"KOA","pn":"RK73H2AT(**)20R0F","qty":2565</v>
      </c>
      <c r="U1019" t="s">
        <v>2503</v>
      </c>
    </row>
    <row r="1020" spans="5:21" x14ac:dyDescent="0.25">
      <c r="E1020" t="s">
        <v>2405</v>
      </c>
      <c r="F1020" t="s">
        <v>2440</v>
      </c>
      <c r="G1020" t="s">
        <v>2467</v>
      </c>
      <c r="H1020" t="s">
        <v>1403</v>
      </c>
      <c r="I1020">
        <v>2528</v>
      </c>
      <c r="K1020" t="s">
        <v>3505</v>
      </c>
      <c r="L1020" t="str">
        <f t="shared" si="155"/>
        <v>"id":"s1002",</v>
      </c>
      <c r="M1020" t="str">
        <v>"cate":"Resistor ",</v>
      </c>
      <c r="N1020" t="str">
        <v>"des":"RST 20R 1/8W1%0805A",</v>
      </c>
      <c r="O1020" t="str">
        <v>"mfg":"WALSIN",</v>
      </c>
      <c r="P1020" t="str">
        <v>"pn":"WR08X20R0FTL",</v>
      </c>
      <c r="Q1020" t="str">
        <v>"qty":2565</v>
      </c>
      <c r="S1020" t="s">
        <v>2498</v>
      </c>
      <c r="T1020" t="str">
        <f t="shared" si="156"/>
        <v>"id":"s1002","cate":"Resistor ","des":"RST 20R 1/8W1%0805A","mfg":"WALSIN","pn":"WR08X20R0FTL","qty":2565</v>
      </c>
      <c r="U1020" t="s">
        <v>2503</v>
      </c>
    </row>
    <row r="1021" spans="5:21" x14ac:dyDescent="0.25">
      <c r="E1021" t="s">
        <v>2405</v>
      </c>
      <c r="F1021" t="s">
        <v>2440</v>
      </c>
      <c r="G1021" t="s">
        <v>30</v>
      </c>
      <c r="H1021" t="s">
        <v>1404</v>
      </c>
      <c r="I1021">
        <v>2528</v>
      </c>
      <c r="K1021" t="s">
        <v>3506</v>
      </c>
      <c r="L1021" t="str">
        <f t="shared" si="155"/>
        <v>"id":"s1003",</v>
      </c>
      <c r="M1021" t="str">
        <v>"cate":"Resistor ",</v>
      </c>
      <c r="N1021" t="str">
        <v>"des":"RST 62K 1W 5% 2512",</v>
      </c>
      <c r="O1021" t="str">
        <v>"mfg":"PANASONIC",</v>
      </c>
      <c r="P1021" t="str">
        <v>"pn":"ERJ-1TYJ623U",</v>
      </c>
      <c r="Q1021" t="str">
        <v>"qty":2563</v>
      </c>
      <c r="S1021" t="s">
        <v>2498</v>
      </c>
      <c r="T1021" t="str">
        <f t="shared" si="156"/>
        <v>"id":"s1003","cate":"Resistor ","des":"RST 62K 1W 5% 2512","mfg":"PANASONIC","pn":"ERJ-1TYJ623U","qty":2563</v>
      </c>
      <c r="U1021" t="s">
        <v>2503</v>
      </c>
    </row>
    <row r="1022" spans="5:21" x14ac:dyDescent="0.25">
      <c r="E1022" t="s">
        <v>2193</v>
      </c>
      <c r="F1022" t="s">
        <v>1405</v>
      </c>
      <c r="G1022" t="s">
        <v>13</v>
      </c>
      <c r="H1022" t="s">
        <v>1406</v>
      </c>
      <c r="I1022">
        <v>2523</v>
      </c>
      <c r="K1022" t="s">
        <v>3507</v>
      </c>
      <c r="L1022" t="str">
        <f t="shared" si="155"/>
        <v>"id":"s1004",</v>
      </c>
      <c r="M1022" t="str">
        <v>"cate":"Resistor ",</v>
      </c>
      <c r="N1022" t="str">
        <v>"des":"RST 62K 1W 5% 2512",</v>
      </c>
      <c r="O1022" t="str">
        <v>"mfg":"YAGEO",</v>
      </c>
      <c r="P1022" t="str">
        <v>"pn":"RC2512JK-0762KL",</v>
      </c>
      <c r="Q1022" t="str">
        <v>"qty":2563</v>
      </c>
      <c r="S1022" t="s">
        <v>2498</v>
      </c>
      <c r="T1022" t="str">
        <f t="shared" si="156"/>
        <v>"id":"s1004","cate":"Resistor ","des":"RST 62K 1W 5% 2512","mfg":"YAGEO","pn":"RC2512JK-0762KL","qty":2563</v>
      </c>
      <c r="U1022" t="s">
        <v>2503</v>
      </c>
    </row>
    <row r="1023" spans="5:21" x14ac:dyDescent="0.25">
      <c r="E1023" t="s">
        <v>2194</v>
      </c>
      <c r="F1023" t="s">
        <v>2307</v>
      </c>
      <c r="G1023" t="s">
        <v>47</v>
      </c>
      <c r="H1023" t="s">
        <v>1407</v>
      </c>
      <c r="I1023">
        <v>2500</v>
      </c>
      <c r="K1023" t="s">
        <v>3508</v>
      </c>
      <c r="L1023" t="str">
        <f t="shared" si="155"/>
        <v>"id":"s1005",</v>
      </c>
      <c r="M1023" t="str">
        <v>"cate":"Resistor ",</v>
      </c>
      <c r="N1023" t="str">
        <v>"des":"RST 62K 1W 5% 2512",</v>
      </c>
      <c r="O1023" t="str">
        <v>"mfg":"VISHAY",</v>
      </c>
      <c r="P1023" t="str">
        <v>"pn":"CRCW251262K0JNEG",</v>
      </c>
      <c r="Q1023" t="str">
        <v>"qty":2563</v>
      </c>
      <c r="S1023" t="s">
        <v>2498</v>
      </c>
      <c r="T1023" t="str">
        <f t="shared" si="156"/>
        <v>"id":"s1005","cate":"Resistor ","des":"RST 62K 1W 5% 2512","mfg":"VISHAY","pn":"CRCW251262K0JNEG","qty":2563</v>
      </c>
      <c r="U1023" t="s">
        <v>2503</v>
      </c>
    </row>
    <row r="1024" spans="5:21" x14ac:dyDescent="0.25">
      <c r="E1024" t="s">
        <v>2194</v>
      </c>
      <c r="F1024" t="s">
        <v>2307</v>
      </c>
      <c r="G1024" t="s">
        <v>62</v>
      </c>
      <c r="H1024" t="s">
        <v>1408</v>
      </c>
      <c r="I1024">
        <v>2500</v>
      </c>
      <c r="K1024" t="s">
        <v>3509</v>
      </c>
      <c r="L1024" t="str">
        <f t="shared" si="155"/>
        <v>"id":"s1006",</v>
      </c>
      <c r="M1024" t="str">
        <v>"cate":"Resistor ",</v>
      </c>
      <c r="N1024" t="str">
        <v>"des":"RST 62K 1W 5% 2512",</v>
      </c>
      <c r="O1024" t="str">
        <v>"mfg":"BOURNS",</v>
      </c>
      <c r="P1024" t="str">
        <v>"pn":"CR2512-JW-623ELF",</v>
      </c>
      <c r="Q1024" t="str">
        <v>"qty":2563</v>
      </c>
      <c r="S1024" t="s">
        <v>2498</v>
      </c>
      <c r="T1024" t="str">
        <f t="shared" si="156"/>
        <v>"id":"s1006","cate":"Resistor ","des":"RST 62K 1W 5% 2512","mfg":"BOURNS","pn":"CR2512-JW-623ELF","qty":2563</v>
      </c>
      <c r="U1024" t="s">
        <v>2503</v>
      </c>
    </row>
    <row r="1025" spans="5:21" x14ac:dyDescent="0.25">
      <c r="E1025" t="s">
        <v>2194</v>
      </c>
      <c r="F1025" t="s">
        <v>2307</v>
      </c>
      <c r="G1025" t="s">
        <v>62</v>
      </c>
      <c r="H1025" t="s">
        <v>1409</v>
      </c>
      <c r="I1025">
        <v>2500</v>
      </c>
      <c r="K1025" t="s">
        <v>3510</v>
      </c>
      <c r="L1025" t="str">
        <f t="shared" si="155"/>
        <v>"id":"s1007",</v>
      </c>
      <c r="M1025" t="str">
        <v>"cate":"Resistor ",</v>
      </c>
      <c r="N1025" t="str">
        <v>"des":"RST 4K32 1/8W1%805A",</v>
      </c>
      <c r="O1025" t="str">
        <v>"mfg":"ROYAL OHM",</v>
      </c>
      <c r="P1025" t="str">
        <v>"pn":"0805W8F4321T5E",</v>
      </c>
      <c r="Q1025" t="str">
        <v>"qty":2557</v>
      </c>
      <c r="S1025" t="s">
        <v>2498</v>
      </c>
      <c r="T1025" t="str">
        <f t="shared" si="156"/>
        <v>"id":"s1007","cate":"Resistor ","des":"RST 4K32 1/8W1%805A","mfg":"ROYAL OHM","pn":"0805W8F4321T5E","qty":2557</v>
      </c>
      <c r="U1025" t="s">
        <v>2503</v>
      </c>
    </row>
    <row r="1026" spans="5:21" x14ac:dyDescent="0.25">
      <c r="E1026" t="s">
        <v>2193</v>
      </c>
      <c r="F1026" t="s">
        <v>1410</v>
      </c>
      <c r="G1026" t="s">
        <v>320</v>
      </c>
      <c r="H1026" t="s">
        <v>1411</v>
      </c>
      <c r="I1026">
        <v>2498</v>
      </c>
      <c r="K1026" t="s">
        <v>3511</v>
      </c>
      <c r="L1026" t="str">
        <f t="shared" si="155"/>
        <v>"id":"s1008",</v>
      </c>
      <c r="M1026" t="str">
        <v>"cate":"Resistor ",</v>
      </c>
      <c r="N1026" t="str">
        <v>"des":"RST 4K32 1/8W1%805A",</v>
      </c>
      <c r="O1026" t="str">
        <v>"mfg":"WALSIN",</v>
      </c>
      <c r="P1026" t="str">
        <v>"pn":"WR08X4321FTL",</v>
      </c>
      <c r="Q1026" t="str">
        <v>"qty":2557</v>
      </c>
      <c r="S1026" t="s">
        <v>2498</v>
      </c>
      <c r="T1026" t="str">
        <f t="shared" si="156"/>
        <v>"id":"s1008","cate":"Resistor ","des":"RST 4K32 1/8W1%805A","mfg":"WALSIN","pn":"WR08X4321FTL","qty":2557</v>
      </c>
      <c r="U1026" t="s">
        <v>2503</v>
      </c>
    </row>
    <row r="1027" spans="5:21" x14ac:dyDescent="0.25">
      <c r="E1027" t="s">
        <v>2193</v>
      </c>
      <c r="F1027" t="s">
        <v>1412</v>
      </c>
      <c r="G1027" t="s">
        <v>13</v>
      </c>
      <c r="H1027" t="s">
        <v>1413</v>
      </c>
      <c r="I1027">
        <v>2490</v>
      </c>
      <c r="K1027" t="s">
        <v>3512</v>
      </c>
      <c r="L1027" t="str">
        <f t="shared" si="155"/>
        <v>"id":"s1009",</v>
      </c>
      <c r="M1027" t="str">
        <v>"cate":"Capacitor",</v>
      </c>
      <c r="N1027" t="str">
        <v>"des":"Capacitor 1UF/50V 20%",</v>
      </c>
      <c r="O1027" t="str">
        <v>"mfg":"AISHI",</v>
      </c>
      <c r="P1027" t="str">
        <v>"pn":"ERM1HM010D11OT",</v>
      </c>
      <c r="Q1027" t="str">
        <v>"qty":2553</v>
      </c>
      <c r="S1027" t="s">
        <v>2498</v>
      </c>
      <c r="T1027" t="str">
        <f t="shared" si="156"/>
        <v>"id":"s1009","cate":"Capacitor","des":"Capacitor 1UF/50V 20%","mfg":"AISHI","pn":"ERM1HM010D11OT","qty":2553</v>
      </c>
      <c r="U1027" t="s">
        <v>2503</v>
      </c>
    </row>
    <row r="1028" spans="5:21" x14ac:dyDescent="0.25">
      <c r="E1028" t="s">
        <v>2194</v>
      </c>
      <c r="F1028" t="s">
        <v>2308</v>
      </c>
      <c r="G1028" t="s">
        <v>47</v>
      </c>
      <c r="H1028" t="s">
        <v>1414</v>
      </c>
      <c r="I1028">
        <v>2481</v>
      </c>
      <c r="K1028" t="s">
        <v>3513</v>
      </c>
      <c r="L1028" t="str">
        <f t="shared" si="155"/>
        <v>"id":"s1010",</v>
      </c>
      <c r="M1028" t="str">
        <v>"cate":"Resistor ",</v>
      </c>
      <c r="N1028" t="str">
        <v>"des":"RST 47K 2W 5%",</v>
      </c>
      <c r="O1028" t="str">
        <v>"mfg":"VISHAY",</v>
      </c>
      <c r="P1028" t="str">
        <v>"pn":"PR02000204702JR500",</v>
      </c>
      <c r="Q1028" t="str">
        <v>"qty":2542</v>
      </c>
      <c r="S1028" t="s">
        <v>2498</v>
      </c>
      <c r="T1028" t="str">
        <f t="shared" si="156"/>
        <v>"id":"s1010","cate":"Resistor ","des":"RST 47K 2W 5%","mfg":"VISHAY","pn":"PR02000204702JR500","qty":2542</v>
      </c>
      <c r="U1028" t="s">
        <v>2503</v>
      </c>
    </row>
    <row r="1029" spans="5:21" x14ac:dyDescent="0.25">
      <c r="E1029" t="s">
        <v>2405</v>
      </c>
      <c r="F1029" t="s">
        <v>2441</v>
      </c>
      <c r="G1029" t="s">
        <v>1415</v>
      </c>
      <c r="H1029" t="s">
        <v>1416</v>
      </c>
      <c r="I1029">
        <v>2479</v>
      </c>
      <c r="K1029" t="s">
        <v>3514</v>
      </c>
      <c r="L1029" t="str">
        <f t="shared" si="155"/>
        <v>"id":"s1011",</v>
      </c>
      <c r="M1029" t="str">
        <v>"cate":"Resistor ",</v>
      </c>
      <c r="N1029" t="str">
        <v>"des":"RST 47K 2W 5%",</v>
      </c>
      <c r="O1029" t="str">
        <v>"mfg":"VISHAY",</v>
      </c>
      <c r="P1029" t="str">
        <v>"pn":"WR404140A4702J",</v>
      </c>
      <c r="Q1029" t="str">
        <v>"qty":2542</v>
      </c>
      <c r="S1029" t="s">
        <v>2498</v>
      </c>
      <c r="T1029" t="str">
        <f t="shared" si="156"/>
        <v>"id":"s1011","cate":"Resistor ","des":"RST 47K 2W 5%","mfg":"VISHAY","pn":"WR404140A4702J","qty":2542</v>
      </c>
      <c r="U1029" t="s">
        <v>2503</v>
      </c>
    </row>
    <row r="1030" spans="5:21" x14ac:dyDescent="0.25">
      <c r="E1030" t="s">
        <v>2405</v>
      </c>
      <c r="F1030" t="s">
        <v>2442</v>
      </c>
      <c r="G1030" t="s">
        <v>26</v>
      </c>
      <c r="H1030" t="s">
        <v>1417</v>
      </c>
      <c r="I1030">
        <v>2478</v>
      </c>
      <c r="K1030" t="s">
        <v>3515</v>
      </c>
      <c r="L1030" t="str">
        <f t="shared" si="155"/>
        <v>"id":"s1012",</v>
      </c>
      <c r="M1030" t="str">
        <v>"cate":"IND ",</v>
      </c>
      <c r="N1030" t="str">
        <v>"des":"IND 4,7UH SMD SHLD",</v>
      </c>
      <c r="O1030" t="str">
        <v>"mfg":"BOURNS",</v>
      </c>
      <c r="P1030" t="str">
        <v>"pn":"SRP4020TA-4R7M",</v>
      </c>
      <c r="Q1030" t="str">
        <v>"qty":2541</v>
      </c>
      <c r="S1030" t="s">
        <v>2498</v>
      </c>
      <c r="T1030" t="str">
        <f t="shared" si="156"/>
        <v>"id":"s1012","cate":"IND ","des":"IND 4,7UH SMD SHLD","mfg":"BOURNS","pn":"SRP4020TA-4R7M","qty":2541</v>
      </c>
      <c r="U1030" t="s">
        <v>2503</v>
      </c>
    </row>
    <row r="1031" spans="5:21" x14ac:dyDescent="0.25">
      <c r="E1031" t="s">
        <v>2194</v>
      </c>
      <c r="F1031" t="s">
        <v>2309</v>
      </c>
      <c r="G1031" t="s">
        <v>579</v>
      </c>
      <c r="H1031" t="s">
        <v>1418</v>
      </c>
      <c r="I1031">
        <v>2468</v>
      </c>
      <c r="K1031" t="s">
        <v>3516</v>
      </c>
      <c r="L1031" t="str">
        <f t="shared" si="155"/>
        <v>"id":"s1013",</v>
      </c>
      <c r="M1031" t="str">
        <v>"cate":"Transistor",</v>
      </c>
      <c r="N1031" t="str">
        <v>"des":"TRAN NPN 40V 600MA",</v>
      </c>
      <c r="O1031" t="str">
        <v>"mfg":"ON SEMICONDUCTOR",</v>
      </c>
      <c r="P1031" t="str">
        <v>"pn":"MMBT2222ALT1G",</v>
      </c>
      <c r="Q1031" t="str">
        <v>"qty":2532</v>
      </c>
      <c r="S1031" t="s">
        <v>2498</v>
      </c>
      <c r="T1031" t="str">
        <f t="shared" si="156"/>
        <v>"id":"s1013","cate":"Transistor","des":"TRAN NPN 40V 600MA","mfg":"ON SEMICONDUCTOR","pn":"MMBT2222ALT1G","qty":2532</v>
      </c>
      <c r="U1031" t="s">
        <v>2503</v>
      </c>
    </row>
    <row r="1032" spans="5:21" x14ac:dyDescent="0.25">
      <c r="E1032" t="s">
        <v>2194</v>
      </c>
      <c r="F1032" t="s">
        <v>2309</v>
      </c>
      <c r="G1032" t="s">
        <v>581</v>
      </c>
      <c r="H1032" t="s">
        <v>1418</v>
      </c>
      <c r="I1032">
        <v>2468</v>
      </c>
      <c r="K1032" t="s">
        <v>3517</v>
      </c>
      <c r="L1032" t="str">
        <f t="shared" si="155"/>
        <v>"id":"s1014",</v>
      </c>
      <c r="M1032" t="str">
        <v>"cate":"Transistor",</v>
      </c>
      <c r="N1032" t="str">
        <v>"des":"TRAN NPN 40V 600MA",</v>
      </c>
      <c r="O1032" t="str">
        <v>"mfg":"NEXPERIA",</v>
      </c>
      <c r="P1032" t="str">
        <v>"pn":"PMBT2222A,215",</v>
      </c>
      <c r="Q1032" t="str">
        <v>"qty":2532</v>
      </c>
      <c r="S1032" t="s">
        <v>2498</v>
      </c>
      <c r="T1032" t="str">
        <f t="shared" si="156"/>
        <v>"id":"s1014","cate":"Transistor","des":"TRAN NPN 40V 600MA","mfg":"NEXPERIA","pn":"PMBT2222A,215","qty":2532</v>
      </c>
      <c r="U1032" t="s">
        <v>2503</v>
      </c>
    </row>
    <row r="1033" spans="5:21" x14ac:dyDescent="0.25">
      <c r="E1033" t="s">
        <v>2194</v>
      </c>
      <c r="F1033" t="s">
        <v>2309</v>
      </c>
      <c r="G1033" t="s">
        <v>581</v>
      </c>
      <c r="H1033" t="s">
        <v>1419</v>
      </c>
      <c r="I1033">
        <v>2468</v>
      </c>
      <c r="K1033" t="s">
        <v>3518</v>
      </c>
      <c r="L1033" t="str">
        <f t="shared" si="155"/>
        <v>"id":"s1015",</v>
      </c>
      <c r="M1033" t="str">
        <v>"cate":"Diode",</v>
      </c>
      <c r="N1033" t="str">
        <v>"des":"DiodeE 3A 40V SOD123",</v>
      </c>
      <c r="O1033" t="str">
        <v>"mfg":"DiodeES INC.",</v>
      </c>
      <c r="P1033" t="str">
        <v>"pn":"SBR3U40S1FQ-7",</v>
      </c>
      <c r="Q1033" t="str">
        <v>"qty":2528</v>
      </c>
      <c r="S1033" t="s">
        <v>2498</v>
      </c>
      <c r="T1033" t="str">
        <f t="shared" si="156"/>
        <v>"id":"s1015","cate":"Diode","des":"DiodeE 3A 40V SOD123","mfg":"DiodeES INC.","pn":"SBR3U40S1FQ-7","qty":2528</v>
      </c>
      <c r="U1033" t="s">
        <v>2503</v>
      </c>
    </row>
    <row r="1034" spans="5:21" x14ac:dyDescent="0.25">
      <c r="E1034" t="s">
        <v>2123</v>
      </c>
      <c r="F1034" t="s">
        <v>1420</v>
      </c>
      <c r="G1034" t="s">
        <v>184</v>
      </c>
      <c r="H1034" t="s">
        <v>1421</v>
      </c>
      <c r="I1034">
        <v>2467</v>
      </c>
      <c r="K1034" t="s">
        <v>3519</v>
      </c>
      <c r="L1034" t="str">
        <f t="shared" si="155"/>
        <v>"id":"s1016",</v>
      </c>
      <c r="M1034" t="str">
        <v>"cate":"Diode",</v>
      </c>
      <c r="N1034" t="str">
        <v>"des":"DiodeE 3A 40V SOD123",</v>
      </c>
      <c r="O1034" t="str">
        <v>"mfg":"NEXPERIA",</v>
      </c>
      <c r="P1034" t="str">
        <v>"pn":"PMEG40T30ERX",</v>
      </c>
      <c r="Q1034" t="str">
        <v>"qty":2528</v>
      </c>
      <c r="S1034" t="s">
        <v>2498</v>
      </c>
      <c r="T1034" t="str">
        <f t="shared" si="156"/>
        <v>"id":"s1016","cate":"Diode","des":"DiodeE 3A 40V SOD123","mfg":"NEXPERIA","pn":"PMEG40T30ERX","qty":2528</v>
      </c>
      <c r="U1034" t="s">
        <v>2503</v>
      </c>
    </row>
    <row r="1035" spans="5:21" x14ac:dyDescent="0.25">
      <c r="E1035" t="s">
        <v>2405</v>
      </c>
      <c r="F1035" t="s">
        <v>2443</v>
      </c>
      <c r="G1035" t="s">
        <v>2467</v>
      </c>
      <c r="H1035" t="s">
        <v>1422</v>
      </c>
      <c r="I1035">
        <v>2466</v>
      </c>
      <c r="K1035" t="s">
        <v>3520</v>
      </c>
      <c r="L1035" t="str">
        <f t="shared" si="155"/>
        <v>"id":"s1017",</v>
      </c>
      <c r="M1035" t="str">
        <v>"cate":"Resistor ",</v>
      </c>
      <c r="N1035" t="str">
        <v>"des":"RST 47K5 1/4W1%1206",</v>
      </c>
      <c r="O1035" t="str">
        <v>"mfg":"YAGEO",</v>
      </c>
      <c r="P1035" t="str">
        <v>"pn":"RC1206FR-0747K5L",</v>
      </c>
      <c r="Q1035" t="str">
        <v>"qty":2523</v>
      </c>
      <c r="S1035" t="s">
        <v>2498</v>
      </c>
      <c r="T1035" t="str">
        <f t="shared" si="156"/>
        <v>"id":"s1017","cate":"Resistor ","des":"RST 47K5 1/4W1%1206","mfg":"YAGEO","pn":"RC1206FR-0747K5L","qty":2523</v>
      </c>
      <c r="U1035" t="s">
        <v>2503</v>
      </c>
    </row>
    <row r="1036" spans="5:21" x14ac:dyDescent="0.25">
      <c r="E1036" t="s">
        <v>2193</v>
      </c>
      <c r="F1036" t="s">
        <v>1423</v>
      </c>
      <c r="G1036" t="s">
        <v>13</v>
      </c>
      <c r="H1036" t="s">
        <v>1424</v>
      </c>
      <c r="I1036">
        <v>2456</v>
      </c>
      <c r="K1036" t="s">
        <v>3521</v>
      </c>
      <c r="L1036" t="str">
        <f t="shared" si="155"/>
        <v>"id":"s1018",</v>
      </c>
      <c r="M1036" t="str">
        <v>"cate":"Capacitor",</v>
      </c>
      <c r="N1036" t="str">
        <v>"des":"Capacitor 4,7NF/480V-TH",</v>
      </c>
      <c r="O1036" t="str">
        <v>"mfg":"KEMET",</v>
      </c>
      <c r="P1036" t="str">
        <v>"pn":"F872BB472M480R",</v>
      </c>
      <c r="Q1036" t="str">
        <v>"qty":2500</v>
      </c>
      <c r="S1036" t="s">
        <v>2498</v>
      </c>
      <c r="T1036" t="str">
        <f t="shared" si="156"/>
        <v>"id":"s1018","cate":"Capacitor","des":"Capacitor 4,7NF/480V-TH","mfg":"KEMET","pn":"F872BB472M480R","qty":2500</v>
      </c>
      <c r="U1036" t="s">
        <v>2503</v>
      </c>
    </row>
    <row r="1037" spans="5:21" x14ac:dyDescent="0.25">
      <c r="E1037" t="s">
        <v>2193</v>
      </c>
      <c r="F1037" t="s">
        <v>1423</v>
      </c>
      <c r="G1037" t="s">
        <v>89</v>
      </c>
      <c r="H1037" t="s">
        <v>1425</v>
      </c>
      <c r="I1037">
        <v>2456</v>
      </c>
      <c r="K1037" t="s">
        <v>3522</v>
      </c>
      <c r="L1037" t="str">
        <f t="shared" si="155"/>
        <v>"id":"s1019",</v>
      </c>
      <c r="M1037" t="str">
        <v>"cate":"Capacitor",</v>
      </c>
      <c r="N1037" t="str">
        <v>"des":"Capacitor 4,7NF/480V-TH",</v>
      </c>
      <c r="O1037" t="str">
        <v>"mfg":"TDK",</v>
      </c>
      <c r="P1037" t="str">
        <v>"pn":"B32621A0472J000",</v>
      </c>
      <c r="Q1037" t="str">
        <v>"qty":2500</v>
      </c>
      <c r="S1037" t="s">
        <v>2498</v>
      </c>
      <c r="T1037" t="str">
        <f t="shared" si="156"/>
        <v>"id":"s1019","cate":"Capacitor","des":"Capacitor 4,7NF/480V-TH","mfg":"TDK","pn":"B32621A0472J000","qty":2500</v>
      </c>
      <c r="U1037" t="s">
        <v>2503</v>
      </c>
    </row>
    <row r="1038" spans="5:21" x14ac:dyDescent="0.25">
      <c r="E1038" t="s">
        <v>2193</v>
      </c>
      <c r="F1038" t="s">
        <v>1426</v>
      </c>
      <c r="G1038" t="s">
        <v>13</v>
      </c>
      <c r="H1038" t="s">
        <v>1427</v>
      </c>
      <c r="I1038">
        <v>2451</v>
      </c>
      <c r="K1038" t="s">
        <v>3523</v>
      </c>
      <c r="L1038" t="str">
        <f t="shared" si="155"/>
        <v>"id":"s1020",</v>
      </c>
      <c r="M1038" t="str">
        <v>"cate":"Capacitor",</v>
      </c>
      <c r="N1038" t="str">
        <v>"des":"Capacitor 4,7NF/480V-TH",</v>
      </c>
      <c r="O1038" t="str">
        <v>"mfg":"TDK",</v>
      </c>
      <c r="P1038" t="str">
        <v>"pn":"B32911A5472M",</v>
      </c>
      <c r="Q1038" t="str">
        <v>"qty":2500</v>
      </c>
      <c r="S1038" t="s">
        <v>2498</v>
      </c>
      <c r="T1038" t="str">
        <f t="shared" si="156"/>
        <v>"id":"s1020","cate":"Capacitor","des":"Capacitor 4,7NF/480V-TH","mfg":"TDK","pn":"B32911A5472M","qty":2500</v>
      </c>
      <c r="U1038" t="s">
        <v>2503</v>
      </c>
    </row>
    <row r="1039" spans="5:21" x14ac:dyDescent="0.25">
      <c r="E1039" t="s">
        <v>2193</v>
      </c>
      <c r="F1039" t="s">
        <v>1426</v>
      </c>
      <c r="G1039" t="s">
        <v>10</v>
      </c>
      <c r="H1039" t="s">
        <v>1428</v>
      </c>
      <c r="I1039">
        <v>2451</v>
      </c>
      <c r="K1039" t="s">
        <v>3524</v>
      </c>
      <c r="L1039" t="str">
        <f t="shared" si="155"/>
        <v>"id":"s1021",</v>
      </c>
      <c r="M1039" t="str">
        <v>"cate":"Resistor ",</v>
      </c>
      <c r="N1039" t="str">
        <v>"des":"RST 180K 1/4W1%1206",</v>
      </c>
      <c r="O1039" t="str">
        <v>"mfg":"ROYAL OHM",</v>
      </c>
      <c r="P1039" t="str">
        <v>"pn":"1206W4F1803T5E",</v>
      </c>
      <c r="Q1039" t="str">
        <v>"qty":2498</v>
      </c>
      <c r="S1039" t="s">
        <v>2498</v>
      </c>
      <c r="T1039" t="str">
        <f t="shared" si="156"/>
        <v>"id":"s1021","cate":"Resistor ","des":"RST 180K 1/4W1%1206","mfg":"ROYAL OHM","pn":"1206W4F1803T5E","qty":2498</v>
      </c>
      <c r="U1039" t="s">
        <v>2503</v>
      </c>
    </row>
    <row r="1040" spans="5:21" x14ac:dyDescent="0.25">
      <c r="E1040" t="s">
        <v>2193</v>
      </c>
      <c r="F1040" t="s">
        <v>1426</v>
      </c>
      <c r="G1040" t="s">
        <v>10</v>
      </c>
      <c r="H1040" t="s">
        <v>1429</v>
      </c>
      <c r="I1040">
        <v>2451</v>
      </c>
      <c r="K1040" t="s">
        <v>3525</v>
      </c>
      <c r="L1040" t="str">
        <f t="shared" si="155"/>
        <v>"id":"s1022",</v>
      </c>
      <c r="M1040" t="str">
        <v>"cate":"Resistor ",</v>
      </c>
      <c r="N1040" t="str">
        <v>"des":"RST 200 0,1W 1%603",</v>
      </c>
      <c r="O1040" t="str">
        <v>"mfg":"YAGEO",</v>
      </c>
      <c r="P1040" t="str">
        <v>"pn":"RC0603FR-07200RL",</v>
      </c>
      <c r="Q1040" t="str">
        <v>"qty":2490</v>
      </c>
      <c r="S1040" t="s">
        <v>2498</v>
      </c>
      <c r="T1040" t="str">
        <f t="shared" si="156"/>
        <v>"id":"s1022","cate":"Resistor ","des":"RST 200 0,1W 1%603","mfg":"YAGEO","pn":"RC0603FR-07200RL","qty":2490</v>
      </c>
      <c r="U1040" t="s">
        <v>2503</v>
      </c>
    </row>
    <row r="1041" spans="5:21" x14ac:dyDescent="0.25">
      <c r="E1041" t="s">
        <v>2193</v>
      </c>
      <c r="F1041" t="s">
        <v>1430</v>
      </c>
      <c r="G1041" t="s">
        <v>13</v>
      </c>
      <c r="H1041" t="s">
        <v>1431</v>
      </c>
      <c r="I1041">
        <v>2435</v>
      </c>
      <c r="K1041" t="s">
        <v>3526</v>
      </c>
      <c r="L1041" t="str">
        <f t="shared" si="155"/>
        <v>"id":"s1023",</v>
      </c>
      <c r="M1041" t="str">
        <v>"cate":"Capacitor",</v>
      </c>
      <c r="N1041" t="str">
        <v>"des":"Capacitor 220NF 50V 805B",</v>
      </c>
      <c r="O1041" t="str">
        <v>"mfg":"KEMET",</v>
      </c>
      <c r="P1041" t="str">
        <v>"pn":"C0805C224K5RAC7800",</v>
      </c>
      <c r="Q1041" t="str">
        <v>"qty":2481</v>
      </c>
      <c r="S1041" t="s">
        <v>2498</v>
      </c>
      <c r="T1041" t="str">
        <f t="shared" si="156"/>
        <v>"id":"s1023","cate":"Capacitor","des":"Capacitor 220NF 50V 805B","mfg":"KEMET","pn":"C0805C224K5RAC7800","qty":2481</v>
      </c>
      <c r="U1041" t="s">
        <v>2503</v>
      </c>
    </row>
    <row r="1042" spans="5:21" x14ac:dyDescent="0.25">
      <c r="E1042" t="s">
        <v>2193</v>
      </c>
      <c r="F1042" t="s">
        <v>1432</v>
      </c>
      <c r="G1042" t="s">
        <v>13</v>
      </c>
      <c r="H1042" t="s">
        <v>1433</v>
      </c>
      <c r="I1042">
        <v>2433</v>
      </c>
      <c r="K1042" t="s">
        <v>3527</v>
      </c>
      <c r="L1042" t="str">
        <f t="shared" si="155"/>
        <v>"id":"s1024",</v>
      </c>
      <c r="M1042" t="str">
        <v>"cate":"Diode",</v>
      </c>
      <c r="N1042" t="str">
        <v>"des":"DiodeE 0,5A 30V SOD",</v>
      </c>
      <c r="O1042" t="str">
        <v>"mfg":"MICRO COMMERCIAL",</v>
      </c>
      <c r="P1042" t="str">
        <v>"pn":"MBR0530L-TP",</v>
      </c>
      <c r="Q1042" t="str">
        <v>"qty":2479</v>
      </c>
      <c r="S1042" t="s">
        <v>2498</v>
      </c>
      <c r="T1042" t="str">
        <f t="shared" si="156"/>
        <v>"id":"s1024","cate":"Diode","des":"DiodeE 0,5A 30V SOD","mfg":"MICRO COMMERCIAL","pn":"MBR0530L-TP","qty":2479</v>
      </c>
      <c r="U1042" t="s">
        <v>2503</v>
      </c>
    </row>
    <row r="1043" spans="5:21" x14ac:dyDescent="0.25">
      <c r="E1043" t="s">
        <v>2405</v>
      </c>
      <c r="F1043" t="s">
        <v>2444</v>
      </c>
      <c r="G1043" t="s">
        <v>61</v>
      </c>
      <c r="H1043" t="s">
        <v>1434</v>
      </c>
      <c r="I1043">
        <v>2427</v>
      </c>
      <c r="K1043" t="s">
        <v>3528</v>
      </c>
      <c r="L1043" t="str">
        <f t="shared" si="155"/>
        <v>"id":"s1025",</v>
      </c>
      <c r="M1043" t="str">
        <v>"cate":"Diode",</v>
      </c>
      <c r="N1043" t="str">
        <v>"des":"DiodeE ZE 5V SOD882",</v>
      </c>
      <c r="O1043" t="str">
        <v>"mfg":"NXP SEMICONDUCTORS",</v>
      </c>
      <c r="P1043" t="str">
        <v>"pn":"PESD5V0X1BL,315",</v>
      </c>
      <c r="Q1043" t="str">
        <v>"qty":2478</v>
      </c>
      <c r="S1043" t="s">
        <v>2498</v>
      </c>
      <c r="T1043" t="str">
        <f t="shared" si="156"/>
        <v>"id":"s1025","cate":"Diode","des":"DiodeE ZE 5V SOD882","mfg":"NXP SEMICONDUCTORS","pn":"PESD5V0X1BL,315","qty":2478</v>
      </c>
      <c r="U1043" t="s">
        <v>2503</v>
      </c>
    </row>
    <row r="1044" spans="5:21" x14ac:dyDescent="0.25">
      <c r="E1044" t="s">
        <v>2193</v>
      </c>
      <c r="F1044" t="s">
        <v>1435</v>
      </c>
      <c r="G1044" t="s">
        <v>13</v>
      </c>
      <c r="H1044" t="s">
        <v>1436</v>
      </c>
      <c r="I1044">
        <v>2420</v>
      </c>
      <c r="K1044" t="s">
        <v>3529</v>
      </c>
      <c r="L1044" t="str">
        <f t="shared" ref="L1044:L1107" si="157">_xlfn.CONCAT("""","id","""",":","""",K1044,"""",",")</f>
        <v>"id":"s1026",</v>
      </c>
      <c r="M1044" t="str">
        <v>"cate":"Capacitor",</v>
      </c>
      <c r="N1044" t="str">
        <v>"des":"Capacitor Y2 2,2NF/250V",</v>
      </c>
      <c r="O1044" t="str">
        <v>"mfg":"Dongguan",</v>
      </c>
      <c r="P1044" t="str">
        <v>"pn":"JY222MY5VY2",</v>
      </c>
      <c r="Q1044" t="str">
        <v>"qty":2468</v>
      </c>
      <c r="S1044" t="s">
        <v>2498</v>
      </c>
      <c r="T1044" t="str">
        <f t="shared" ref="T1044:T1107" si="158">_xlfn.CONCAT(L1044:Q1044)</f>
        <v>"id":"s1026","cate":"Capacitor","des":"Capacitor Y2 2,2NF/250V","mfg":"Dongguan","pn":"JY222MY5VY2","qty":2468</v>
      </c>
      <c r="U1044" t="s">
        <v>2503</v>
      </c>
    </row>
    <row r="1045" spans="5:21" x14ac:dyDescent="0.25">
      <c r="E1045" t="s">
        <v>2194</v>
      </c>
      <c r="F1045" t="s">
        <v>2310</v>
      </c>
      <c r="G1045" t="s">
        <v>13</v>
      </c>
      <c r="H1045" t="s">
        <v>1437</v>
      </c>
      <c r="I1045">
        <v>2415</v>
      </c>
      <c r="K1045" t="s">
        <v>3530</v>
      </c>
      <c r="L1045" t="str">
        <f t="shared" si="157"/>
        <v>"id":"s1027",</v>
      </c>
      <c r="M1045" t="str">
        <v>"cate":"Capacitor",</v>
      </c>
      <c r="N1045" t="str">
        <v>"des":"Capacitor Y2 2,2NF/250V",</v>
      </c>
      <c r="O1045" t="str">
        <v>"mfg":"KNSCHA ELECTRONICS",</v>
      </c>
      <c r="P1045" t="str">
        <v>"pn":"JY222MY5VY2",</v>
      </c>
      <c r="Q1045" t="str">
        <v>"qty":2468</v>
      </c>
      <c r="S1045" t="s">
        <v>2498</v>
      </c>
      <c r="T1045" t="str">
        <f t="shared" si="158"/>
        <v>"id":"s1027","cate":"Capacitor","des":"Capacitor Y2 2,2NF/250V","mfg":"KNSCHA ELECTRONICS","pn":"JY222MY5VY2","qty":2468</v>
      </c>
      <c r="U1045" t="s">
        <v>2503</v>
      </c>
    </row>
    <row r="1046" spans="5:21" x14ac:dyDescent="0.25">
      <c r="E1046" t="s">
        <v>2194</v>
      </c>
      <c r="F1046" t="s">
        <v>2310</v>
      </c>
      <c r="G1046" t="s">
        <v>10</v>
      </c>
      <c r="H1046" t="s">
        <v>1438</v>
      </c>
      <c r="I1046">
        <v>2415</v>
      </c>
      <c r="K1046" t="s">
        <v>3531</v>
      </c>
      <c r="L1046" t="str">
        <f t="shared" si="157"/>
        <v>"id":"s1028",</v>
      </c>
      <c r="M1046" t="str">
        <v>"cate":"Capacitor",</v>
      </c>
      <c r="N1046" t="str">
        <v>"des":"Capacitor Y2 2,2NF/250V",</v>
      </c>
      <c r="O1046" t="str">
        <v>"mfg":"KNSCHA ELECTRONICS",</v>
      </c>
      <c r="P1046" t="str">
        <v>"pn":"70Y20068",</v>
      </c>
      <c r="Q1046" t="str">
        <v>"qty":2468</v>
      </c>
      <c r="S1046" t="s">
        <v>2498</v>
      </c>
      <c r="T1046" t="str">
        <f t="shared" si="158"/>
        <v>"id":"s1028","cate":"Capacitor","des":"Capacitor Y2 2,2NF/250V","mfg":"KNSCHA ELECTRONICS","pn":"70Y20068","qty":2468</v>
      </c>
      <c r="U1046" t="s">
        <v>2503</v>
      </c>
    </row>
    <row r="1047" spans="5:21" x14ac:dyDescent="0.25">
      <c r="E1047" t="s">
        <v>2194</v>
      </c>
      <c r="F1047" t="s">
        <v>2310</v>
      </c>
      <c r="G1047" t="s">
        <v>10</v>
      </c>
      <c r="H1047" t="s">
        <v>1439</v>
      </c>
      <c r="I1047">
        <v>2415</v>
      </c>
      <c r="K1047" t="s">
        <v>3532</v>
      </c>
      <c r="L1047" t="str">
        <f t="shared" si="157"/>
        <v>"id":"s1029",</v>
      </c>
      <c r="M1047" t="str">
        <v>"cate":"LED ",</v>
      </c>
      <c r="N1047" t="str">
        <v>"des":"LED RED DIA 5 MM-2",</v>
      </c>
      <c r="O1047" t="str">
        <v>"mfg":"WURTH ELEKTRONIK",</v>
      </c>
      <c r="P1047" t="str">
        <v>"pn":"151 051 RS1 100 0",</v>
      </c>
      <c r="Q1047" t="str">
        <v>"qty":2467</v>
      </c>
      <c r="S1047" t="s">
        <v>2498</v>
      </c>
      <c r="T1047" t="str">
        <f t="shared" si="158"/>
        <v>"id":"s1029","cate":"LED ","des":"LED RED DIA 5 MM-2","mfg":"WURTH ELEKTRONIK","pn":"151 051 RS1 100 0","qty":2467</v>
      </c>
      <c r="U1047" t="s">
        <v>2503</v>
      </c>
    </row>
    <row r="1048" spans="5:21" x14ac:dyDescent="0.25">
      <c r="E1048" t="s">
        <v>2194</v>
      </c>
      <c r="F1048" t="s">
        <v>2311</v>
      </c>
      <c r="G1048" t="s">
        <v>13</v>
      </c>
      <c r="H1048" t="s">
        <v>1440</v>
      </c>
      <c r="I1048">
        <v>2412</v>
      </c>
      <c r="K1048" t="s">
        <v>3533</v>
      </c>
      <c r="L1048" t="str">
        <f t="shared" si="157"/>
        <v>"id":"s1030",</v>
      </c>
      <c r="M1048" t="str">
        <v>"cate":"Diode",</v>
      </c>
      <c r="N1048" t="str">
        <v>"des":"DiodeE 1A 200V SMT",</v>
      </c>
      <c r="O1048" t="str">
        <v>"mfg":"DiodeES INC.",</v>
      </c>
      <c r="P1048" t="str">
        <v>"pn":"DFLS1200-7",</v>
      </c>
      <c r="Q1048" t="str">
        <v>"qty":2466</v>
      </c>
      <c r="S1048" t="s">
        <v>2498</v>
      </c>
      <c r="T1048" t="str">
        <f t="shared" si="158"/>
        <v>"id":"s1030","cate":"Diode","des":"DiodeE 1A 200V SMT","mfg":"DiodeES INC.","pn":"DFLS1200-7","qty":2466</v>
      </c>
      <c r="U1048" t="s">
        <v>2503</v>
      </c>
    </row>
    <row r="1049" spans="5:21" x14ac:dyDescent="0.25">
      <c r="E1049" t="s">
        <v>2194</v>
      </c>
      <c r="F1049" t="s">
        <v>2311</v>
      </c>
      <c r="G1049" t="s">
        <v>49</v>
      </c>
      <c r="H1049" t="s">
        <v>1441</v>
      </c>
      <c r="I1049">
        <v>2412</v>
      </c>
      <c r="K1049" t="s">
        <v>3534</v>
      </c>
      <c r="L1049" t="str">
        <f t="shared" si="157"/>
        <v>"id":"s1031",</v>
      </c>
      <c r="M1049" t="str">
        <v>"cate":"Resistor ",</v>
      </c>
      <c r="N1049" t="str">
        <v>"des":"RST 2K7 0,1W 1% 603",</v>
      </c>
      <c r="O1049" t="str">
        <v>"mfg":"YAGEO",</v>
      </c>
      <c r="P1049" t="str">
        <v>"pn":"RC0603FR-072K7L",</v>
      </c>
      <c r="Q1049" t="str">
        <v>"qty":2456</v>
      </c>
      <c r="S1049" t="s">
        <v>2498</v>
      </c>
      <c r="T1049" t="str">
        <f t="shared" si="158"/>
        <v>"id":"s1031","cate":"Resistor ","des":"RST 2K7 0,1W 1% 603","mfg":"YAGEO","pn":"RC0603FR-072K7L","qty":2456</v>
      </c>
      <c r="U1049" t="s">
        <v>2503</v>
      </c>
    </row>
    <row r="1050" spans="5:21" x14ac:dyDescent="0.25">
      <c r="E1050" t="s">
        <v>2194</v>
      </c>
      <c r="F1050" t="s">
        <v>2312</v>
      </c>
      <c r="G1050" t="s">
        <v>13</v>
      </c>
      <c r="H1050" t="s">
        <v>330</v>
      </c>
      <c r="I1050">
        <v>2405</v>
      </c>
      <c r="K1050" t="s">
        <v>3535</v>
      </c>
      <c r="L1050" t="str">
        <f t="shared" si="157"/>
        <v>"id":"s1032",</v>
      </c>
      <c r="M1050" t="str">
        <v>"cate":"Resistor ",</v>
      </c>
      <c r="N1050" t="str">
        <v>"des":"RST 2K7 0,1W 1% 603",</v>
      </c>
      <c r="O1050" t="str">
        <v>"mfg":"BOURNS",</v>
      </c>
      <c r="P1050" t="str">
        <v>"pn":"CR0603-FX-2701ELF",</v>
      </c>
      <c r="Q1050" t="str">
        <v>"qty":2456</v>
      </c>
      <c r="S1050" t="s">
        <v>2498</v>
      </c>
      <c r="T1050" t="str">
        <f t="shared" si="158"/>
        <v>"id":"s1032","cate":"Resistor ","des":"RST 2K7 0,1W 1% 603","mfg":"BOURNS","pn":"CR0603-FX-2701ELF","qty":2456</v>
      </c>
      <c r="U1050" t="s">
        <v>2503</v>
      </c>
    </row>
    <row r="1051" spans="5:21" x14ac:dyDescent="0.25">
      <c r="E1051" t="s">
        <v>2194</v>
      </c>
      <c r="F1051" t="s">
        <v>2312</v>
      </c>
      <c r="G1051" t="s">
        <v>8</v>
      </c>
      <c r="H1051" t="s">
        <v>1442</v>
      </c>
      <c r="I1051">
        <v>2405</v>
      </c>
      <c r="K1051" t="s">
        <v>3536</v>
      </c>
      <c r="L1051" t="str">
        <f t="shared" si="157"/>
        <v>"id":"s1033",</v>
      </c>
      <c r="M1051" t="str">
        <v>"cate":"Resistor ",</v>
      </c>
      <c r="N1051" t="str">
        <v>"des":"RST 5,6K 1/8W 5%805",</v>
      </c>
      <c r="O1051" t="str">
        <v>"mfg":"YAGEO",</v>
      </c>
      <c r="P1051" t="str">
        <v>"pn":"RC0805FR-075K6L",</v>
      </c>
      <c r="Q1051" t="str">
        <v>"qty":2451</v>
      </c>
      <c r="S1051" t="s">
        <v>2498</v>
      </c>
      <c r="T1051" t="str">
        <f t="shared" si="158"/>
        <v>"id":"s1033","cate":"Resistor ","des":"RST 5,6K 1/8W 5%805","mfg":"YAGEO","pn":"RC0805FR-075K6L","qty":2451</v>
      </c>
      <c r="U1051" t="s">
        <v>2503</v>
      </c>
    </row>
    <row r="1052" spans="5:21" x14ac:dyDescent="0.25">
      <c r="E1052" t="s">
        <v>2194</v>
      </c>
      <c r="F1052" t="s">
        <v>2312</v>
      </c>
      <c r="G1052" t="s">
        <v>10</v>
      </c>
      <c r="H1052" t="s">
        <v>1443</v>
      </c>
      <c r="I1052">
        <v>2405</v>
      </c>
      <c r="K1052" t="s">
        <v>3537</v>
      </c>
      <c r="L1052" t="str">
        <f t="shared" si="157"/>
        <v>"id":"s1034",</v>
      </c>
      <c r="M1052" t="str">
        <v>"cate":"Resistor ",</v>
      </c>
      <c r="N1052" t="str">
        <v>"des":"RST 5,6K 1/8W 5%805",</v>
      </c>
      <c r="O1052" t="str">
        <v>"mfg":"WALSIN",</v>
      </c>
      <c r="P1052" t="str">
        <v>"pn":"WR08X5601FTL",</v>
      </c>
      <c r="Q1052" t="str">
        <v>"qty":2451</v>
      </c>
      <c r="S1052" t="s">
        <v>2498</v>
      </c>
      <c r="T1052" t="str">
        <f t="shared" si="158"/>
        <v>"id":"s1034","cate":"Resistor ","des":"RST 5,6K 1/8W 5%805","mfg":"WALSIN","pn":"WR08X5601FTL","qty":2451</v>
      </c>
      <c r="U1052" t="s">
        <v>2503</v>
      </c>
    </row>
    <row r="1053" spans="5:21" x14ac:dyDescent="0.25">
      <c r="E1053" t="s">
        <v>2405</v>
      </c>
      <c r="F1053" t="s">
        <v>2445</v>
      </c>
      <c r="G1053" t="s">
        <v>28</v>
      </c>
      <c r="H1053" t="s">
        <v>1444</v>
      </c>
      <c r="I1053">
        <v>2393</v>
      </c>
      <c r="K1053" t="s">
        <v>3538</v>
      </c>
      <c r="L1053" t="str">
        <f t="shared" si="157"/>
        <v>"id":"s1035",</v>
      </c>
      <c r="M1053" t="str">
        <v>"cate":"Resistor ",</v>
      </c>
      <c r="N1053" t="str">
        <v>"des":"RST 5,6K 1/8W 5%805",</v>
      </c>
      <c r="O1053" t="str">
        <v>"mfg":"WALSIN",</v>
      </c>
      <c r="P1053" t="str">
        <v>"pn":"WR0805X5601FTL",</v>
      </c>
      <c r="Q1053" t="str">
        <v>"qty":2451</v>
      </c>
      <c r="S1053" t="s">
        <v>2498</v>
      </c>
      <c r="T1053" t="str">
        <f t="shared" si="158"/>
        <v>"id":"s1035","cate":"Resistor ","des":"RST 5,6K 1/8W 5%805","mfg":"WALSIN","pn":"WR0805X5601FTL","qty":2451</v>
      </c>
      <c r="U1053" t="s">
        <v>2503</v>
      </c>
    </row>
    <row r="1054" spans="5:21" x14ac:dyDescent="0.25">
      <c r="E1054" t="s">
        <v>2405</v>
      </c>
      <c r="F1054" t="s">
        <v>2445</v>
      </c>
      <c r="G1054" t="s">
        <v>61</v>
      </c>
      <c r="H1054" t="s">
        <v>1445</v>
      </c>
      <c r="I1054">
        <v>2393</v>
      </c>
      <c r="K1054" t="s">
        <v>3539</v>
      </c>
      <c r="L1054" t="str">
        <f t="shared" si="157"/>
        <v>"id":"s1036",</v>
      </c>
      <c r="M1054" t="str">
        <v>"cate":"Resistor ",</v>
      </c>
      <c r="N1054" t="str">
        <v>"des":"RST 1K1 0,1W 1%603",</v>
      </c>
      <c r="O1054" t="str">
        <v>"mfg":"YAGEO",</v>
      </c>
      <c r="P1054" t="str">
        <v>"pn":"RC0603FR-071K1L",</v>
      </c>
      <c r="Q1054" t="str">
        <v>"qty":2435</v>
      </c>
      <c r="S1054" t="s">
        <v>2498</v>
      </c>
      <c r="T1054" t="str">
        <f t="shared" si="158"/>
        <v>"id":"s1036","cate":"Resistor ","des":"RST 1K1 0,1W 1%603","mfg":"YAGEO","pn":"RC0603FR-071K1L","qty":2435</v>
      </c>
      <c r="U1054" t="s">
        <v>2503</v>
      </c>
    </row>
    <row r="1055" spans="5:21" x14ac:dyDescent="0.25">
      <c r="E1055" t="s">
        <v>2405</v>
      </c>
      <c r="F1055" t="s">
        <v>2445</v>
      </c>
      <c r="G1055" t="s">
        <v>1415</v>
      </c>
      <c r="H1055" t="s">
        <v>1446</v>
      </c>
      <c r="I1055">
        <v>2393</v>
      </c>
      <c r="K1055" t="s">
        <v>3540</v>
      </c>
      <c r="L1055" t="str">
        <f t="shared" si="157"/>
        <v>"id":"s1037",</v>
      </c>
      <c r="M1055" t="str">
        <v>"cate":"Resistor ",</v>
      </c>
      <c r="N1055" t="str">
        <v>"des":"RST 294K 0,1W 1%603",</v>
      </c>
      <c r="O1055" t="str">
        <v>"mfg":"YAGEO",</v>
      </c>
      <c r="P1055" t="str">
        <v>"pn":"RC0603FR-07294KL",</v>
      </c>
      <c r="Q1055" t="str">
        <v>"qty":2433</v>
      </c>
      <c r="S1055" t="s">
        <v>2498</v>
      </c>
      <c r="T1055" t="str">
        <f t="shared" si="158"/>
        <v>"id":"s1037","cate":"Resistor ","des":"RST 294K 0,1W 1%603","mfg":"YAGEO","pn":"RC0603FR-07294KL","qty":2433</v>
      </c>
      <c r="U1055" t="s">
        <v>2503</v>
      </c>
    </row>
    <row r="1056" spans="5:21" x14ac:dyDescent="0.25">
      <c r="E1056" t="s">
        <v>2123</v>
      </c>
      <c r="F1056" t="s">
        <v>1447</v>
      </c>
      <c r="G1056" t="s">
        <v>184</v>
      </c>
      <c r="H1056" t="s">
        <v>1448</v>
      </c>
      <c r="I1056">
        <v>2393</v>
      </c>
      <c r="K1056" t="s">
        <v>3541</v>
      </c>
      <c r="L1056" t="str">
        <f t="shared" si="157"/>
        <v>"id":"s1038",</v>
      </c>
      <c r="M1056" t="str">
        <v>"cate":"Diode",</v>
      </c>
      <c r="N1056" t="str">
        <v>"des":"DiodeE 400V 1A 14NS",</v>
      </c>
      <c r="O1056" t="str">
        <v>"mfg":"STMICROELECTRONICS",</v>
      </c>
      <c r="P1056" t="str">
        <v>"pn":"STTH1R04A",</v>
      </c>
      <c r="Q1056" t="str">
        <v>"qty":2427</v>
      </c>
      <c r="S1056" t="s">
        <v>2498</v>
      </c>
      <c r="T1056" t="str">
        <f t="shared" si="158"/>
        <v>"id":"s1038","cate":"Diode","des":"DiodeE 400V 1A 14NS","mfg":"STMICROELECTRONICS","pn":"STTH1R04A","qty":2427</v>
      </c>
      <c r="U1056" t="s">
        <v>2503</v>
      </c>
    </row>
    <row r="1057" spans="5:21" x14ac:dyDescent="0.25">
      <c r="E1057" t="s">
        <v>2194</v>
      </c>
      <c r="F1057" t="s">
        <v>2313</v>
      </c>
      <c r="G1057" t="s">
        <v>13</v>
      </c>
      <c r="H1057" t="s">
        <v>1449</v>
      </c>
      <c r="I1057">
        <v>2391</v>
      </c>
      <c r="K1057" t="s">
        <v>3542</v>
      </c>
      <c r="L1057" t="str">
        <f t="shared" si="157"/>
        <v>"id":"s1039",</v>
      </c>
      <c r="M1057" t="str">
        <v>"cate":"Resistor ",</v>
      </c>
      <c r="N1057" t="str">
        <v>"des":"RST 1K 1/8W 1% 603A",</v>
      </c>
      <c r="O1057" t="str">
        <v>"mfg":"YAGEO",</v>
      </c>
      <c r="P1057" t="str">
        <v>"pn":"RC0603FR-071KL",</v>
      </c>
      <c r="Q1057" t="str">
        <v>"qty":2420</v>
      </c>
      <c r="S1057" t="s">
        <v>2498</v>
      </c>
      <c r="T1057" t="str">
        <f t="shared" si="158"/>
        <v>"id":"s1039","cate":"Resistor ","des":"RST 1K 1/8W 1% 603A","mfg":"YAGEO","pn":"RC0603FR-071KL","qty":2420</v>
      </c>
      <c r="U1057" t="s">
        <v>2503</v>
      </c>
    </row>
    <row r="1058" spans="5:21" x14ac:dyDescent="0.25">
      <c r="E1058" t="s">
        <v>2194</v>
      </c>
      <c r="F1058" t="s">
        <v>2313</v>
      </c>
      <c r="G1058" t="s">
        <v>47</v>
      </c>
      <c r="H1058" t="s">
        <v>1450</v>
      </c>
      <c r="I1058">
        <v>2391</v>
      </c>
      <c r="K1058" t="s">
        <v>3543</v>
      </c>
      <c r="L1058" t="str">
        <f t="shared" si="157"/>
        <v>"id":"s1040",</v>
      </c>
      <c r="M1058" t="str">
        <v>"cate":"Capacitor",</v>
      </c>
      <c r="N1058" t="str">
        <v>"des":"Capacitor 470PF/25V 5%",</v>
      </c>
      <c r="O1058" t="str">
        <v>"mfg":"YAGEO",</v>
      </c>
      <c r="P1058" t="str">
        <v>"pn":"CC0805JRNPO9BN471",</v>
      </c>
      <c r="Q1058" t="str">
        <v>"qty":2415</v>
      </c>
      <c r="S1058" t="s">
        <v>2498</v>
      </c>
      <c r="T1058" t="str">
        <f t="shared" si="158"/>
        <v>"id":"s1040","cate":"Capacitor","des":"Capacitor 470PF/25V 5%","mfg":"YAGEO","pn":"CC0805JRNPO9BN471","qty":2415</v>
      </c>
      <c r="U1058" t="s">
        <v>2503</v>
      </c>
    </row>
    <row r="1059" spans="5:21" x14ac:dyDescent="0.25">
      <c r="E1059" t="s">
        <v>2405</v>
      </c>
      <c r="F1059" t="s">
        <v>2446</v>
      </c>
      <c r="G1059" t="s">
        <v>28</v>
      </c>
      <c r="H1059" t="s">
        <v>1451</v>
      </c>
      <c r="I1059">
        <v>2386</v>
      </c>
      <c r="K1059" t="s">
        <v>3544</v>
      </c>
      <c r="L1059" t="str">
        <f t="shared" si="157"/>
        <v>"id":"s1041",</v>
      </c>
      <c r="M1059" t="str">
        <v>"cate":"Capacitor",</v>
      </c>
      <c r="N1059" t="str">
        <v>"des":"Capacitor 470PF/25V 5%",</v>
      </c>
      <c r="O1059" t="str">
        <v>"mfg":"WALSIN",</v>
      </c>
      <c r="P1059" t="str">
        <v>"pn":"0805N471J500",</v>
      </c>
      <c r="Q1059" t="str">
        <v>"qty":2415</v>
      </c>
      <c r="S1059" t="s">
        <v>2498</v>
      </c>
      <c r="T1059" t="str">
        <f t="shared" si="158"/>
        <v>"id":"s1041","cate":"Capacitor","des":"Capacitor 470PF/25V 5%","mfg":"WALSIN","pn":"0805N471J500","qty":2415</v>
      </c>
      <c r="U1059" t="s">
        <v>2503</v>
      </c>
    </row>
    <row r="1060" spans="5:21" x14ac:dyDescent="0.25">
      <c r="E1060" t="s">
        <v>2405</v>
      </c>
      <c r="F1060" t="s">
        <v>2447</v>
      </c>
      <c r="G1060" t="s">
        <v>57</v>
      </c>
      <c r="H1060" t="s">
        <v>1452</v>
      </c>
      <c r="I1060">
        <v>2385</v>
      </c>
      <c r="K1060" t="s">
        <v>3545</v>
      </c>
      <c r="L1060" t="str">
        <f t="shared" si="157"/>
        <v>"id":"s1042",</v>
      </c>
      <c r="M1060" t="str">
        <v>"cate":"Capacitor",</v>
      </c>
      <c r="N1060" t="str">
        <v>"des":"Capacitor 470PF/25V 5%",</v>
      </c>
      <c r="O1060" t="str">
        <v>"mfg":"WALSIN",</v>
      </c>
      <c r="P1060" t="str">
        <v>"pn":"0805N471K250CT",</v>
      </c>
      <c r="Q1060" t="str">
        <v>"qty":2415</v>
      </c>
      <c r="S1060" t="s">
        <v>2498</v>
      </c>
      <c r="T1060" t="str">
        <f t="shared" si="158"/>
        <v>"id":"s1042","cate":"Capacitor","des":"Capacitor 470PF/25V 5%","mfg":"WALSIN","pn":"0805N471K250CT","qty":2415</v>
      </c>
      <c r="U1060" t="s">
        <v>2503</v>
      </c>
    </row>
    <row r="1061" spans="5:21" x14ac:dyDescent="0.25">
      <c r="E1061" t="s">
        <v>2193</v>
      </c>
      <c r="F1061" t="s">
        <v>1453</v>
      </c>
      <c r="G1061" t="s">
        <v>37</v>
      </c>
      <c r="H1061" t="s">
        <v>1454</v>
      </c>
      <c r="I1061">
        <v>2377</v>
      </c>
      <c r="K1061" t="s">
        <v>3546</v>
      </c>
      <c r="L1061" t="str">
        <f t="shared" si="157"/>
        <v>"id":"s1043",</v>
      </c>
      <c r="M1061" t="str">
        <v>"cate":"Capacitor",</v>
      </c>
      <c r="N1061" t="str">
        <v>"des":"Capacitor 2,2UF/25V 10%",</v>
      </c>
      <c r="O1061" t="str">
        <v>"mfg":"YAGEO",</v>
      </c>
      <c r="P1061" t="str">
        <v>"pn":"CC0805KKX7R8BB225",</v>
      </c>
      <c r="Q1061" t="str">
        <v>"qty":2412</v>
      </c>
      <c r="S1061" t="s">
        <v>2498</v>
      </c>
      <c r="T1061" t="str">
        <f t="shared" si="158"/>
        <v>"id":"s1043","cate":"Capacitor","des":"Capacitor 2,2UF/25V 10%","mfg":"YAGEO","pn":"CC0805KKX7R8BB225","qty":2412</v>
      </c>
      <c r="U1061" t="s">
        <v>2503</v>
      </c>
    </row>
    <row r="1062" spans="5:21" x14ac:dyDescent="0.25">
      <c r="E1062" t="s">
        <v>2193</v>
      </c>
      <c r="F1062" t="s">
        <v>1453</v>
      </c>
      <c r="G1062" t="s">
        <v>320</v>
      </c>
      <c r="H1062" t="s">
        <v>1455</v>
      </c>
      <c r="I1062">
        <v>2377</v>
      </c>
      <c r="K1062" t="s">
        <v>3547</v>
      </c>
      <c r="L1062" t="str">
        <f t="shared" si="157"/>
        <v>"id":"s1044",</v>
      </c>
      <c r="M1062" t="str">
        <v>"cate":"Capacitor",</v>
      </c>
      <c r="N1062" t="str">
        <v>"des":"Capacitor 2,2UF/25V 10%",</v>
      </c>
      <c r="O1062" t="str">
        <v>"mfg":"AVX",</v>
      </c>
      <c r="P1062" t="str">
        <v>"pn":"08053C225KAT2A",</v>
      </c>
      <c r="Q1062" t="str">
        <v>"qty":2412</v>
      </c>
      <c r="S1062" t="s">
        <v>2498</v>
      </c>
      <c r="T1062" t="str">
        <f t="shared" si="158"/>
        <v>"id":"s1044","cate":"Capacitor","des":"Capacitor 2,2UF/25V 10%","mfg":"AVX","pn":"08053C225KAT2A","qty":2412</v>
      </c>
      <c r="U1062" t="s">
        <v>2503</v>
      </c>
    </row>
    <row r="1063" spans="5:21" x14ac:dyDescent="0.25">
      <c r="E1063" t="s">
        <v>2193</v>
      </c>
      <c r="F1063" t="s">
        <v>1456</v>
      </c>
      <c r="G1063" t="s">
        <v>13</v>
      </c>
      <c r="H1063" t="s">
        <v>1457</v>
      </c>
      <c r="I1063">
        <v>2365</v>
      </c>
      <c r="K1063" t="s">
        <v>3548</v>
      </c>
      <c r="L1063" t="str">
        <f t="shared" si="157"/>
        <v>"id":"s1045",</v>
      </c>
      <c r="M1063" t="str">
        <v>"cate":"Capacitor",</v>
      </c>
      <c r="N1063" t="str">
        <v>"des":"Capacitor 10NF/25V 10%",</v>
      </c>
      <c r="O1063" t="str">
        <v>"mfg":"YAGEO",</v>
      </c>
      <c r="P1063" t="str">
        <v>"pn":"CC0805KRX7R9BB103",</v>
      </c>
      <c r="Q1063" t="str">
        <v>"qty":2405</v>
      </c>
      <c r="S1063" t="s">
        <v>2498</v>
      </c>
      <c r="T1063" t="str">
        <f t="shared" si="158"/>
        <v>"id":"s1045","cate":"Capacitor","des":"Capacitor 10NF/25V 10%","mfg":"YAGEO","pn":"CC0805KRX7R9BB103","qty":2405</v>
      </c>
      <c r="U1063" t="s">
        <v>2503</v>
      </c>
    </row>
    <row r="1064" spans="5:21" x14ac:dyDescent="0.25">
      <c r="E1064" t="s">
        <v>2193</v>
      </c>
      <c r="F1064" t="s">
        <v>1458</v>
      </c>
      <c r="G1064" t="s">
        <v>13</v>
      </c>
      <c r="H1064" t="s">
        <v>1459</v>
      </c>
      <c r="I1064">
        <v>2361</v>
      </c>
      <c r="K1064" t="s">
        <v>3549</v>
      </c>
      <c r="L1064" t="str">
        <f t="shared" si="157"/>
        <v>"id":"s1046",</v>
      </c>
      <c r="M1064" t="str">
        <v>"cate":"Capacitor",</v>
      </c>
      <c r="N1064" t="str">
        <v>"des":"Capacitor 10NF/25V 10%",</v>
      </c>
      <c r="O1064" t="str">
        <v>"mfg":"SAMSUNG",</v>
      </c>
      <c r="P1064" t="str">
        <v>"pn":"CL21B103KBANNNC",</v>
      </c>
      <c r="Q1064" t="str">
        <v>"qty":2405</v>
      </c>
      <c r="S1064" t="s">
        <v>2498</v>
      </c>
      <c r="T1064" t="str">
        <f t="shared" si="158"/>
        <v>"id":"s1046","cate":"Capacitor","des":"Capacitor 10NF/25V 10%","mfg":"SAMSUNG","pn":"CL21B103KBANNNC","qty":2405</v>
      </c>
      <c r="U1064" t="s">
        <v>2503</v>
      </c>
    </row>
    <row r="1065" spans="5:21" x14ac:dyDescent="0.25">
      <c r="E1065" t="s">
        <v>2193</v>
      </c>
      <c r="F1065" t="s">
        <v>1458</v>
      </c>
      <c r="G1065" t="s">
        <v>320</v>
      </c>
      <c r="H1065" t="s">
        <v>1460</v>
      </c>
      <c r="I1065">
        <v>2361</v>
      </c>
      <c r="K1065" t="s">
        <v>3550</v>
      </c>
      <c r="L1065" t="str">
        <f t="shared" si="157"/>
        <v>"id":"s1047",</v>
      </c>
      <c r="M1065" t="str">
        <v>"cate":"Capacitor",</v>
      </c>
      <c r="N1065" t="str">
        <v>"des":"Capacitor 10NF/25V 10%",</v>
      </c>
      <c r="O1065" t="str">
        <v>"mfg":"WALSIN",</v>
      </c>
      <c r="P1065" t="str">
        <v>"pn":"0805B103K500CT",</v>
      </c>
      <c r="Q1065" t="str">
        <v>"qty":2405</v>
      </c>
      <c r="S1065" t="s">
        <v>2498</v>
      </c>
      <c r="T1065" t="str">
        <f t="shared" si="158"/>
        <v>"id":"s1047","cate":"Capacitor","des":"Capacitor 10NF/25V 10%","mfg":"WALSIN","pn":"0805B103K500CT","qty":2405</v>
      </c>
      <c r="U1065" t="s">
        <v>2503</v>
      </c>
    </row>
    <row r="1066" spans="5:21" x14ac:dyDescent="0.25">
      <c r="E1066" t="s">
        <v>2405</v>
      </c>
      <c r="F1066" t="s">
        <v>2448</v>
      </c>
      <c r="G1066" t="s">
        <v>61</v>
      </c>
      <c r="H1066" t="s">
        <v>1461</v>
      </c>
      <c r="I1066">
        <v>2360</v>
      </c>
      <c r="K1066" t="s">
        <v>3551</v>
      </c>
      <c r="L1066" t="str">
        <f t="shared" si="157"/>
        <v>"id":"s1048",</v>
      </c>
      <c r="M1066" t="str">
        <v>"cate":"Diode",</v>
      </c>
      <c r="N1066" t="str">
        <v>"des":"DiodeE 4A 200V SMD-2",</v>
      </c>
      <c r="O1066" t="str">
        <v>"mfg":"ON SEMICONDUCTOR",</v>
      </c>
      <c r="P1066" t="str">
        <v>"pn":"MBRS4201T3G",</v>
      </c>
      <c r="Q1066" t="str">
        <v>"qty":2393</v>
      </c>
      <c r="S1066" t="s">
        <v>2498</v>
      </c>
      <c r="T1066" t="str">
        <f t="shared" si="158"/>
        <v>"id":"s1048","cate":"Diode","des":"DiodeE 4A 200V SMD-2","mfg":"ON SEMICONDUCTOR","pn":"MBRS4201T3G","qty":2393</v>
      </c>
      <c r="U1066" t="s">
        <v>2503</v>
      </c>
    </row>
    <row r="1067" spans="5:21" x14ac:dyDescent="0.25">
      <c r="E1067" t="s">
        <v>2194</v>
      </c>
      <c r="F1067" t="s">
        <v>2314</v>
      </c>
      <c r="G1067" t="s">
        <v>249</v>
      </c>
      <c r="H1067" t="s">
        <v>1462</v>
      </c>
      <c r="I1067">
        <v>2355</v>
      </c>
      <c r="K1067" t="s">
        <v>3552</v>
      </c>
      <c r="L1067" t="str">
        <f t="shared" si="157"/>
        <v>"id":"s1049",</v>
      </c>
      <c r="M1067" t="str">
        <v>"cate":"Diode",</v>
      </c>
      <c r="N1067" t="str">
        <v>"des":"DiodeE 4A 200V SMD-2",</v>
      </c>
      <c r="O1067" t="str">
        <v>"mfg":"STMICROELECTRONICS",</v>
      </c>
      <c r="P1067" t="str">
        <v>"pn":"STPS4S200S",</v>
      </c>
      <c r="Q1067" t="str">
        <v>"qty":2393</v>
      </c>
      <c r="S1067" t="s">
        <v>2498</v>
      </c>
      <c r="T1067" t="str">
        <f t="shared" si="158"/>
        <v>"id":"s1049","cate":"Diode","des":"DiodeE 4A 200V SMD-2","mfg":"STMICROELECTRONICS","pn":"STPS4S200S","qty":2393</v>
      </c>
      <c r="U1067" t="s">
        <v>2503</v>
      </c>
    </row>
    <row r="1068" spans="5:21" x14ac:dyDescent="0.25">
      <c r="E1068" t="s">
        <v>2194</v>
      </c>
      <c r="F1068" t="s">
        <v>2314</v>
      </c>
      <c r="G1068" t="s">
        <v>249</v>
      </c>
      <c r="H1068" t="s">
        <v>1463</v>
      </c>
      <c r="I1068">
        <v>2355</v>
      </c>
      <c r="K1068" t="s">
        <v>3553</v>
      </c>
      <c r="L1068" t="str">
        <f t="shared" si="157"/>
        <v>"id":"s1050",</v>
      </c>
      <c r="M1068" t="str">
        <v>"cate":"Diode",</v>
      </c>
      <c r="N1068" t="str">
        <v>"des":"DiodeE 4A 200V SMD-2",</v>
      </c>
      <c r="O1068" t="str">
        <v>"mfg":"MICRO COMMERCIAL",</v>
      </c>
      <c r="P1068" t="str">
        <v>"pn":"SK4200L-TP",</v>
      </c>
      <c r="Q1068" t="str">
        <v>"qty":2393</v>
      </c>
      <c r="S1068" t="s">
        <v>2498</v>
      </c>
      <c r="T1068" t="str">
        <f t="shared" si="158"/>
        <v>"id":"s1050","cate":"Diode","des":"DiodeE 4A 200V SMD-2","mfg":"MICRO COMMERCIAL","pn":"SK4200L-TP","qty":2393</v>
      </c>
      <c r="U1068" t="s">
        <v>2503</v>
      </c>
    </row>
    <row r="1069" spans="5:21" x14ac:dyDescent="0.25">
      <c r="E1069" t="s">
        <v>2193</v>
      </c>
      <c r="F1069" t="s">
        <v>1464</v>
      </c>
      <c r="G1069" t="s">
        <v>320</v>
      </c>
      <c r="H1069" t="s">
        <v>1465</v>
      </c>
      <c r="I1069">
        <v>2347</v>
      </c>
      <c r="K1069" t="s">
        <v>3554</v>
      </c>
      <c r="L1069" t="str">
        <f t="shared" si="157"/>
        <v>"id":"s1051",</v>
      </c>
      <c r="M1069" t="str">
        <v>"cate":"LED ",</v>
      </c>
      <c r="N1069" t="str">
        <v>"des":"LED SMD CL-RD 3528",</v>
      </c>
      <c r="O1069" t="str">
        <v>"mfg":"WURTH ELEKTRONIK",</v>
      </c>
      <c r="P1069" t="str">
        <v>"pn":"150 141 RS7 310 0",</v>
      </c>
      <c r="Q1069" t="str">
        <v>"qty":2393</v>
      </c>
      <c r="S1069" t="s">
        <v>2498</v>
      </c>
      <c r="T1069" t="str">
        <f t="shared" si="158"/>
        <v>"id":"s1051","cate":"LED ","des":"LED SMD CL-RD 3528","mfg":"WURTH ELEKTRONIK","pn":"150 141 RS7 310 0","qty":2393</v>
      </c>
      <c r="U1069" t="s">
        <v>2503</v>
      </c>
    </row>
    <row r="1070" spans="5:21" x14ac:dyDescent="0.25">
      <c r="E1070" t="s">
        <v>2122</v>
      </c>
      <c r="F1070" t="s">
        <v>1466</v>
      </c>
      <c r="G1070" t="s">
        <v>1467</v>
      </c>
      <c r="H1070" t="s">
        <v>1468</v>
      </c>
      <c r="I1070">
        <v>2344</v>
      </c>
      <c r="K1070" t="s">
        <v>3555</v>
      </c>
      <c r="L1070" t="str">
        <f t="shared" si="157"/>
        <v>"id":"s1052",</v>
      </c>
      <c r="M1070" t="str">
        <v>"cate":"Capacitor",</v>
      </c>
      <c r="N1070" t="str">
        <v>"des":"Capacitor 1NF/16V 10%402",</v>
      </c>
      <c r="O1070" t="str">
        <v>"mfg":"YAGEO",</v>
      </c>
      <c r="P1070" t="str">
        <v>"pn":"CC0402KRX7R7BB102",</v>
      </c>
      <c r="Q1070" t="str">
        <v>"qty":2391</v>
      </c>
      <c r="S1070" t="s">
        <v>2498</v>
      </c>
      <c r="T1070" t="str">
        <f t="shared" si="158"/>
        <v>"id":"s1052","cate":"Capacitor","des":"Capacitor 1NF/16V 10%402","mfg":"YAGEO","pn":"CC0402KRX7R7BB102","qty":2391</v>
      </c>
      <c r="U1070" t="s">
        <v>2503</v>
      </c>
    </row>
    <row r="1071" spans="5:21" x14ac:dyDescent="0.25">
      <c r="E1071" t="s">
        <v>2122</v>
      </c>
      <c r="F1071" t="s">
        <v>1466</v>
      </c>
      <c r="G1071" t="s">
        <v>1469</v>
      </c>
      <c r="H1071" t="s">
        <v>1470</v>
      </c>
      <c r="I1071">
        <v>2344</v>
      </c>
      <c r="K1071" t="s">
        <v>3556</v>
      </c>
      <c r="L1071" t="str">
        <f t="shared" si="157"/>
        <v>"id":"s1053",</v>
      </c>
      <c r="M1071" t="str">
        <v>"cate":"Capacitor",</v>
      </c>
      <c r="N1071" t="str">
        <v>"des":"Capacitor 1NF/16V 10%402",</v>
      </c>
      <c r="O1071" t="str">
        <v>"mfg":"KEMET",</v>
      </c>
      <c r="P1071" t="str">
        <v>"pn":"C0402C102K4RACTU",</v>
      </c>
      <c r="Q1071" t="str">
        <v>"qty":2391</v>
      </c>
      <c r="S1071" t="s">
        <v>2498</v>
      </c>
      <c r="T1071" t="str">
        <f t="shared" si="158"/>
        <v>"id":"s1053","cate":"Capacitor","des":"Capacitor 1NF/16V 10%402","mfg":"KEMET","pn":"C0402C102K4RACTU","qty":2391</v>
      </c>
      <c r="U1071" t="s">
        <v>2503</v>
      </c>
    </row>
    <row r="1072" spans="5:21" x14ac:dyDescent="0.25">
      <c r="E1072" t="s">
        <v>2122</v>
      </c>
      <c r="F1072" t="s">
        <v>1466</v>
      </c>
      <c r="G1072" t="s">
        <v>1471</v>
      </c>
      <c r="H1072" t="s">
        <v>1472</v>
      </c>
      <c r="I1072">
        <v>2344</v>
      </c>
      <c r="K1072" t="s">
        <v>3557</v>
      </c>
      <c r="L1072" t="str">
        <f t="shared" si="157"/>
        <v>"id":"s1054",</v>
      </c>
      <c r="M1072" t="str">
        <v>"cate":"Diode",</v>
      </c>
      <c r="N1072" t="str">
        <v>"des":"DiodeE 100V 0,2A",</v>
      </c>
      <c r="O1072" t="str">
        <v>"mfg":"ON SEMICONDUCTOR",</v>
      </c>
      <c r="P1072" t="str">
        <v>"pn":"BAV70LT1G",</v>
      </c>
      <c r="Q1072" t="str">
        <v>"qty":2386</v>
      </c>
      <c r="S1072" t="s">
        <v>2498</v>
      </c>
      <c r="T1072" t="str">
        <f t="shared" si="158"/>
        <v>"id":"s1054","cate":"Diode","des":"DiodeE 100V 0,2A","mfg":"ON SEMICONDUCTOR","pn":"BAV70LT1G","qty":2386</v>
      </c>
      <c r="U1072" t="s">
        <v>2503</v>
      </c>
    </row>
    <row r="1073" spans="5:21" x14ac:dyDescent="0.25">
      <c r="E1073" t="s">
        <v>2193</v>
      </c>
      <c r="F1073" t="s">
        <v>1473</v>
      </c>
      <c r="G1073" t="s">
        <v>13</v>
      </c>
      <c r="H1073" t="s">
        <v>1474</v>
      </c>
      <c r="I1073">
        <v>2343</v>
      </c>
      <c r="K1073" t="s">
        <v>3558</v>
      </c>
      <c r="L1073" t="str">
        <f t="shared" si="157"/>
        <v>"id":"s1055",</v>
      </c>
      <c r="M1073" t="str">
        <v>"cate":"Diode",</v>
      </c>
      <c r="N1073" t="str">
        <v>"des":"DiodeE ZE 3V3 SOD123",</v>
      </c>
      <c r="O1073" t="str">
        <v>"mfg":"LITTELFUSE",</v>
      </c>
      <c r="P1073" t="str">
        <v>"pn":"SMF3.3",</v>
      </c>
      <c r="Q1073" t="str">
        <v>"qty":2385</v>
      </c>
      <c r="S1073" t="s">
        <v>2498</v>
      </c>
      <c r="T1073" t="str">
        <f t="shared" si="158"/>
        <v>"id":"s1055","cate":"Diode","des":"DiodeE ZE 3V3 SOD123","mfg":"LITTELFUSE","pn":"SMF3.3","qty":2385</v>
      </c>
      <c r="U1073" t="s">
        <v>2503</v>
      </c>
    </row>
    <row r="1074" spans="5:21" x14ac:dyDescent="0.25">
      <c r="E1074" t="s">
        <v>2194</v>
      </c>
      <c r="F1074" t="s">
        <v>2315</v>
      </c>
      <c r="G1074" t="s">
        <v>47</v>
      </c>
      <c r="H1074" t="s">
        <v>1475</v>
      </c>
      <c r="I1074">
        <v>2342</v>
      </c>
      <c r="K1074" t="s">
        <v>3559</v>
      </c>
      <c r="L1074" t="str">
        <f t="shared" si="157"/>
        <v>"id":"s1056",</v>
      </c>
      <c r="M1074" t="str">
        <v>"cate":"Resistor ",</v>
      </c>
      <c r="N1074" t="str">
        <v>"des":"RST 51K 1% 1/8W 805",</v>
      </c>
      <c r="O1074" t="str">
        <v>"mfg":"VISHAY",</v>
      </c>
      <c r="P1074" t="str">
        <v>"pn":"CRCW080551K0FKEA",</v>
      </c>
      <c r="Q1074" t="str">
        <v>"qty":2377</v>
      </c>
      <c r="S1074" t="s">
        <v>2498</v>
      </c>
      <c r="T1074" t="str">
        <f t="shared" si="158"/>
        <v>"id":"s1056","cate":"Resistor ","des":"RST 51K 1% 1/8W 805","mfg":"VISHAY","pn":"CRCW080551K0FKEA","qty":2377</v>
      </c>
      <c r="U1074" t="s">
        <v>2503</v>
      </c>
    </row>
    <row r="1075" spans="5:21" x14ac:dyDescent="0.25">
      <c r="E1075" t="s">
        <v>2194</v>
      </c>
      <c r="F1075" t="s">
        <v>2315</v>
      </c>
      <c r="G1075" t="s">
        <v>47</v>
      </c>
      <c r="H1075" t="s">
        <v>1476</v>
      </c>
      <c r="I1075">
        <v>2342</v>
      </c>
      <c r="K1075" t="s">
        <v>3560</v>
      </c>
      <c r="L1075" t="str">
        <f t="shared" si="157"/>
        <v>"id":"s1057",</v>
      </c>
      <c r="M1075" t="str">
        <v>"cate":"Resistor ",</v>
      </c>
      <c r="N1075" t="str">
        <v>"des":"RST 51K 1% 1/8W 805",</v>
      </c>
      <c r="O1075" t="str">
        <v>"mfg":"ROYAL OHM",</v>
      </c>
      <c r="P1075" t="str">
        <v>"pn":"0805W8F5102T5E",</v>
      </c>
      <c r="Q1075" t="str">
        <v>"qty":2377</v>
      </c>
      <c r="S1075" t="s">
        <v>2498</v>
      </c>
      <c r="T1075" t="str">
        <f t="shared" si="158"/>
        <v>"id":"s1057","cate":"Resistor ","des":"RST 51K 1% 1/8W 805","mfg":"ROYAL OHM","pn":"0805W8F5102T5E","qty":2377</v>
      </c>
      <c r="U1075" t="s">
        <v>2503</v>
      </c>
    </row>
    <row r="1076" spans="5:21" x14ac:dyDescent="0.25">
      <c r="E1076" t="s">
        <v>2194</v>
      </c>
      <c r="F1076" t="s">
        <v>2315</v>
      </c>
      <c r="G1076" t="s">
        <v>37</v>
      </c>
      <c r="H1076" t="s">
        <v>1477</v>
      </c>
      <c r="I1076">
        <v>2342</v>
      </c>
      <c r="K1076" t="s">
        <v>3561</v>
      </c>
      <c r="L1076" t="str">
        <f t="shared" si="157"/>
        <v>"id":"s1058",</v>
      </c>
      <c r="M1076" t="str">
        <v>"cate":"Resistor ",</v>
      </c>
      <c r="N1076" t="str">
        <v>"des":"RST 68K 1/8W 5% 805",</v>
      </c>
      <c r="O1076" t="str">
        <v>"mfg":"YAGEO",</v>
      </c>
      <c r="P1076" t="str">
        <v>"pn":"RC0805JR-0768KL",</v>
      </c>
      <c r="Q1076" t="str">
        <v>"qty":2365</v>
      </c>
      <c r="S1076" t="s">
        <v>2498</v>
      </c>
      <c r="T1076" t="str">
        <f t="shared" si="158"/>
        <v>"id":"s1058","cate":"Resistor ","des":"RST 68K 1/8W 5% 805","mfg":"YAGEO","pn":"RC0805JR-0768KL","qty":2365</v>
      </c>
      <c r="U1076" t="s">
        <v>2503</v>
      </c>
    </row>
    <row r="1077" spans="5:21" x14ac:dyDescent="0.25">
      <c r="E1077" t="s">
        <v>2194</v>
      </c>
      <c r="F1077" t="s">
        <v>2315</v>
      </c>
      <c r="G1077" t="s">
        <v>1478</v>
      </c>
      <c r="H1077" t="s">
        <v>1479</v>
      </c>
      <c r="I1077">
        <v>2342</v>
      </c>
      <c r="K1077" t="s">
        <v>3562</v>
      </c>
      <c r="L1077" t="str">
        <f t="shared" si="157"/>
        <v>"id":"s1059",</v>
      </c>
      <c r="M1077" t="str">
        <v>"cate":"Resistor ",</v>
      </c>
      <c r="N1077" t="str">
        <v>"des":"RST 4K7 1/16W1% 402",</v>
      </c>
      <c r="O1077" t="str">
        <v>"mfg":"YAGEO",</v>
      </c>
      <c r="P1077" t="str">
        <v>"pn":"RC0402FR-074K7L",</v>
      </c>
      <c r="Q1077" t="str">
        <v>"qty":2361</v>
      </c>
      <c r="S1077" t="s">
        <v>2498</v>
      </c>
      <c r="T1077" t="str">
        <f t="shared" si="158"/>
        <v>"id":"s1059","cate":"Resistor ","des":"RST 4K7 1/16W1% 402","mfg":"YAGEO","pn":"RC0402FR-074K7L","qty":2361</v>
      </c>
      <c r="U1077" t="s">
        <v>2503</v>
      </c>
    </row>
    <row r="1078" spans="5:21" x14ac:dyDescent="0.25">
      <c r="E1078" t="s">
        <v>2405</v>
      </c>
      <c r="F1078" t="s">
        <v>2449</v>
      </c>
      <c r="G1078" t="s">
        <v>13</v>
      </c>
      <c r="H1078" t="s">
        <v>1480</v>
      </c>
      <c r="I1078">
        <v>2341</v>
      </c>
      <c r="K1078" t="s">
        <v>3563</v>
      </c>
      <c r="L1078" t="str">
        <f t="shared" si="157"/>
        <v>"id":"s1060",</v>
      </c>
      <c r="M1078" t="str">
        <v>"cate":"Resistor ",</v>
      </c>
      <c r="N1078" t="str">
        <v>"des":"RST 4K7 1/16W1% 402",</v>
      </c>
      <c r="O1078" t="str">
        <v>"mfg":"ROYAL OHM",</v>
      </c>
      <c r="P1078" t="str">
        <v>"pn":"0402WGF4701TCE",</v>
      </c>
      <c r="Q1078" t="str">
        <v>"qty":2361</v>
      </c>
      <c r="S1078" t="s">
        <v>2498</v>
      </c>
      <c r="T1078" t="str">
        <f t="shared" si="158"/>
        <v>"id":"s1060","cate":"Resistor ","des":"RST 4K7 1/16W1% 402","mfg":"ROYAL OHM","pn":"0402WGF4701TCE","qty":2361</v>
      </c>
      <c r="U1078" t="s">
        <v>2503</v>
      </c>
    </row>
    <row r="1079" spans="5:21" x14ac:dyDescent="0.25">
      <c r="E1079" t="s">
        <v>2405</v>
      </c>
      <c r="F1079" t="s">
        <v>2449</v>
      </c>
      <c r="G1079" t="s">
        <v>13</v>
      </c>
      <c r="H1079" t="s">
        <v>1481</v>
      </c>
      <c r="I1079">
        <v>2341</v>
      </c>
      <c r="K1079" t="s">
        <v>3564</v>
      </c>
      <c r="L1079" t="str">
        <f t="shared" si="157"/>
        <v>"id":"s1061",</v>
      </c>
      <c r="M1079" t="str">
        <v>"cate":"Diode",</v>
      </c>
      <c r="N1079" t="str">
        <v>"des":"DiodeE 1A 60V SMD-01",</v>
      </c>
      <c r="O1079" t="str">
        <v>"mfg":"STMICROELECTRONICS",</v>
      </c>
      <c r="P1079" t="str">
        <v>"pn":"STPS1L60ZF",</v>
      </c>
      <c r="Q1079" t="str">
        <v>"qty":2360</v>
      </c>
      <c r="S1079" t="s">
        <v>2498</v>
      </c>
      <c r="T1079" t="str">
        <f t="shared" si="158"/>
        <v>"id":"s1061","cate":"Diode","des":"DiodeE 1A 60V SMD-01","mfg":"STMICROELECTRONICS","pn":"STPS1L60ZF","qty":2360</v>
      </c>
      <c r="U1079" t="s">
        <v>2503</v>
      </c>
    </row>
    <row r="1080" spans="5:21" x14ac:dyDescent="0.25">
      <c r="E1080" t="s">
        <v>2194</v>
      </c>
      <c r="F1080" t="s">
        <v>2316</v>
      </c>
      <c r="G1080" t="s">
        <v>45</v>
      </c>
      <c r="H1080" t="s">
        <v>1482</v>
      </c>
      <c r="I1080">
        <v>2338</v>
      </c>
      <c r="K1080" t="s">
        <v>3565</v>
      </c>
      <c r="L1080" t="str">
        <f t="shared" si="157"/>
        <v>"id":"s1062",</v>
      </c>
      <c r="M1080" t="str">
        <v>"cate":"Capacitor",</v>
      </c>
      <c r="N1080" t="str">
        <v>"des":"Capacitor 2200UF/25V 20%",</v>
      </c>
      <c r="O1080" t="str">
        <v>"mfg":"NICHICON",</v>
      </c>
      <c r="P1080" t="str">
        <v>"pn":"URZ1E222MHD",</v>
      </c>
      <c r="Q1080" t="str">
        <v>"qty":2355</v>
      </c>
      <c r="S1080" t="s">
        <v>2498</v>
      </c>
      <c r="T1080" t="str">
        <f t="shared" si="158"/>
        <v>"id":"s1062","cate":"Capacitor","des":"Capacitor 2200UF/25V 20%","mfg":"NICHICON","pn":"URZ1E222MHD","qty":2355</v>
      </c>
      <c r="U1080" t="s">
        <v>2503</v>
      </c>
    </row>
    <row r="1081" spans="5:21" x14ac:dyDescent="0.25">
      <c r="E1081" s="6" t="s">
        <v>2488</v>
      </c>
      <c r="F1081" t="s">
        <v>1483</v>
      </c>
      <c r="G1081" t="s">
        <v>589</v>
      </c>
      <c r="H1081" t="s">
        <v>1484</v>
      </c>
      <c r="I1081">
        <v>2335</v>
      </c>
      <c r="K1081" t="s">
        <v>3566</v>
      </c>
      <c r="L1081" t="str">
        <f t="shared" si="157"/>
        <v>"id":"s1063",</v>
      </c>
      <c r="M1081" t="str">
        <v>"cate":"Capacitor",</v>
      </c>
      <c r="N1081" t="str">
        <v>"des":"Capacitor 2200UF/25V 20%",</v>
      </c>
      <c r="O1081" t="str">
        <v>"mfg":"NICHICON",</v>
      </c>
      <c r="P1081" t="str">
        <v>"pn":"URZ1E222MHD1TN",</v>
      </c>
      <c r="Q1081" t="str">
        <v>"qty":2355</v>
      </c>
      <c r="S1081" t="s">
        <v>2498</v>
      </c>
      <c r="T1081" t="str">
        <f t="shared" si="158"/>
        <v>"id":"s1063","cate":"Capacitor","des":"Capacitor 2200UF/25V 20%","mfg":"NICHICON","pn":"URZ1E222MHD1TN","qty":2355</v>
      </c>
      <c r="U1081" t="s">
        <v>2503</v>
      </c>
    </row>
    <row r="1082" spans="5:21" x14ac:dyDescent="0.25">
      <c r="E1082" s="6" t="s">
        <v>2488</v>
      </c>
      <c r="F1082" t="s">
        <v>1483</v>
      </c>
      <c r="G1082" t="s">
        <v>1485</v>
      </c>
      <c r="H1082" t="s">
        <v>1484</v>
      </c>
      <c r="I1082">
        <v>2335</v>
      </c>
      <c r="K1082" t="s">
        <v>3567</v>
      </c>
      <c r="L1082" t="str">
        <f t="shared" si="157"/>
        <v>"id":"s1064",</v>
      </c>
      <c r="M1082" t="str">
        <v>"cate":"Resistor ",</v>
      </c>
      <c r="N1082" t="str">
        <v>"des":"RST 47K 1/8W 5% 805",</v>
      </c>
      <c r="O1082" t="str">
        <v>"mfg":"ROYAL OHM",</v>
      </c>
      <c r="P1082" t="str">
        <v>"pn":"0805S8J0473T5E",</v>
      </c>
      <c r="Q1082" t="str">
        <v>"qty":2347</v>
      </c>
      <c r="S1082" t="s">
        <v>2498</v>
      </c>
      <c r="T1082" t="str">
        <f t="shared" si="158"/>
        <v>"id":"s1064","cate":"Resistor ","des":"RST 47K 1/8W 5% 805","mfg":"ROYAL OHM","pn":"0805S8J0473T5E","qty":2347</v>
      </c>
      <c r="U1082" t="s">
        <v>2503</v>
      </c>
    </row>
    <row r="1083" spans="5:21" x14ac:dyDescent="0.25">
      <c r="E1083" t="s">
        <v>2194</v>
      </c>
      <c r="F1083" t="s">
        <v>2317</v>
      </c>
      <c r="G1083" t="s">
        <v>290</v>
      </c>
      <c r="H1083" t="s">
        <v>1486</v>
      </c>
      <c r="I1083">
        <v>2324</v>
      </c>
      <c r="K1083" t="s">
        <v>3568</v>
      </c>
      <c r="L1083" t="str">
        <f t="shared" si="157"/>
        <v>"id":"s1065",</v>
      </c>
      <c r="M1083" t="str">
        <v>"cate":"NTC ",</v>
      </c>
      <c r="N1083" t="str">
        <v>"des":"NTC 10R 3A TH",</v>
      </c>
      <c r="O1083" t="str">
        <v>"mfg":"AMETHERM",</v>
      </c>
      <c r="P1083" t="str">
        <v>"pn":"SL08 10003",</v>
      </c>
      <c r="Q1083" t="str">
        <v>"qty":2344</v>
      </c>
      <c r="S1083" t="s">
        <v>2498</v>
      </c>
      <c r="T1083" t="str">
        <f t="shared" si="158"/>
        <v>"id":"s1065","cate":"NTC ","des":"NTC 10R 3A TH","mfg":"AMETHERM","pn":"SL08 10003","qty":2344</v>
      </c>
      <c r="U1083" t="s">
        <v>2503</v>
      </c>
    </row>
    <row r="1084" spans="5:21" x14ac:dyDescent="0.25">
      <c r="E1084" s="6" t="s">
        <v>2382</v>
      </c>
      <c r="F1084" t="s">
        <v>1487</v>
      </c>
      <c r="G1084" t="s">
        <v>542</v>
      </c>
      <c r="H1084" t="s">
        <v>1488</v>
      </c>
      <c r="I1084">
        <v>2316</v>
      </c>
      <c r="K1084" t="s">
        <v>3569</v>
      </c>
      <c r="L1084" t="str">
        <f t="shared" si="157"/>
        <v>"id":"s1066",</v>
      </c>
      <c r="M1084" t="str">
        <v>"cate":"NTC ",</v>
      </c>
      <c r="N1084" t="str">
        <v>"des":"NTC 10R 3A TH",</v>
      </c>
      <c r="O1084" t="str">
        <v>"mfg":"Nanjing Kemin Electronics",</v>
      </c>
      <c r="P1084" t="str">
        <v>"pn":"NTC10D-11",</v>
      </c>
      <c r="Q1084" t="str">
        <v>"qty":2344</v>
      </c>
      <c r="S1084" t="s">
        <v>2498</v>
      </c>
      <c r="T1084" t="str">
        <f t="shared" si="158"/>
        <v>"id":"s1066","cate":"NTC ","des":"NTC 10R 3A TH","mfg":"Nanjing Kemin Electronics","pn":"NTC10D-11","qty":2344</v>
      </c>
      <c r="U1084" t="s">
        <v>2503</v>
      </c>
    </row>
    <row r="1085" spans="5:21" x14ac:dyDescent="0.25">
      <c r="E1085" t="s">
        <v>2193</v>
      </c>
      <c r="F1085" t="s">
        <v>1489</v>
      </c>
      <c r="G1085" t="s">
        <v>13</v>
      </c>
      <c r="H1085" t="s">
        <v>1490</v>
      </c>
      <c r="I1085">
        <v>2297</v>
      </c>
      <c r="K1085" t="s">
        <v>3570</v>
      </c>
      <c r="L1085" t="str">
        <f t="shared" si="157"/>
        <v>"id":"s1067",</v>
      </c>
      <c r="M1085" t="str">
        <v>"cate":"NTC ",</v>
      </c>
      <c r="N1085" t="str">
        <v>"des":"NTC 10R 3A TH",</v>
      </c>
      <c r="O1085" t="str">
        <v>"mfg":"Semitec",</v>
      </c>
      <c r="P1085" t="str">
        <v>"pn":"10D2-11LD",</v>
      </c>
      <c r="Q1085" t="str">
        <v>"qty":2344</v>
      </c>
      <c r="S1085" t="s">
        <v>2498</v>
      </c>
      <c r="T1085" t="str">
        <f t="shared" si="158"/>
        <v>"id":"s1067","cate":"NTC ","des":"NTC 10R 3A TH","mfg":"Semitec","pn":"10D2-11LD","qty":2344</v>
      </c>
      <c r="U1085" t="s">
        <v>2503</v>
      </c>
    </row>
    <row r="1086" spans="5:21" x14ac:dyDescent="0.25">
      <c r="E1086" t="s">
        <v>2193</v>
      </c>
      <c r="F1086" t="s">
        <v>1489</v>
      </c>
      <c r="G1086" t="s">
        <v>37</v>
      </c>
      <c r="H1086" t="s">
        <v>1491</v>
      </c>
      <c r="I1086">
        <v>2297</v>
      </c>
      <c r="K1086" t="s">
        <v>3571</v>
      </c>
      <c r="L1086" t="str">
        <f t="shared" si="157"/>
        <v>"id":"s1068",</v>
      </c>
      <c r="M1086" t="str">
        <v>"cate":"Resistor ",</v>
      </c>
      <c r="N1086" t="str">
        <v>"des":"RST 2,2 1/4W 5%1206",</v>
      </c>
      <c r="O1086" t="str">
        <v>"mfg":"YAGEO",</v>
      </c>
      <c r="P1086" t="str">
        <v>"pn":"RC1206JR-072R2L",</v>
      </c>
      <c r="Q1086" t="str">
        <v>"qty":2343</v>
      </c>
      <c r="S1086" t="s">
        <v>2498</v>
      </c>
      <c r="T1086" t="str">
        <f t="shared" si="158"/>
        <v>"id":"s1068","cate":"Resistor ","des":"RST 2,2 1/4W 5%1206","mfg":"YAGEO","pn":"RC1206JR-072R2L","qty":2343</v>
      </c>
      <c r="U1086" t="s">
        <v>2503</v>
      </c>
    </row>
    <row r="1087" spans="5:21" x14ac:dyDescent="0.25">
      <c r="E1087" t="s">
        <v>2193</v>
      </c>
      <c r="F1087" t="s">
        <v>1489</v>
      </c>
      <c r="G1087" t="s">
        <v>5</v>
      </c>
      <c r="H1087" t="s">
        <v>1492</v>
      </c>
      <c r="I1087">
        <v>2297</v>
      </c>
      <c r="K1087" t="s">
        <v>3572</v>
      </c>
      <c r="L1087" t="str">
        <f t="shared" si="157"/>
        <v>"id":"s1069",</v>
      </c>
      <c r="M1087" t="str">
        <v>"cate":"Capacitor",</v>
      </c>
      <c r="N1087" t="str">
        <v>"des":"Capacitor 470NF 275V TH",</v>
      </c>
      <c r="O1087" t="str">
        <v>"mfg":"KEMET",</v>
      </c>
      <c r="P1087" t="str">
        <v>"pn":"PHE840MD6470KD15R06L2",</v>
      </c>
      <c r="Q1087" t="str">
        <v>"qty":2342</v>
      </c>
      <c r="S1087" t="s">
        <v>2498</v>
      </c>
      <c r="T1087" t="str">
        <f t="shared" si="158"/>
        <v>"id":"s1069","cate":"Capacitor","des":"Capacitor 470NF 275V TH","mfg":"KEMET","pn":"PHE840MD6470KD15R06L2","qty":2342</v>
      </c>
      <c r="U1087" t="s">
        <v>2503</v>
      </c>
    </row>
    <row r="1088" spans="5:21" x14ac:dyDescent="0.25">
      <c r="E1088" t="s">
        <v>2167</v>
      </c>
      <c r="F1088" t="s">
        <v>1493</v>
      </c>
      <c r="G1088" t="s">
        <v>13</v>
      </c>
      <c r="H1088" t="s">
        <v>563</v>
      </c>
      <c r="I1088">
        <v>2287</v>
      </c>
      <c r="K1088" t="s">
        <v>3573</v>
      </c>
      <c r="L1088" t="str">
        <f t="shared" si="157"/>
        <v>"id":"s1070",</v>
      </c>
      <c r="M1088" t="str">
        <v>"cate":"Capacitor",</v>
      </c>
      <c r="N1088" t="str">
        <v>"des":"Capacitor 470NF 275V TH",</v>
      </c>
      <c r="O1088" t="str">
        <v>"mfg":"KEMET",</v>
      </c>
      <c r="P1088" t="str">
        <v>"pn":"R46KN347000001K",</v>
      </c>
      <c r="Q1088" t="str">
        <v>"qty":2342</v>
      </c>
      <c r="S1088" t="s">
        <v>2498</v>
      </c>
      <c r="T1088" t="str">
        <f t="shared" si="158"/>
        <v>"id":"s1070","cate":"Capacitor","des":"Capacitor 470NF 275V TH","mfg":"KEMET","pn":"R46KN347000001K","qty":2342</v>
      </c>
      <c r="U1088" t="s">
        <v>2503</v>
      </c>
    </row>
    <row r="1089" spans="5:21" x14ac:dyDescent="0.25">
      <c r="E1089" t="s">
        <v>2166</v>
      </c>
      <c r="F1089" t="s">
        <v>1494</v>
      </c>
      <c r="G1089" t="s">
        <v>1495</v>
      </c>
      <c r="H1089" t="s">
        <v>1496</v>
      </c>
      <c r="I1089">
        <v>2284</v>
      </c>
      <c r="K1089" t="s">
        <v>3574</v>
      </c>
      <c r="L1089" t="str">
        <f t="shared" si="157"/>
        <v>"id":"s1071",</v>
      </c>
      <c r="M1089" t="str">
        <v>"cate":"Capacitor",</v>
      </c>
      <c r="N1089" t="str">
        <v>"des":"Capacitor 470NF 275V TH",</v>
      </c>
      <c r="O1089" t="str">
        <v>"mfg":"VISHAY",</v>
      </c>
      <c r="P1089" t="str">
        <v>"pn":"F1772-447-2160",</v>
      </c>
      <c r="Q1089" t="str">
        <v>"qty":2342</v>
      </c>
      <c r="S1089" t="s">
        <v>2498</v>
      </c>
      <c r="T1089" t="str">
        <f t="shared" si="158"/>
        <v>"id":"s1071","cate":"Capacitor","des":"Capacitor 470NF 275V TH","mfg":"VISHAY","pn":"F1772-447-2160","qty":2342</v>
      </c>
      <c r="U1089" t="s">
        <v>2503</v>
      </c>
    </row>
    <row r="1090" spans="5:21" x14ac:dyDescent="0.25">
      <c r="E1090" s="6" t="s">
        <v>2493</v>
      </c>
      <c r="F1090" t="s">
        <v>1497</v>
      </c>
      <c r="G1090" t="s">
        <v>1498</v>
      </c>
      <c r="H1090" t="s">
        <v>1499</v>
      </c>
      <c r="I1090">
        <v>2283</v>
      </c>
      <c r="K1090" t="s">
        <v>3575</v>
      </c>
      <c r="L1090" t="str">
        <f t="shared" si="157"/>
        <v>"id":"s1072",</v>
      </c>
      <c r="M1090" t="str">
        <v>"cate":"Capacitor",</v>
      </c>
      <c r="N1090" t="str">
        <v>"des":"Capacitor 470NF 275V TH",</v>
      </c>
      <c r="O1090" t="str">
        <v>"mfg":"CDE(CORNELLDUBILIER)",</v>
      </c>
      <c r="P1090" t="str">
        <v>"pn":"MPX474K305G",</v>
      </c>
      <c r="Q1090" t="str">
        <v>"qty":2342</v>
      </c>
      <c r="S1090" t="s">
        <v>2498</v>
      </c>
      <c r="T1090" t="str">
        <f t="shared" si="158"/>
        <v>"id":"s1072","cate":"Capacitor","des":"Capacitor 470NF 275V TH","mfg":"CDE(CORNELLDUBILIER)","pn":"MPX474K305G","qty":2342</v>
      </c>
      <c r="U1090" t="s">
        <v>2503</v>
      </c>
    </row>
    <row r="1091" spans="5:21" x14ac:dyDescent="0.25">
      <c r="E1091" s="6" t="s">
        <v>2493</v>
      </c>
      <c r="F1091" t="s">
        <v>1497</v>
      </c>
      <c r="G1091" t="s">
        <v>62</v>
      </c>
      <c r="H1091" t="s">
        <v>1500</v>
      </c>
      <c r="I1091">
        <v>2283</v>
      </c>
      <c r="K1091" t="s">
        <v>3576</v>
      </c>
      <c r="L1091" t="str">
        <f t="shared" si="157"/>
        <v>"id":"s1073",</v>
      </c>
      <c r="M1091" t="str">
        <v>"cate":"Diode",</v>
      </c>
      <c r="N1091" t="str">
        <v>"des":"DiodeE TVS 14V 25,9A",</v>
      </c>
      <c r="O1091" t="str">
        <v>"mfg":"YAGEO",</v>
      </c>
      <c r="P1091" t="str">
        <v>"pn":"SMBJ14CA",</v>
      </c>
      <c r="Q1091" t="str">
        <v>"qty":2341</v>
      </c>
      <c r="S1091" t="s">
        <v>2498</v>
      </c>
      <c r="T1091" t="str">
        <f t="shared" si="158"/>
        <v>"id":"s1073","cate":"Diode","des":"DiodeE TVS 14V 25,9A","mfg":"YAGEO","pn":"SMBJ14CA","qty":2341</v>
      </c>
      <c r="U1091" t="s">
        <v>2503</v>
      </c>
    </row>
    <row r="1092" spans="5:21" x14ac:dyDescent="0.25">
      <c r="E1092" s="6" t="s">
        <v>2493</v>
      </c>
      <c r="F1092" t="s">
        <v>1497</v>
      </c>
      <c r="G1092" t="s">
        <v>1310</v>
      </c>
      <c r="H1092" s="6" t="s">
        <v>1499</v>
      </c>
      <c r="I1092">
        <v>2283</v>
      </c>
      <c r="K1092" t="s">
        <v>3577</v>
      </c>
      <c r="L1092" t="str">
        <f t="shared" si="157"/>
        <v>"id":"s1074",</v>
      </c>
      <c r="M1092" t="str">
        <v>"cate":"Diode",</v>
      </c>
      <c r="N1092" t="str">
        <v>"des":"DiodeE TVS 14V 25,9A",</v>
      </c>
      <c r="O1092" t="str">
        <v>"mfg":"YAGEO",</v>
      </c>
      <c r="P1092" t="str">
        <v>"pn":"SMBJ14CA/TR13",</v>
      </c>
      <c r="Q1092" t="str">
        <v>"qty":2341</v>
      </c>
      <c r="S1092" t="s">
        <v>2498</v>
      </c>
      <c r="T1092" t="str">
        <f t="shared" si="158"/>
        <v>"id":"s1074","cate":"Diode","des":"DiodeE TVS 14V 25,9A","mfg":"YAGEO","pn":"SMBJ14CA/TR13","qty":2341</v>
      </c>
      <c r="U1092" t="s">
        <v>2503</v>
      </c>
    </row>
    <row r="1093" spans="5:21" x14ac:dyDescent="0.25">
      <c r="E1093" t="s">
        <v>2126</v>
      </c>
      <c r="F1093" t="s">
        <v>1501</v>
      </c>
      <c r="G1093" t="s">
        <v>57</v>
      </c>
      <c r="H1093" t="s">
        <v>1502</v>
      </c>
      <c r="I1093">
        <v>2259</v>
      </c>
      <c r="K1093" t="s">
        <v>3578</v>
      </c>
      <c r="L1093" t="str">
        <f t="shared" si="157"/>
        <v>"id":"s1075",</v>
      </c>
      <c r="M1093" t="str">
        <v>"cate":"Capacitor",</v>
      </c>
      <c r="N1093" t="str">
        <v>"des":"Capacitor 10NF/1500V20%",</v>
      </c>
      <c r="O1093" t="str">
        <v>"mfg":"EPCOS/TDK",</v>
      </c>
      <c r="P1093" t="str">
        <v>"pn":"B32022A3103M000",</v>
      </c>
      <c r="Q1093" t="str">
        <v>"qty":2338</v>
      </c>
      <c r="S1093" t="s">
        <v>2498</v>
      </c>
      <c r="T1093" t="str">
        <f t="shared" si="158"/>
        <v>"id":"s1075","cate":"Capacitor","des":"Capacitor 10NF/1500V20%","mfg":"EPCOS/TDK","pn":"B32022A3103M000","qty":2338</v>
      </c>
      <c r="U1093" t="s">
        <v>2503</v>
      </c>
    </row>
    <row r="1094" spans="5:21" x14ac:dyDescent="0.25">
      <c r="E1094" t="s">
        <v>2126</v>
      </c>
      <c r="F1094" t="s">
        <v>1501</v>
      </c>
      <c r="G1094" t="s">
        <v>507</v>
      </c>
      <c r="H1094" t="s">
        <v>1503</v>
      </c>
      <c r="I1094">
        <v>2259</v>
      </c>
      <c r="K1094" t="s">
        <v>3579</v>
      </c>
      <c r="L1094" t="str">
        <f t="shared" si="157"/>
        <v>"id":"s1076",</v>
      </c>
      <c r="M1094" t="str">
        <v>"cate":"Transistor",</v>
      </c>
      <c r="N1094" t="str">
        <v>"des":"TRAN S8550-H",</v>
      </c>
      <c r="O1094" t="str">
        <v>"mfg":"Galaxy Semiconductor",</v>
      </c>
      <c r="P1094" t="str">
        <v>"pn":"S8550-H",</v>
      </c>
      <c r="Q1094" t="str">
        <v>"qty":2335</v>
      </c>
      <c r="S1094" t="s">
        <v>2498</v>
      </c>
      <c r="T1094" t="str">
        <f t="shared" si="158"/>
        <v>"id":"s1076","cate":"Transistor","des":"TRAN S8550-H","mfg":"Galaxy Semiconductor","pn":"S8550-H","qty":2335</v>
      </c>
      <c r="U1094" t="s">
        <v>2503</v>
      </c>
    </row>
    <row r="1095" spans="5:21" x14ac:dyDescent="0.25">
      <c r="E1095" s="6" t="s">
        <v>2382</v>
      </c>
      <c r="F1095" t="s">
        <v>1504</v>
      </c>
      <c r="G1095" t="s">
        <v>61</v>
      </c>
      <c r="H1095" t="s">
        <v>1505</v>
      </c>
      <c r="I1095">
        <v>2254</v>
      </c>
      <c r="K1095" t="s">
        <v>3580</v>
      </c>
      <c r="L1095" t="str">
        <f t="shared" si="157"/>
        <v>"id":"s1077",</v>
      </c>
      <c r="M1095" t="str">
        <v>"cate":"Transistor",</v>
      </c>
      <c r="N1095" t="str">
        <v>"des":"TRAN S8550-H",</v>
      </c>
      <c r="O1095" t="str">
        <v>"mfg":"YANGZHOU YANGJIE",</v>
      </c>
      <c r="P1095" t="str">
        <v>"pn":"S8550-H",</v>
      </c>
      <c r="Q1095" t="str">
        <v>"qty":2335</v>
      </c>
      <c r="S1095" t="s">
        <v>2498</v>
      </c>
      <c r="T1095" t="str">
        <f t="shared" si="158"/>
        <v>"id":"s1077","cate":"Transistor","des":"TRAN S8550-H","mfg":"YANGZHOU YANGJIE","pn":"S8550-H","qty":2335</v>
      </c>
      <c r="U1095" t="s">
        <v>2503</v>
      </c>
    </row>
    <row r="1096" spans="5:21" x14ac:dyDescent="0.25">
      <c r="E1096" s="6" t="s">
        <v>2382</v>
      </c>
      <c r="F1096" t="s">
        <v>1504</v>
      </c>
      <c r="G1096" t="s">
        <v>61</v>
      </c>
      <c r="H1096" t="s">
        <v>1506</v>
      </c>
      <c r="I1096">
        <v>2254</v>
      </c>
      <c r="K1096" t="s">
        <v>3581</v>
      </c>
      <c r="L1096" t="str">
        <f t="shared" si="157"/>
        <v>"id":"s1078",</v>
      </c>
      <c r="M1096" t="str">
        <v>"cate":"Capacitor",</v>
      </c>
      <c r="N1096" t="str">
        <v>"des":"Capacitor 15NF/2000V",</v>
      </c>
      <c r="O1096" t="str">
        <v>"mfg":"FARATRONIC",</v>
      </c>
      <c r="P1096" t="str">
        <v>"pn":"C33V1153J90C000",</v>
      </c>
      <c r="Q1096" t="str">
        <v>"qty":2324</v>
      </c>
      <c r="S1096" t="s">
        <v>2498</v>
      </c>
      <c r="T1096" t="str">
        <f t="shared" si="158"/>
        <v>"id":"s1078","cate":"Capacitor","des":"Capacitor 15NF/2000V","mfg":"FARATRONIC","pn":"C33V1153J90C000","qty":2324</v>
      </c>
      <c r="U1096" t="s">
        <v>2503</v>
      </c>
    </row>
    <row r="1097" spans="5:21" x14ac:dyDescent="0.25">
      <c r="E1097" t="s">
        <v>2194</v>
      </c>
      <c r="F1097" t="s">
        <v>2318</v>
      </c>
      <c r="G1097" t="s">
        <v>64</v>
      </c>
      <c r="H1097" t="s">
        <v>1507</v>
      </c>
      <c r="I1097">
        <v>2248</v>
      </c>
      <c r="K1097" t="s">
        <v>3582</v>
      </c>
      <c r="L1097" t="str">
        <f t="shared" si="157"/>
        <v>"id":"s1079",</v>
      </c>
      <c r="M1097" t="str">
        <v>"cate":"IC",</v>
      </c>
      <c r="N1097" t="str">
        <v>"des":"IC MIC4422YM",</v>
      </c>
      <c r="O1097" t="str">
        <v>"mfg":"MICROCHIP",</v>
      </c>
      <c r="P1097" t="str">
        <v>"pn":"MIC4422YM-TR",</v>
      </c>
      <c r="Q1097" t="str">
        <v>"qty":2316</v>
      </c>
      <c r="S1097" t="s">
        <v>2498</v>
      </c>
      <c r="T1097" t="str">
        <f t="shared" si="158"/>
        <v>"id":"s1079","cate":"IC","des":"IC MIC4422YM","mfg":"MICROCHIP","pn":"MIC4422YM-TR","qty":2316</v>
      </c>
      <c r="U1097" t="s">
        <v>2503</v>
      </c>
    </row>
    <row r="1098" spans="5:21" x14ac:dyDescent="0.25">
      <c r="E1098" t="s">
        <v>2194</v>
      </c>
      <c r="F1098" t="s">
        <v>2318</v>
      </c>
      <c r="G1098" t="s">
        <v>73</v>
      </c>
      <c r="H1098" t="s">
        <v>1508</v>
      </c>
      <c r="I1098">
        <v>2248</v>
      </c>
      <c r="K1098" t="s">
        <v>3583</v>
      </c>
      <c r="L1098" t="str">
        <f t="shared" si="157"/>
        <v>"id":"s1080",</v>
      </c>
      <c r="M1098" t="str">
        <v>"cate":"Resistor ",</v>
      </c>
      <c r="N1098" t="str">
        <v>"des":"RST 182 1/4W 1%1206",</v>
      </c>
      <c r="O1098" t="str">
        <v>"mfg":"YAGEO",</v>
      </c>
      <c r="P1098" t="str">
        <v>"pn":"RC1206FR-07182RL",</v>
      </c>
      <c r="Q1098" t="str">
        <v>"qty":2297</v>
      </c>
      <c r="S1098" t="s">
        <v>2498</v>
      </c>
      <c r="T1098" t="str">
        <f t="shared" si="158"/>
        <v>"id":"s1080","cate":"Resistor ","des":"RST 182 1/4W 1%1206","mfg":"YAGEO","pn":"RC1206FR-07182RL","qty":2297</v>
      </c>
      <c r="U1098" t="s">
        <v>2503</v>
      </c>
    </row>
    <row r="1099" spans="5:21" x14ac:dyDescent="0.25">
      <c r="E1099" t="s">
        <v>2194</v>
      </c>
      <c r="F1099" t="s">
        <v>2318</v>
      </c>
      <c r="G1099" t="s">
        <v>73</v>
      </c>
      <c r="H1099" t="s">
        <v>1509</v>
      </c>
      <c r="I1099">
        <v>2248</v>
      </c>
      <c r="K1099" t="s">
        <v>3584</v>
      </c>
      <c r="L1099" t="str">
        <f t="shared" si="157"/>
        <v>"id":"s1081",</v>
      </c>
      <c r="M1099" t="str">
        <v>"cate":"Resistor ",</v>
      </c>
      <c r="N1099" t="str">
        <v>"des":"RST 182 1/4W 1%1206",</v>
      </c>
      <c r="O1099" t="str">
        <v>"mfg":"VISHAY",</v>
      </c>
      <c r="P1099" t="str">
        <v>"pn":"CRCW1206182RFKEA",</v>
      </c>
      <c r="Q1099" t="str">
        <v>"qty":2297</v>
      </c>
      <c r="S1099" t="s">
        <v>2498</v>
      </c>
      <c r="T1099" t="str">
        <f t="shared" si="158"/>
        <v>"id":"s1081","cate":"Resistor ","des":"RST 182 1/4W 1%1206","mfg":"VISHAY","pn":"CRCW1206182RFKEA","qty":2297</v>
      </c>
      <c r="U1099" t="s">
        <v>2503</v>
      </c>
    </row>
    <row r="1100" spans="5:21" x14ac:dyDescent="0.25">
      <c r="E1100" s="6" t="s">
        <v>2382</v>
      </c>
      <c r="F1100" t="s">
        <v>1510</v>
      </c>
      <c r="G1100" t="s">
        <v>149</v>
      </c>
      <c r="H1100" t="s">
        <v>1511</v>
      </c>
      <c r="I1100">
        <v>2241</v>
      </c>
      <c r="K1100" t="s">
        <v>3585</v>
      </c>
      <c r="L1100" t="str">
        <f t="shared" si="157"/>
        <v>"id":"s1082",</v>
      </c>
      <c r="M1100" t="str">
        <v>"cate":"Resistor ",</v>
      </c>
      <c r="N1100" t="str">
        <v>"des":"RST 182 1/4W 1%1206",</v>
      </c>
      <c r="O1100" t="str">
        <v>"mfg":"KOA",</v>
      </c>
      <c r="P1100" t="str">
        <v>"pn":"RK73H2BTTD1820F",</v>
      </c>
      <c r="Q1100" t="str">
        <v>"qty":2297</v>
      </c>
      <c r="S1100" t="s">
        <v>2498</v>
      </c>
      <c r="T1100" t="str">
        <f t="shared" si="158"/>
        <v>"id":"s1082","cate":"Resistor ","des":"RST 182 1/4W 1%1206","mfg":"KOA","pn":"RK73H2BTTD1820F","qty":2297</v>
      </c>
      <c r="U1100" t="s">
        <v>2503</v>
      </c>
    </row>
    <row r="1101" spans="5:21" x14ac:dyDescent="0.25">
      <c r="E1101" t="s">
        <v>2193</v>
      </c>
      <c r="F1101" t="s">
        <v>1512</v>
      </c>
      <c r="G1101" t="s">
        <v>176</v>
      </c>
      <c r="H1101" t="s">
        <v>1513</v>
      </c>
      <c r="I1101">
        <v>2224</v>
      </c>
      <c r="K1101" t="s">
        <v>3586</v>
      </c>
      <c r="L1101" t="str">
        <f t="shared" si="157"/>
        <v>"id":"s1083",</v>
      </c>
      <c r="M1101" t="str">
        <v>"cate":"R10K",</v>
      </c>
      <c r="N1101" t="str">
        <v>"des":"R10K-1/16W1%04D",</v>
      </c>
      <c r="O1101" t="str">
        <v>"mfg":"YAGEO",</v>
      </c>
      <c r="P1101" t="str">
        <v>"pn":"RC0402FR-0710KL",</v>
      </c>
      <c r="Q1101" t="str">
        <v>"qty":2287</v>
      </c>
      <c r="S1101" t="s">
        <v>2498</v>
      </c>
      <c r="T1101" t="str">
        <f t="shared" si="158"/>
        <v>"id":"s1083","cate":"R10K","des":"R10K-1/16W1%04D","mfg":"YAGEO","pn":"RC0402FR-0710KL","qty":2287</v>
      </c>
      <c r="U1101" t="s">
        <v>2503</v>
      </c>
    </row>
    <row r="1102" spans="5:21" x14ac:dyDescent="0.25">
      <c r="E1102" t="s">
        <v>2193</v>
      </c>
      <c r="F1102" t="s">
        <v>1512</v>
      </c>
      <c r="G1102" t="s">
        <v>176</v>
      </c>
      <c r="H1102" t="s">
        <v>1514</v>
      </c>
      <c r="I1102">
        <v>2224</v>
      </c>
      <c r="K1102" t="s">
        <v>3587</v>
      </c>
      <c r="L1102" t="str">
        <f t="shared" si="157"/>
        <v>"id":"s1084",</v>
      </c>
      <c r="M1102" t="str">
        <v>"cate":"SPAC",</v>
      </c>
      <c r="N1102" t="str">
        <v>"des":"SPACER M05X12",</v>
      </c>
      <c r="O1102" t="str">
        <v>"mfg":"I.T.S FASTENERS",</v>
      </c>
      <c r="P1102" t="str">
        <v>"pn":"SPACER ID:5.3 OD:8 L:12",</v>
      </c>
      <c r="Q1102" t="str">
        <v>"qty":2284</v>
      </c>
      <c r="S1102" t="s">
        <v>2498</v>
      </c>
      <c r="T1102" t="str">
        <f t="shared" si="158"/>
        <v>"id":"s1084","cate":"SPAC","des":"SPACER M05X12","mfg":"I.T.S FASTENERS","pn":"SPACER ID:5.3 OD:8 L:12","qty":2284</v>
      </c>
      <c r="U1102" t="s">
        <v>2503</v>
      </c>
    </row>
    <row r="1103" spans="5:21" x14ac:dyDescent="0.25">
      <c r="E1103" t="s">
        <v>2193</v>
      </c>
      <c r="F1103" t="s">
        <v>1512</v>
      </c>
      <c r="G1103" t="s">
        <v>13</v>
      </c>
      <c r="H1103" t="s">
        <v>1515</v>
      </c>
      <c r="I1103">
        <v>2224</v>
      </c>
      <c r="K1103" t="s">
        <v>3588</v>
      </c>
      <c r="L1103" t="str">
        <f t="shared" si="157"/>
        <v>"id":"s1085",</v>
      </c>
      <c r="M1103" t="str">
        <v>"cate":"BOBBIN",</v>
      </c>
      <c r="N1103" t="str">
        <v>"des":"BOB EFD20/10/7-8P",</v>
      </c>
      <c r="O1103" t="str">
        <v>"mfg":"PIN SHINE INDUSTRIAL",</v>
      </c>
      <c r="P1103" t="str">
        <v>"pn":"YC-2003  8P",</v>
      </c>
      <c r="Q1103" t="str">
        <v>"qty":2283</v>
      </c>
      <c r="S1103" t="s">
        <v>2498</v>
      </c>
      <c r="T1103" t="str">
        <f t="shared" si="158"/>
        <v>"id":"s1085","cate":"BOBBIN","des":"BOB EFD20/10/7-8P","mfg":"PIN SHINE INDUSTRIAL","pn":"YC-2003  8P","qty":2283</v>
      </c>
      <c r="U1103" t="s">
        <v>2503</v>
      </c>
    </row>
    <row r="1104" spans="5:21" x14ac:dyDescent="0.25">
      <c r="E1104" t="s">
        <v>2193</v>
      </c>
      <c r="F1104" t="s">
        <v>1512</v>
      </c>
      <c r="G1104" t="s">
        <v>13</v>
      </c>
      <c r="H1104" t="s">
        <v>1516</v>
      </c>
      <c r="I1104">
        <v>2224</v>
      </c>
      <c r="K1104" t="s">
        <v>3589</v>
      </c>
      <c r="L1104" t="str">
        <f t="shared" si="157"/>
        <v>"id":"s1086",</v>
      </c>
      <c r="M1104" t="str">
        <v>"cate":"BOBBIN",</v>
      </c>
      <c r="N1104" t="str">
        <v>"des":"BOB EFD20/10/7-8P",</v>
      </c>
      <c r="O1104" t="str">
        <v>"mfg":"TDK",</v>
      </c>
      <c r="P1104" t="str">
        <v>"pn":"B66418W1008D001",</v>
      </c>
      <c r="Q1104" t="str">
        <v>"qty":2283</v>
      </c>
      <c r="S1104" t="s">
        <v>2498</v>
      </c>
      <c r="T1104" t="str">
        <f t="shared" si="158"/>
        <v>"id":"s1086","cate":"BOBBIN","des":"BOB EFD20/10/7-8P","mfg":"TDK","pn":"B66418W1008D001","qty":2283</v>
      </c>
      <c r="U1104" t="s">
        <v>2503</v>
      </c>
    </row>
    <row r="1105" spans="5:21" x14ac:dyDescent="0.25">
      <c r="E1105" t="s">
        <v>2405</v>
      </c>
      <c r="F1105" t="s">
        <v>2450</v>
      </c>
      <c r="G1105" t="s">
        <v>57</v>
      </c>
      <c r="H1105" t="s">
        <v>1517</v>
      </c>
      <c r="I1105">
        <v>2214</v>
      </c>
      <c r="K1105" t="s">
        <v>3590</v>
      </c>
      <c r="L1105" t="str">
        <f t="shared" si="157"/>
        <v>"id":"s1087",</v>
      </c>
      <c r="M1105" t="str">
        <v>"cate":"BOBBIN",</v>
      </c>
      <c r="N1105" t="str">
        <v>"des":"BOB EFD20/10/7-8P",</v>
      </c>
      <c r="O1105" t="str">
        <v>"mfg":"YING CHIN",</v>
      </c>
      <c r="P1105" t="str">
        <v>"pn":"YC-2003  8P",</v>
      </c>
      <c r="Q1105" t="str">
        <v>"qty":2283</v>
      </c>
      <c r="S1105" t="s">
        <v>2498</v>
      </c>
      <c r="T1105" t="str">
        <f t="shared" si="158"/>
        <v>"id":"s1087","cate":"BOBBIN","des":"BOB EFD20/10/7-8P","mfg":"YING CHIN","pn":"YC-2003  8P","qty":2283</v>
      </c>
      <c r="U1105" t="s">
        <v>2503</v>
      </c>
    </row>
    <row r="1106" spans="5:21" x14ac:dyDescent="0.25">
      <c r="E1106" t="s">
        <v>2405</v>
      </c>
      <c r="F1106" t="s">
        <v>2450</v>
      </c>
      <c r="G1106" t="s">
        <v>37</v>
      </c>
      <c r="H1106" t="s">
        <v>1518</v>
      </c>
      <c r="I1106">
        <v>2214</v>
      </c>
      <c r="K1106" t="s">
        <v>3591</v>
      </c>
      <c r="L1106" t="str">
        <f t="shared" si="157"/>
        <v>"id":"s1088",</v>
      </c>
      <c r="M1106" t="str">
        <v>"cate":"FUSE",</v>
      </c>
      <c r="N1106" t="str">
        <v>"des":"FUSE 6A690V 10X38MM",</v>
      </c>
      <c r="O1106" t="str">
        <v>"mfg":"LITTELFUSE",</v>
      </c>
      <c r="P1106" t="str">
        <v>"pn":"0KLK006.T",</v>
      </c>
      <c r="Q1106" t="str">
        <v>"qty":2259</v>
      </c>
      <c r="S1106" t="s">
        <v>2498</v>
      </c>
      <c r="T1106" t="str">
        <f t="shared" si="158"/>
        <v>"id":"s1088","cate":"FUSE","des":"FUSE 6A690V 10X38MM","mfg":"LITTELFUSE","pn":"0KLK006.T","qty":2259</v>
      </c>
      <c r="U1106" t="s">
        <v>2503</v>
      </c>
    </row>
    <row r="1107" spans="5:21" x14ac:dyDescent="0.25">
      <c r="E1107" t="s">
        <v>2405</v>
      </c>
      <c r="F1107" t="s">
        <v>2450</v>
      </c>
      <c r="G1107" t="s">
        <v>61</v>
      </c>
      <c r="H1107" t="s">
        <v>1519</v>
      </c>
      <c r="I1107">
        <v>2214</v>
      </c>
      <c r="K1107" t="s">
        <v>3592</v>
      </c>
      <c r="L1107" t="str">
        <f t="shared" si="157"/>
        <v>"id":"s1089",</v>
      </c>
      <c r="M1107" t="str">
        <v>"cate":"FUSE",</v>
      </c>
      <c r="N1107" t="str">
        <v>"des":"FUSE 6A690V 10X38MM",</v>
      </c>
      <c r="O1107" t="str">
        <v>"mfg":"EATON",</v>
      </c>
      <c r="P1107" t="str">
        <v>"pn":"KTK-6",</v>
      </c>
      <c r="Q1107" t="str">
        <v>"qty":2259</v>
      </c>
      <c r="S1107" t="s">
        <v>2498</v>
      </c>
      <c r="T1107" t="str">
        <f t="shared" si="158"/>
        <v>"id":"s1089","cate":"FUSE","des":"FUSE 6A690V 10X38MM","mfg":"EATON","pn":"KTK-6","qty":2259</v>
      </c>
      <c r="U1107" t="s">
        <v>2503</v>
      </c>
    </row>
    <row r="1108" spans="5:21" x14ac:dyDescent="0.25">
      <c r="E1108" t="s">
        <v>2405</v>
      </c>
      <c r="F1108" t="s">
        <v>2450</v>
      </c>
      <c r="G1108" t="s">
        <v>1292</v>
      </c>
      <c r="H1108" t="s">
        <v>1520</v>
      </c>
      <c r="I1108">
        <v>2214</v>
      </c>
      <c r="K1108" t="s">
        <v>3593</v>
      </c>
      <c r="L1108" t="str">
        <f t="shared" ref="L1108:L1171" si="159">_xlfn.CONCAT("""","id","""",":","""",K1108,"""",",")</f>
        <v>"id":"s1090",</v>
      </c>
      <c r="M1108" t="str">
        <v>"cate":"IC",</v>
      </c>
      <c r="N1108" t="str">
        <v>"des":"IC LM2901D",</v>
      </c>
      <c r="O1108" t="str">
        <v>"mfg":"STMICROELECTRONICS",</v>
      </c>
      <c r="P1108" t="str">
        <v>"pn":"LM2901D",</v>
      </c>
      <c r="Q1108" t="str">
        <v>"qty":2254</v>
      </c>
      <c r="S1108" t="s">
        <v>2498</v>
      </c>
      <c r="T1108" t="str">
        <f t="shared" ref="T1108:T1171" si="160">_xlfn.CONCAT(L1108:Q1108)</f>
        <v>"id":"s1090","cate":"IC","des":"IC LM2901D","mfg":"STMICROELECTRONICS","pn":"LM2901D","qty":2254</v>
      </c>
      <c r="U1108" t="s">
        <v>2503</v>
      </c>
    </row>
    <row r="1109" spans="5:21" x14ac:dyDescent="0.25">
      <c r="E1109" t="s">
        <v>2122</v>
      </c>
      <c r="F1109" t="s">
        <v>1521</v>
      </c>
      <c r="G1109" t="s">
        <v>1467</v>
      </c>
      <c r="H1109" t="s">
        <v>1522</v>
      </c>
      <c r="I1109">
        <v>2214</v>
      </c>
      <c r="K1109" t="s">
        <v>3594</v>
      </c>
      <c r="L1109" t="str">
        <f t="shared" si="159"/>
        <v>"id":"s1091",</v>
      </c>
      <c r="M1109" t="str">
        <v>"cate":"IC",</v>
      </c>
      <c r="N1109" t="str">
        <v>"des":"IC LM2901D",</v>
      </c>
      <c r="O1109" t="str">
        <v>"mfg":"STMICROELECTRONICS",</v>
      </c>
      <c r="P1109" t="str">
        <v>"pn":"LM2901DT",</v>
      </c>
      <c r="Q1109" t="str">
        <v>"qty":2254</v>
      </c>
      <c r="S1109" t="s">
        <v>2498</v>
      </c>
      <c r="T1109" t="str">
        <f t="shared" si="160"/>
        <v>"id":"s1091","cate":"IC","des":"IC LM2901D","mfg":"STMICROELECTRONICS","pn":"LM2901DT","qty":2254</v>
      </c>
      <c r="U1109" t="s">
        <v>2503</v>
      </c>
    </row>
    <row r="1110" spans="5:21" x14ac:dyDescent="0.25">
      <c r="E1110" t="s">
        <v>2193</v>
      </c>
      <c r="F1110" t="s">
        <v>1523</v>
      </c>
      <c r="G1110" t="s">
        <v>5</v>
      </c>
      <c r="H1110" t="s">
        <v>1524</v>
      </c>
      <c r="I1110">
        <v>2211</v>
      </c>
      <c r="K1110" t="s">
        <v>3595</v>
      </c>
      <c r="L1110" t="str">
        <f t="shared" si="159"/>
        <v>"id":"s1092",</v>
      </c>
      <c r="M1110" t="str">
        <v>"cate":"Capacitor",</v>
      </c>
      <c r="N1110" t="str">
        <v>"des":"Capacitor 100UF 6,3V1210",</v>
      </c>
      <c r="O1110" t="str">
        <v>"mfg":"MURATA MANUFACTURING",</v>
      </c>
      <c r="P1110" t="str">
        <v>"pn":"GRM32ER60J107ME20",</v>
      </c>
      <c r="Q1110" t="str">
        <v>"qty":2248</v>
      </c>
      <c r="S1110" t="s">
        <v>2498</v>
      </c>
      <c r="T1110" t="str">
        <f t="shared" si="160"/>
        <v>"id":"s1092","cate":"Capacitor","des":"Capacitor 100UF 6,3V1210","mfg":"MURATA MANUFACTURING","pn":"GRM32ER60J107ME20","qty":2248</v>
      </c>
      <c r="U1110" t="s">
        <v>2503</v>
      </c>
    </row>
    <row r="1111" spans="5:21" x14ac:dyDescent="0.25">
      <c r="E1111" t="s">
        <v>2194</v>
      </c>
      <c r="F1111" t="s">
        <v>2319</v>
      </c>
      <c r="G1111" t="s">
        <v>47</v>
      </c>
      <c r="H1111" t="s">
        <v>1525</v>
      </c>
      <c r="I1111">
        <v>2203</v>
      </c>
      <c r="K1111" t="s">
        <v>3596</v>
      </c>
      <c r="L1111" t="str">
        <f t="shared" si="159"/>
        <v>"id":"s1093",</v>
      </c>
      <c r="M1111" t="str">
        <v>"cate":"Capacitor",</v>
      </c>
      <c r="N1111" t="str">
        <v>"des":"Capacitor 100UF 6,3V1210",</v>
      </c>
      <c r="O1111" t="str">
        <v>"mfg":"TAIYO YUDEN",</v>
      </c>
      <c r="P1111" t="str">
        <v>"pn":"JMK325ABJ107MM-P",</v>
      </c>
      <c r="Q1111" t="str">
        <v>"qty":2248</v>
      </c>
      <c r="S1111" t="s">
        <v>2498</v>
      </c>
      <c r="T1111" t="str">
        <f t="shared" si="160"/>
        <v>"id":"s1093","cate":"Capacitor","des":"Capacitor 100UF 6,3V1210","mfg":"TAIYO YUDEN","pn":"JMK325ABJ107MM-P","qty":2248</v>
      </c>
      <c r="U1111" t="s">
        <v>2503</v>
      </c>
    </row>
    <row r="1112" spans="5:21" x14ac:dyDescent="0.25">
      <c r="E1112" t="s">
        <v>2194</v>
      </c>
      <c r="F1112" t="s">
        <v>2319</v>
      </c>
      <c r="G1112" t="s">
        <v>47</v>
      </c>
      <c r="H1112" t="s">
        <v>1526</v>
      </c>
      <c r="I1112">
        <v>2203</v>
      </c>
      <c r="K1112" t="s">
        <v>3597</v>
      </c>
      <c r="L1112" t="str">
        <f t="shared" si="159"/>
        <v>"id":"s1094",</v>
      </c>
      <c r="M1112" t="str">
        <v>"cate":"Capacitor",</v>
      </c>
      <c r="N1112" t="str">
        <v>"des":"Capacitor 100UF 6,3V1210",</v>
      </c>
      <c r="O1112" t="str">
        <v>"mfg":"TAIYO YUDEN",</v>
      </c>
      <c r="P1112" t="str">
        <v>"pn":"JMK325ABJ107MM-T",</v>
      </c>
      <c r="Q1112" t="str">
        <v>"qty":2248</v>
      </c>
      <c r="S1112" t="s">
        <v>2498</v>
      </c>
      <c r="T1112" t="str">
        <f t="shared" si="160"/>
        <v>"id":"s1094","cate":"Capacitor","des":"Capacitor 100UF 6,3V1210","mfg":"TAIYO YUDEN","pn":"JMK325ABJ107MM-T","qty":2248</v>
      </c>
      <c r="U1112" t="s">
        <v>2503</v>
      </c>
    </row>
    <row r="1113" spans="5:21" x14ac:dyDescent="0.25">
      <c r="E1113" s="6" t="s">
        <v>2382</v>
      </c>
      <c r="F1113" t="s">
        <v>1527</v>
      </c>
      <c r="G1113" t="s">
        <v>2467</v>
      </c>
      <c r="H1113" t="s">
        <v>1528</v>
      </c>
      <c r="I1113">
        <v>2188</v>
      </c>
      <c r="K1113" t="s">
        <v>3598</v>
      </c>
      <c r="L1113" t="str">
        <f t="shared" si="159"/>
        <v>"id":"s1095",</v>
      </c>
      <c r="M1113" t="str">
        <v>"cate":"IC",</v>
      </c>
      <c r="N1113" t="str">
        <v>"des":"IC LMV797MM",</v>
      </c>
      <c r="O1113" t="str">
        <v>"mfg":"TEXAS INSTRUMENTS",</v>
      </c>
      <c r="P1113" t="str">
        <v>"pn":"LMV797MM/NOPB",</v>
      </c>
      <c r="Q1113" t="str">
        <v>"qty":2241</v>
      </c>
      <c r="S1113" t="s">
        <v>2498</v>
      </c>
      <c r="T1113" t="str">
        <f t="shared" si="160"/>
        <v>"id":"s1095","cate":"IC","des":"IC LMV797MM","mfg":"TEXAS INSTRUMENTS","pn":"LMV797MM/NOPB","qty":2241</v>
      </c>
      <c r="U1113" t="s">
        <v>2503</v>
      </c>
    </row>
    <row r="1114" spans="5:21" x14ac:dyDescent="0.25">
      <c r="E1114" t="s">
        <v>2193</v>
      </c>
      <c r="F1114" t="s">
        <v>1529</v>
      </c>
      <c r="G1114" t="s">
        <v>37</v>
      </c>
      <c r="H1114" t="s">
        <v>1530</v>
      </c>
      <c r="I1114">
        <v>2179</v>
      </c>
      <c r="K1114" t="s">
        <v>3599</v>
      </c>
      <c r="L1114" t="str">
        <f t="shared" si="159"/>
        <v>"id":"s1096",</v>
      </c>
      <c r="M1114" t="str">
        <v>"cate":"Resistor ",</v>
      </c>
      <c r="N1114" t="str">
        <v>"des":"RST 11K ,1W ,1% 603",</v>
      </c>
      <c r="O1114" t="str">
        <v>"mfg":"PANASONIC",</v>
      </c>
      <c r="P1114" t="str">
        <v>"pn":"ERA-3AEB1102V",</v>
      </c>
      <c r="Q1114" t="str">
        <v>"qty":2224</v>
      </c>
      <c r="S1114" t="s">
        <v>2498</v>
      </c>
      <c r="T1114" t="str">
        <f t="shared" si="160"/>
        <v>"id":"s1096","cate":"Resistor ","des":"RST 11K ,1W ,1% 603","mfg":"PANASONIC","pn":"ERA-3AEB1102V","qty":2224</v>
      </c>
      <c r="U1114" t="s">
        <v>2503</v>
      </c>
    </row>
    <row r="1115" spans="5:21" x14ac:dyDescent="0.25">
      <c r="E1115" t="s">
        <v>2193</v>
      </c>
      <c r="F1115" t="s">
        <v>1529</v>
      </c>
      <c r="G1115" t="s">
        <v>5</v>
      </c>
      <c r="H1115" t="s">
        <v>1531</v>
      </c>
      <c r="I1115">
        <v>2179</v>
      </c>
      <c r="K1115" t="s">
        <v>3600</v>
      </c>
      <c r="L1115" t="str">
        <f t="shared" si="159"/>
        <v>"id":"s1097",</v>
      </c>
      <c r="M1115" t="str">
        <v>"cate":"Resistor ",</v>
      </c>
      <c r="N1115" t="str">
        <v>"des":"RST 11K ,1W ,1% 603",</v>
      </c>
      <c r="O1115" t="str">
        <v>"mfg":"PANASONIC",</v>
      </c>
      <c r="P1115" t="str">
        <v>"pn":"ERA-3AEB113V",</v>
      </c>
      <c r="Q1115" t="str">
        <v>"qty":2224</v>
      </c>
      <c r="S1115" t="s">
        <v>2498</v>
      </c>
      <c r="T1115" t="str">
        <f t="shared" si="160"/>
        <v>"id":"s1097","cate":"Resistor ","des":"RST 11K ,1W ,1% 603","mfg":"PANASONIC","pn":"ERA-3AEB113V","qty":2224</v>
      </c>
      <c r="U1115" t="s">
        <v>2503</v>
      </c>
    </row>
    <row r="1116" spans="5:21" x14ac:dyDescent="0.25">
      <c r="E1116" t="s">
        <v>2193</v>
      </c>
      <c r="F1116" t="s">
        <v>1529</v>
      </c>
      <c r="G1116" t="s">
        <v>5</v>
      </c>
      <c r="H1116" t="s">
        <v>1532</v>
      </c>
      <c r="I1116">
        <v>2179</v>
      </c>
      <c r="K1116" t="s">
        <v>3601</v>
      </c>
      <c r="L1116" t="str">
        <f t="shared" si="159"/>
        <v>"id":"s1098",</v>
      </c>
      <c r="M1116" t="str">
        <v>"cate":"Resistor ",</v>
      </c>
      <c r="N1116" t="str">
        <v>"des":"RST 11K ,1W ,1% 603",</v>
      </c>
      <c r="O1116" t="str">
        <v>"mfg":"YAGEO",</v>
      </c>
      <c r="P1116" t="str">
        <v>"pn":"AT0603BRD0711KL",</v>
      </c>
      <c r="Q1116" t="str">
        <v>"qty":2224</v>
      </c>
      <c r="S1116" t="s">
        <v>2498</v>
      </c>
      <c r="T1116" t="str">
        <f t="shared" si="160"/>
        <v>"id":"s1098","cate":"Resistor ","des":"RST 11K ,1W ,1% 603","mfg":"YAGEO","pn":"AT0603BRD0711KL","qty":2224</v>
      </c>
      <c r="U1116" t="s">
        <v>2503</v>
      </c>
    </row>
    <row r="1117" spans="5:21" x14ac:dyDescent="0.25">
      <c r="E1117" t="s">
        <v>2193</v>
      </c>
      <c r="F1117" t="s">
        <v>1533</v>
      </c>
      <c r="G1117" t="s">
        <v>13</v>
      </c>
      <c r="H1117" t="s">
        <v>1534</v>
      </c>
      <c r="I1117">
        <v>2178</v>
      </c>
      <c r="K1117" t="s">
        <v>3602</v>
      </c>
      <c r="L1117" t="str">
        <f t="shared" si="159"/>
        <v>"id":"s1099",</v>
      </c>
      <c r="M1117" t="str">
        <v>"cate":"Resistor ",</v>
      </c>
      <c r="N1117" t="str">
        <v>"des":"RST 11K ,1W ,1% 603",</v>
      </c>
      <c r="O1117" t="str">
        <v>"mfg":"YAGEO",</v>
      </c>
      <c r="P1117" t="str">
        <v>"pn":"RT0603BRD0711KL",</v>
      </c>
      <c r="Q1117" t="str">
        <v>"qty":2224</v>
      </c>
      <c r="S1117" t="s">
        <v>2498</v>
      </c>
      <c r="T1117" t="str">
        <f t="shared" si="160"/>
        <v>"id":"s1099","cate":"Resistor ","des":"RST 11K ,1W ,1% 603","mfg":"YAGEO","pn":"RT0603BRD0711KL","qty":2224</v>
      </c>
      <c r="U1117" t="s">
        <v>2503</v>
      </c>
    </row>
    <row r="1118" spans="5:21" x14ac:dyDescent="0.25">
      <c r="E1118" t="s">
        <v>2139</v>
      </c>
      <c r="F1118" t="s">
        <v>1535</v>
      </c>
      <c r="G1118" t="s">
        <v>13</v>
      </c>
      <c r="H1118" t="s">
        <v>1536</v>
      </c>
      <c r="I1118">
        <v>2165</v>
      </c>
      <c r="K1118" t="s">
        <v>3603</v>
      </c>
      <c r="L1118" t="str">
        <f t="shared" si="159"/>
        <v>"id":"s1100",</v>
      </c>
      <c r="M1118" t="str">
        <v>"cate":"Diode",</v>
      </c>
      <c r="N1118" t="str">
        <v>"des":"DiodeE TVS 100V SMB",</v>
      </c>
      <c r="O1118" t="str">
        <v>"mfg":"LITTELFUSE",</v>
      </c>
      <c r="P1118" t="str">
        <v>"pn":"P6SMBJ100A",</v>
      </c>
      <c r="Q1118" t="str">
        <v>"qty":2214</v>
      </c>
      <c r="S1118" t="s">
        <v>2498</v>
      </c>
      <c r="T1118" t="str">
        <f t="shared" si="160"/>
        <v>"id":"s1100","cate":"Diode","des":"DiodeE TVS 100V SMB","mfg":"LITTELFUSE","pn":"P6SMBJ100A","qty":2214</v>
      </c>
      <c r="U1118" t="s">
        <v>2503</v>
      </c>
    </row>
    <row r="1119" spans="5:21" x14ac:dyDescent="0.25">
      <c r="E1119" t="s">
        <v>2139</v>
      </c>
      <c r="F1119" t="s">
        <v>1535</v>
      </c>
      <c r="G1119" t="s">
        <v>49</v>
      </c>
      <c r="H1119" t="s">
        <v>1537</v>
      </c>
      <c r="I1119">
        <v>2165</v>
      </c>
      <c r="K1119" t="s">
        <v>3604</v>
      </c>
      <c r="L1119" t="str">
        <f t="shared" si="159"/>
        <v>"id":"s1101",</v>
      </c>
      <c r="M1119" t="str">
        <v>"cate":"Diode",</v>
      </c>
      <c r="N1119" t="str">
        <v>"des":"DiodeE TVS 100V SMB",</v>
      </c>
      <c r="O1119" t="str">
        <v>"mfg":"VISHAY",</v>
      </c>
      <c r="P1119" t="str">
        <v>"pn":"P6SMB100A-E3/52",</v>
      </c>
      <c r="Q1119" t="str">
        <v>"qty":2214</v>
      </c>
      <c r="S1119" t="s">
        <v>2498</v>
      </c>
      <c r="T1119" t="str">
        <f t="shared" si="160"/>
        <v>"id":"s1101","cate":"Diode","des":"DiodeE TVS 100V SMB","mfg":"VISHAY","pn":"P6SMB100A-E3/52","qty":2214</v>
      </c>
      <c r="U1119" t="s">
        <v>2503</v>
      </c>
    </row>
    <row r="1120" spans="5:21" x14ac:dyDescent="0.25">
      <c r="E1120" t="s">
        <v>2139</v>
      </c>
      <c r="F1120" t="s">
        <v>1535</v>
      </c>
      <c r="G1120" t="s">
        <v>49</v>
      </c>
      <c r="H1120" t="s">
        <v>1538</v>
      </c>
      <c r="I1120">
        <v>2165</v>
      </c>
      <c r="K1120" t="s">
        <v>3605</v>
      </c>
      <c r="L1120" t="str">
        <f t="shared" si="159"/>
        <v>"id":"s1102",</v>
      </c>
      <c r="M1120" t="str">
        <v>"cate":"Diode",</v>
      </c>
      <c r="N1120" t="str">
        <v>"des":"DiodeE TVS 100V SMB",</v>
      </c>
      <c r="O1120" t="str">
        <v>"mfg":"STMICROELECTRONICS",</v>
      </c>
      <c r="P1120" t="str">
        <v>"pn":"SM6T100A",</v>
      </c>
      <c r="Q1120" t="str">
        <v>"qty":2214</v>
      </c>
      <c r="S1120" t="s">
        <v>2498</v>
      </c>
      <c r="T1120" t="str">
        <f t="shared" si="160"/>
        <v>"id":"s1102","cate":"Diode","des":"DiodeE TVS 100V SMB","mfg":"STMICROELECTRONICS","pn":"SM6T100A","qty":2214</v>
      </c>
      <c r="U1120" t="s">
        <v>2503</v>
      </c>
    </row>
    <row r="1121" spans="5:21" x14ac:dyDescent="0.25">
      <c r="E1121" t="s">
        <v>2127</v>
      </c>
      <c r="F1121" t="s">
        <v>1539</v>
      </c>
      <c r="G1121" t="s">
        <v>64</v>
      </c>
      <c r="H1121" t="s">
        <v>1540</v>
      </c>
      <c r="I1121">
        <v>2160</v>
      </c>
      <c r="K1121" t="s">
        <v>3606</v>
      </c>
      <c r="L1121" t="str">
        <f t="shared" si="159"/>
        <v>"id":"s1103",</v>
      </c>
      <c r="M1121" t="str">
        <v>"cate":"Diode",</v>
      </c>
      <c r="N1121" t="str">
        <v>"des":"DiodeE TVS 100V SMB",</v>
      </c>
      <c r="O1121" t="str">
        <v>"mfg":"FAGOR",</v>
      </c>
      <c r="P1121" t="str">
        <v>"pn":"P6SMB100A",</v>
      </c>
      <c r="Q1121" t="str">
        <v>"qty":2214</v>
      </c>
      <c r="S1121" t="s">
        <v>2498</v>
      </c>
      <c r="T1121" t="str">
        <f t="shared" si="160"/>
        <v>"id":"s1103","cate":"Diode","des":"DiodeE TVS 100V SMB","mfg":"FAGOR","pn":"P6SMB100A","qty":2214</v>
      </c>
      <c r="U1121" t="s">
        <v>2503</v>
      </c>
    </row>
    <row r="1122" spans="5:21" x14ac:dyDescent="0.25">
      <c r="E1122" t="s">
        <v>2193</v>
      </c>
      <c r="F1122" t="s">
        <v>1541</v>
      </c>
      <c r="G1122" t="s">
        <v>320</v>
      </c>
      <c r="H1122" t="s">
        <v>1542</v>
      </c>
      <c r="I1122">
        <v>2158</v>
      </c>
      <c r="K1122" t="s">
        <v>3607</v>
      </c>
      <c r="L1122" t="str">
        <f t="shared" si="159"/>
        <v>"id":"s1104",</v>
      </c>
      <c r="M1122" t="str">
        <v>"cate":"NTC ",</v>
      </c>
      <c r="N1122" t="str">
        <v>"des":"NTC 40R 4,1A 25% TH",</v>
      </c>
      <c r="O1122" t="str">
        <v>"mfg":"AMETHERM",</v>
      </c>
      <c r="P1122" t="str">
        <v>"pn":"MS15 40004",</v>
      </c>
      <c r="Q1122" t="str">
        <v>"qty":2214</v>
      </c>
      <c r="S1122" t="s">
        <v>2498</v>
      </c>
      <c r="T1122" t="str">
        <f t="shared" si="160"/>
        <v>"id":"s1104","cate":"NTC ","des":"NTC 40R 4,1A 25% TH","mfg":"AMETHERM","pn":"MS15 40004","qty":2214</v>
      </c>
      <c r="U1122" t="s">
        <v>2503</v>
      </c>
    </row>
    <row r="1123" spans="5:21" x14ac:dyDescent="0.25">
      <c r="E1123" t="s">
        <v>2193</v>
      </c>
      <c r="F1123" t="s">
        <v>1541</v>
      </c>
      <c r="G1123" t="s">
        <v>207</v>
      </c>
      <c r="H1123" t="s">
        <v>1543</v>
      </c>
      <c r="I1123">
        <v>2158</v>
      </c>
      <c r="K1123" t="s">
        <v>3608</v>
      </c>
      <c r="L1123" t="str">
        <f t="shared" si="159"/>
        <v>"id":"s1105",</v>
      </c>
      <c r="M1123" t="str">
        <v>"cate":"Resistor ",</v>
      </c>
      <c r="N1123" t="str">
        <v>"des":"RST 120 1/4W 5%1206",</v>
      </c>
      <c r="O1123" t="str">
        <v>"mfg":"KOA",</v>
      </c>
      <c r="P1123" t="str">
        <v>"pn":"RK73B2BTTD121J",</v>
      </c>
      <c r="Q1123" t="str">
        <v>"qty":2211</v>
      </c>
      <c r="S1123" t="s">
        <v>2498</v>
      </c>
      <c r="T1123" t="str">
        <f t="shared" si="160"/>
        <v>"id":"s1105","cate":"Resistor ","des":"RST 120 1/4W 5%1206","mfg":"KOA","pn":"RK73B2BTTD121J","qty":2211</v>
      </c>
      <c r="U1123" t="s">
        <v>2503</v>
      </c>
    </row>
    <row r="1124" spans="5:21" x14ac:dyDescent="0.25">
      <c r="E1124" s="6" t="s">
        <v>2382</v>
      </c>
      <c r="F1124" t="s">
        <v>1544</v>
      </c>
      <c r="G1124" t="s">
        <v>1545</v>
      </c>
      <c r="H1124" t="s">
        <v>1546</v>
      </c>
      <c r="I1124">
        <v>2155</v>
      </c>
      <c r="K1124" t="s">
        <v>3609</v>
      </c>
      <c r="L1124" t="str">
        <f t="shared" si="159"/>
        <v>"id":"s1106",</v>
      </c>
      <c r="M1124" t="str">
        <v>"cate":"Capacitor",</v>
      </c>
      <c r="N1124" t="str">
        <v>"des":"Capacitor 2,2UF 50V 1206",</v>
      </c>
      <c r="O1124" t="str">
        <v>"mfg":"KEMET",</v>
      </c>
      <c r="P1124" t="str">
        <v>"pn":"C1206C225M5RACTU",</v>
      </c>
      <c r="Q1124" t="str">
        <v>"qty":2203</v>
      </c>
      <c r="S1124" t="s">
        <v>2498</v>
      </c>
      <c r="T1124" t="str">
        <f t="shared" si="160"/>
        <v>"id":"s1106","cate":"Capacitor","des":"Capacitor 2,2UF 50V 1206","mfg":"KEMET","pn":"C1206C225M5RACTU","qty":2203</v>
      </c>
      <c r="U1124" t="s">
        <v>2503</v>
      </c>
    </row>
    <row r="1125" spans="5:21" x14ac:dyDescent="0.25">
      <c r="E1125" s="6" t="s">
        <v>2382</v>
      </c>
      <c r="F1125" t="s">
        <v>1544</v>
      </c>
      <c r="G1125" t="s">
        <v>1545</v>
      </c>
      <c r="H1125" t="s">
        <v>1547</v>
      </c>
      <c r="I1125">
        <v>2155</v>
      </c>
      <c r="K1125" t="s">
        <v>3610</v>
      </c>
      <c r="L1125" t="str">
        <f t="shared" si="159"/>
        <v>"id":"s1107",</v>
      </c>
      <c r="M1125" t="str">
        <v>"cate":"Capacitor",</v>
      </c>
      <c r="N1125" t="str">
        <v>"des":"Capacitor 2,2UF 50V 1206",</v>
      </c>
      <c r="O1125" t="str">
        <v>"mfg":"KEMET",</v>
      </c>
      <c r="P1125" t="str">
        <v>"pn":"C1206C225M5RAC7800",</v>
      </c>
      <c r="Q1125" t="str">
        <v>"qty":2203</v>
      </c>
      <c r="S1125" t="s">
        <v>2498</v>
      </c>
      <c r="T1125" t="str">
        <f t="shared" si="160"/>
        <v>"id":"s1107","cate":"Capacitor","des":"Capacitor 2,2UF 50V 1206","mfg":"KEMET","pn":"C1206C225M5RAC7800","qty":2203</v>
      </c>
      <c r="U1125" t="s">
        <v>2503</v>
      </c>
    </row>
    <row r="1126" spans="5:21" x14ac:dyDescent="0.25">
      <c r="E1126" t="s">
        <v>2154</v>
      </c>
      <c r="F1126" t="s">
        <v>1548</v>
      </c>
      <c r="G1126" t="s">
        <v>1549</v>
      </c>
      <c r="H1126" t="s">
        <v>1550</v>
      </c>
      <c r="I1126">
        <v>2153</v>
      </c>
      <c r="K1126" t="s">
        <v>3611</v>
      </c>
      <c r="L1126" t="str">
        <f t="shared" si="159"/>
        <v>"id":"s1108",</v>
      </c>
      <c r="M1126" t="str">
        <v>"cate":"IC",</v>
      </c>
      <c r="N1126" t="str">
        <v>"des":"IC AP63200WU-7",</v>
      </c>
      <c r="O1126" t="str">
        <v>"mfg":"DiodeES INC.",</v>
      </c>
      <c r="P1126" t="str">
        <v>"pn":"AP63200WU-7",</v>
      </c>
      <c r="Q1126" t="str">
        <v>"qty":2188</v>
      </c>
      <c r="S1126" t="s">
        <v>2498</v>
      </c>
      <c r="T1126" t="str">
        <f t="shared" si="160"/>
        <v>"id":"s1108","cate":"IC","des":"IC AP63200WU-7","mfg":"DiodeES INC.","pn":"AP63200WU-7","qty":2188</v>
      </c>
      <c r="U1126" t="s">
        <v>2503</v>
      </c>
    </row>
    <row r="1127" spans="5:21" x14ac:dyDescent="0.25">
      <c r="E1127" t="s">
        <v>2154</v>
      </c>
      <c r="F1127" t="s">
        <v>1548</v>
      </c>
      <c r="G1127" t="s">
        <v>1549</v>
      </c>
      <c r="H1127" t="s">
        <v>1551</v>
      </c>
      <c r="I1127">
        <v>2153</v>
      </c>
      <c r="K1127" t="s">
        <v>3612</v>
      </c>
      <c r="L1127" t="str">
        <f t="shared" si="159"/>
        <v>"id":"s1109",</v>
      </c>
      <c r="M1127" t="str">
        <v>"cate":"Resistor ",</v>
      </c>
      <c r="N1127" t="str">
        <v>"des":"RST 15K 1/8W 1%805B",</v>
      </c>
      <c r="O1127" t="str">
        <v>"mfg":"VISHAY",</v>
      </c>
      <c r="P1127" t="str">
        <v>"pn":"MCU08050D1502BP100",</v>
      </c>
      <c r="Q1127" t="str">
        <v>"qty":2179</v>
      </c>
      <c r="S1127" t="s">
        <v>2498</v>
      </c>
      <c r="T1127" t="str">
        <f t="shared" si="160"/>
        <v>"id":"s1109","cate":"Resistor ","des":"RST 15K 1/8W 1%805B","mfg":"VISHAY","pn":"MCU08050D1502BP100","qty":2179</v>
      </c>
      <c r="U1127" t="s">
        <v>2503</v>
      </c>
    </row>
    <row r="1128" spans="5:21" x14ac:dyDescent="0.25">
      <c r="E1128" t="s">
        <v>2154</v>
      </c>
      <c r="F1128" t="s">
        <v>1548</v>
      </c>
      <c r="G1128" t="s">
        <v>1549</v>
      </c>
      <c r="H1128" t="s">
        <v>1552</v>
      </c>
      <c r="I1128">
        <v>2153</v>
      </c>
      <c r="K1128" t="s">
        <v>3613</v>
      </c>
      <c r="L1128" t="str">
        <f t="shared" si="159"/>
        <v>"id":"s1110",</v>
      </c>
      <c r="M1128" t="str">
        <v>"cate":"Resistor ",</v>
      </c>
      <c r="N1128" t="str">
        <v>"des":"RST 15K 1/8W 1%805B",</v>
      </c>
      <c r="O1128" t="str">
        <v>"mfg":"KOA",</v>
      </c>
      <c r="P1128" t="str">
        <v>"pn":"RN73R2ATTD1502B25",</v>
      </c>
      <c r="Q1128" t="str">
        <v>"qty":2179</v>
      </c>
      <c r="S1128" t="s">
        <v>2498</v>
      </c>
      <c r="T1128" t="str">
        <f t="shared" si="160"/>
        <v>"id":"s1110","cate":"Resistor ","des":"RST 15K 1/8W 1%805B","mfg":"KOA","pn":"RN73R2ATTD1502B25","qty":2179</v>
      </c>
      <c r="U1128" t="s">
        <v>2503</v>
      </c>
    </row>
    <row r="1129" spans="5:21" x14ac:dyDescent="0.25">
      <c r="E1129" t="s">
        <v>2154</v>
      </c>
      <c r="F1129" t="s">
        <v>1548</v>
      </c>
      <c r="G1129" t="s">
        <v>1553</v>
      </c>
      <c r="H1129" t="s">
        <v>1554</v>
      </c>
      <c r="I1129">
        <v>2153</v>
      </c>
      <c r="K1129" t="s">
        <v>3614</v>
      </c>
      <c r="L1129" t="str">
        <f t="shared" si="159"/>
        <v>"id":"s1111",</v>
      </c>
      <c r="M1129" t="str">
        <v>"cate":"Resistor ",</v>
      </c>
      <c r="N1129" t="str">
        <v>"des":"RST 15K 1/8W 1%805B",</v>
      </c>
      <c r="O1129" t="str">
        <v>"mfg":"KOA",</v>
      </c>
      <c r="P1129" t="str">
        <v>"pn":"RN732AT(  )1502B25",</v>
      </c>
      <c r="Q1129" t="str">
        <v>"qty":2179</v>
      </c>
      <c r="S1129" t="s">
        <v>2498</v>
      </c>
      <c r="T1129" t="str">
        <f t="shared" si="160"/>
        <v>"id":"s1111","cate":"Resistor ","des":"RST 15K 1/8W 1%805B","mfg":"KOA","pn":"RN732AT(  )1502B25","qty":2179</v>
      </c>
      <c r="U1129" t="s">
        <v>2503</v>
      </c>
    </row>
    <row r="1130" spans="5:21" x14ac:dyDescent="0.25">
      <c r="E1130" t="s">
        <v>2154</v>
      </c>
      <c r="F1130" t="s">
        <v>1548</v>
      </c>
      <c r="G1130" t="s">
        <v>1555</v>
      </c>
      <c r="H1130" t="s">
        <v>1556</v>
      </c>
      <c r="I1130">
        <v>2153</v>
      </c>
      <c r="K1130" t="s">
        <v>3615</v>
      </c>
      <c r="L1130" t="str">
        <f t="shared" si="159"/>
        <v>"id":"s1112",</v>
      </c>
      <c r="M1130" t="str">
        <v>"cate":"Resistor ",</v>
      </c>
      <c r="N1130" t="str">
        <v>"des":"RST 100K 1/8W 5%805",</v>
      </c>
      <c r="O1130" t="str">
        <v>"mfg":"YAGEO",</v>
      </c>
      <c r="P1130" t="str">
        <v>"pn":"RC0805FR-07100KL",</v>
      </c>
      <c r="Q1130" t="str">
        <v>"qty":2178</v>
      </c>
      <c r="S1130" t="s">
        <v>2498</v>
      </c>
      <c r="T1130" t="str">
        <f t="shared" si="160"/>
        <v>"id":"s1112","cate":"Resistor ","des":"RST 100K 1/8W 5%805","mfg":"YAGEO","pn":"RC0805FR-07100KL","qty":2178</v>
      </c>
      <c r="U1130" t="s">
        <v>2503</v>
      </c>
    </row>
    <row r="1131" spans="5:21" x14ac:dyDescent="0.25">
      <c r="E1131" t="s">
        <v>2154</v>
      </c>
      <c r="F1131" t="s">
        <v>1548</v>
      </c>
      <c r="G1131" t="s">
        <v>1557</v>
      </c>
      <c r="H1131" t="s">
        <v>1558</v>
      </c>
      <c r="I1131">
        <v>2153</v>
      </c>
      <c r="K1131" t="s">
        <v>3616</v>
      </c>
      <c r="L1131" t="str">
        <f t="shared" si="159"/>
        <v>"id":"s1113",</v>
      </c>
      <c r="M1131" t="str">
        <v>"cate":"MA-1",</v>
      </c>
      <c r="N1131" t="str">
        <v>"des":"MA-1150449STG",</v>
      </c>
      <c r="O1131" t="str">
        <v>"mfg":"YAGEO",</v>
      </c>
      <c r="P1131" t="str">
        <v>"pn":"CC0402KRX7R7BB472",</v>
      </c>
      <c r="Q1131" t="str">
        <v>"qty":2165</v>
      </c>
      <c r="S1131" t="s">
        <v>2498</v>
      </c>
      <c r="T1131" t="str">
        <f t="shared" si="160"/>
        <v>"id":"s1113","cate":"MA-1","des":"MA-1150449STG","mfg":"YAGEO","pn":"CC0402KRX7R7BB472","qty":2165</v>
      </c>
      <c r="U1131" t="s">
        <v>2503</v>
      </c>
    </row>
    <row r="1132" spans="5:21" x14ac:dyDescent="0.25">
      <c r="E1132" t="s">
        <v>2405</v>
      </c>
      <c r="F1132" t="s">
        <v>2451</v>
      </c>
      <c r="G1132" t="s">
        <v>37</v>
      </c>
      <c r="H1132" t="s">
        <v>1559</v>
      </c>
      <c r="I1132">
        <v>2149</v>
      </c>
      <c r="K1132" t="s">
        <v>3617</v>
      </c>
      <c r="L1132" t="str">
        <f t="shared" si="159"/>
        <v>"id":"s1114",</v>
      </c>
      <c r="M1132" t="str">
        <v>"cate":"MA-1",</v>
      </c>
      <c r="N1132" t="str">
        <v>"des":"MA-1150449STG",</v>
      </c>
      <c r="O1132" t="str">
        <v>"mfg":"AVX",</v>
      </c>
      <c r="P1132" t="str">
        <v>"pn":"KGM05AR71C472KH",</v>
      </c>
      <c r="Q1132" t="str">
        <v>"qty":2165</v>
      </c>
      <c r="S1132" t="s">
        <v>2498</v>
      </c>
      <c r="T1132" t="str">
        <f t="shared" si="160"/>
        <v>"id":"s1114","cate":"MA-1","des":"MA-1150449STG","mfg":"AVX","pn":"KGM05AR71C472KH","qty":2165</v>
      </c>
      <c r="U1132" t="s">
        <v>2503</v>
      </c>
    </row>
    <row r="1133" spans="5:21" x14ac:dyDescent="0.25">
      <c r="E1133" t="s">
        <v>2405</v>
      </c>
      <c r="F1133" t="s">
        <v>2451</v>
      </c>
      <c r="G1133" t="s">
        <v>28</v>
      </c>
      <c r="H1133" t="s">
        <v>1560</v>
      </c>
      <c r="I1133">
        <v>2149</v>
      </c>
      <c r="K1133" t="s">
        <v>3618</v>
      </c>
      <c r="L1133" t="str">
        <f t="shared" si="159"/>
        <v>"id":"s1115",</v>
      </c>
      <c r="M1133" t="str">
        <v>"cate":"MA-1",</v>
      </c>
      <c r="N1133" t="str">
        <v>"des":"MA-1150449STG",</v>
      </c>
      <c r="O1133" t="str">
        <v>"mfg":"AVX",</v>
      </c>
      <c r="P1133" t="str">
        <v>"pn":"0402YD472KAT2A",</v>
      </c>
      <c r="Q1133" t="str">
        <v>"qty":2165</v>
      </c>
      <c r="S1133" t="s">
        <v>2498</v>
      </c>
      <c r="T1133" t="str">
        <f t="shared" si="160"/>
        <v>"id":"s1115","cate":"MA-1","des":"MA-1150449STG","mfg":"AVX","pn":"0402YD472KAT2A","qty":2165</v>
      </c>
      <c r="U1133" t="s">
        <v>2503</v>
      </c>
    </row>
    <row r="1134" spans="5:21" x14ac:dyDescent="0.25">
      <c r="E1134" t="s">
        <v>2405</v>
      </c>
      <c r="F1134" t="s">
        <v>2451</v>
      </c>
      <c r="G1134" t="s">
        <v>61</v>
      </c>
      <c r="H1134" t="s">
        <v>1561</v>
      </c>
      <c r="I1134">
        <v>2149</v>
      </c>
      <c r="K1134" t="s">
        <v>3619</v>
      </c>
      <c r="L1134" t="str">
        <f t="shared" si="159"/>
        <v>"id":"s1116",</v>
      </c>
      <c r="M1134" t="str">
        <v>"cate":"IND ",</v>
      </c>
      <c r="N1134" t="str">
        <v>"des":"IND 10UH 0,25A 0805",</v>
      </c>
      <c r="O1134" t="str">
        <v>"mfg":"MURATA MANUFACTURING",</v>
      </c>
      <c r="P1134" t="str">
        <v>"pn":"LQM21DN100M70L",</v>
      </c>
      <c r="Q1134" t="str">
        <v>"qty":2160</v>
      </c>
      <c r="S1134" t="s">
        <v>2498</v>
      </c>
      <c r="T1134" t="str">
        <f t="shared" si="160"/>
        <v>"id":"s1116","cate":"IND ","des":"IND 10UH 0,25A 0805","mfg":"MURATA MANUFACTURING","pn":"LQM21DN100M70L","qty":2160</v>
      </c>
      <c r="U1134" t="s">
        <v>2503</v>
      </c>
    </row>
    <row r="1135" spans="5:21" x14ac:dyDescent="0.25">
      <c r="E1135" t="s">
        <v>2194</v>
      </c>
      <c r="F1135" t="s">
        <v>2320</v>
      </c>
      <c r="G1135" t="s">
        <v>47</v>
      </c>
      <c r="H1135" t="s">
        <v>1562</v>
      </c>
      <c r="I1135">
        <v>2147</v>
      </c>
      <c r="K1135" t="s">
        <v>3620</v>
      </c>
      <c r="L1135" t="str">
        <f t="shared" si="159"/>
        <v>"id":"s1117",</v>
      </c>
      <c r="M1135" t="str">
        <v>"cate":"Resistor ",</v>
      </c>
      <c r="N1135" t="str">
        <v>"des":"RST 33K 0,1W1% 0603",</v>
      </c>
      <c r="O1135" t="str">
        <v>"mfg":"ROYAL OHM",</v>
      </c>
      <c r="P1135" t="str">
        <v>"pn":"0603WAF3302T5E",</v>
      </c>
      <c r="Q1135" t="str">
        <v>"qty":2158</v>
      </c>
      <c r="S1135" t="s">
        <v>2498</v>
      </c>
      <c r="T1135" t="str">
        <f t="shared" si="160"/>
        <v>"id":"s1117","cate":"Resistor ","des":"RST 33K 0,1W1% 0603","mfg":"ROYAL OHM","pn":"0603WAF3302T5E","qty":2158</v>
      </c>
      <c r="U1135" t="s">
        <v>2503</v>
      </c>
    </row>
    <row r="1136" spans="5:21" x14ac:dyDescent="0.25">
      <c r="E1136" t="s">
        <v>2194</v>
      </c>
      <c r="F1136" t="s">
        <v>2320</v>
      </c>
      <c r="G1136" t="s">
        <v>10</v>
      </c>
      <c r="H1136" t="s">
        <v>1563</v>
      </c>
      <c r="I1136">
        <v>2147</v>
      </c>
      <c r="K1136" t="s">
        <v>3621</v>
      </c>
      <c r="L1136" t="str">
        <f t="shared" si="159"/>
        <v>"id":"s1118",</v>
      </c>
      <c r="M1136" t="str">
        <v>"cate":"Resistor ",</v>
      </c>
      <c r="N1136" t="str">
        <v>"des":"RST 33K 0,1W1% 0603",</v>
      </c>
      <c r="O1136" t="str">
        <v>"mfg":"STACKPOLE ELECTRONICS INC",</v>
      </c>
      <c r="P1136" t="str">
        <v>"pn":"RMCF0603FT33K0",</v>
      </c>
      <c r="Q1136" t="str">
        <v>"qty":2158</v>
      </c>
      <c r="S1136" t="s">
        <v>2498</v>
      </c>
      <c r="T1136" t="str">
        <f t="shared" si="160"/>
        <v>"id":"s1118","cate":"Resistor ","des":"RST 33K 0,1W1% 0603","mfg":"STACKPOLE ELECTRONICS INC","pn":"RMCF0603FT33K0","qty":2158</v>
      </c>
      <c r="U1136" t="s">
        <v>2503</v>
      </c>
    </row>
    <row r="1137" spans="5:21" x14ac:dyDescent="0.25">
      <c r="E1137" t="s">
        <v>2194</v>
      </c>
      <c r="F1137" t="s">
        <v>2320</v>
      </c>
      <c r="G1137" t="s">
        <v>340</v>
      </c>
      <c r="H1137" t="s">
        <v>1564</v>
      </c>
      <c r="I1137">
        <v>2147</v>
      </c>
      <c r="K1137" t="s">
        <v>3622</v>
      </c>
      <c r="L1137" t="str">
        <f t="shared" si="159"/>
        <v>"id":"s1119",</v>
      </c>
      <c r="M1137" t="str">
        <v>"cate":"IC",</v>
      </c>
      <c r="N1137" t="str">
        <v>"des":"IC MAX1719EUT",</v>
      </c>
      <c r="O1137" t="str">
        <v>"mfg":"MAXIM",</v>
      </c>
      <c r="P1137" t="str">
        <v>"pn":"MAX1719EUT+",</v>
      </c>
      <c r="Q1137" t="str">
        <v>"qty":2155</v>
      </c>
      <c r="S1137" t="s">
        <v>2498</v>
      </c>
      <c r="T1137" t="str">
        <f t="shared" si="160"/>
        <v>"id":"s1119","cate":"IC","des":"IC MAX1719EUT","mfg":"MAXIM","pn":"MAX1719EUT+","qty":2155</v>
      </c>
      <c r="U1137" t="s">
        <v>2503</v>
      </c>
    </row>
    <row r="1138" spans="5:21" x14ac:dyDescent="0.25">
      <c r="E1138" t="s">
        <v>2405</v>
      </c>
      <c r="F1138" t="s">
        <v>2452</v>
      </c>
      <c r="G1138" t="s">
        <v>28</v>
      </c>
      <c r="H1138" t="s">
        <v>1565</v>
      </c>
      <c r="I1138">
        <v>2146</v>
      </c>
      <c r="K1138" t="s">
        <v>3623</v>
      </c>
      <c r="L1138" t="str">
        <f t="shared" si="159"/>
        <v>"id":"s1120",</v>
      </c>
      <c r="M1138" t="str">
        <v>"cate":"IC",</v>
      </c>
      <c r="N1138" t="str">
        <v>"des":"IC MAX1719EUT",</v>
      </c>
      <c r="O1138" t="str">
        <v>"mfg":"MAXIM",</v>
      </c>
      <c r="P1138" t="str">
        <v>"pn":"MAX1719EUT+T",</v>
      </c>
      <c r="Q1138" t="str">
        <v>"qty":2155</v>
      </c>
      <c r="S1138" t="s">
        <v>2498</v>
      </c>
      <c r="T1138" t="str">
        <f t="shared" si="160"/>
        <v>"id":"s1120","cate":"IC","des":"IC MAX1719EUT","mfg":"MAXIM","pn":"MAX1719EUT+T","qty":2155</v>
      </c>
      <c r="U1138" t="s">
        <v>2503</v>
      </c>
    </row>
    <row r="1139" spans="5:21" x14ac:dyDescent="0.25">
      <c r="E1139" t="s">
        <v>2193</v>
      </c>
      <c r="F1139" t="s">
        <v>1566</v>
      </c>
      <c r="G1139" t="s">
        <v>320</v>
      </c>
      <c r="H1139" t="s">
        <v>906</v>
      </c>
      <c r="I1139">
        <v>2145</v>
      </c>
      <c r="K1139" t="s">
        <v>3624</v>
      </c>
      <c r="L1139" t="str">
        <f t="shared" si="159"/>
        <v>"id":"s1121",</v>
      </c>
      <c r="M1139" t="str">
        <v>"cate":"HEAD",</v>
      </c>
      <c r="N1139" t="str">
        <v>"des":"HEADER 1X34C 2MM",</v>
      </c>
      <c r="O1139" t="str">
        <v>"mfg":"SAMTEC",</v>
      </c>
      <c r="P1139" t="str">
        <v>"pn":"MMT-134-01-S-SH",</v>
      </c>
      <c r="Q1139" t="str">
        <v>"qty":2153</v>
      </c>
      <c r="S1139" t="s">
        <v>2498</v>
      </c>
      <c r="T1139" t="str">
        <f t="shared" si="160"/>
        <v>"id":"s1121","cate":"HEAD","des":"HEADER 1X34C 2MM","mfg":"SAMTEC","pn":"MMT-134-01-S-SH","qty":2153</v>
      </c>
      <c r="U1139" t="s">
        <v>2503</v>
      </c>
    </row>
    <row r="1140" spans="5:21" x14ac:dyDescent="0.25">
      <c r="E1140" t="s">
        <v>2193</v>
      </c>
      <c r="F1140" t="s">
        <v>1566</v>
      </c>
      <c r="G1140" t="s">
        <v>207</v>
      </c>
      <c r="H1140" t="s">
        <v>1567</v>
      </c>
      <c r="I1140">
        <v>2145</v>
      </c>
      <c r="K1140" t="s">
        <v>3625</v>
      </c>
      <c r="L1140" t="str">
        <f t="shared" si="159"/>
        <v>"id":"s1122",</v>
      </c>
      <c r="M1140" t="str">
        <v>"cate":"HEAD",</v>
      </c>
      <c r="N1140" t="str">
        <v>"des":"HEADER 1X34C 2MM",</v>
      </c>
      <c r="O1140" t="str">
        <v>"mfg":"SAMTEC",</v>
      </c>
      <c r="P1140" t="str">
        <v>"pn":"MMT-134-01-S-SH-P",</v>
      </c>
      <c r="Q1140" t="str">
        <v>"qty":2153</v>
      </c>
      <c r="S1140" t="s">
        <v>2498</v>
      </c>
      <c r="T1140" t="str">
        <f t="shared" si="160"/>
        <v>"id":"s1122","cate":"HEAD","des":"HEADER 1X34C 2MM","mfg":"SAMTEC","pn":"MMT-134-01-S-SH-P","qty":2153</v>
      </c>
      <c r="U1140" t="s">
        <v>2503</v>
      </c>
    </row>
    <row r="1141" spans="5:21" x14ac:dyDescent="0.25">
      <c r="E1141" t="s">
        <v>2405</v>
      </c>
      <c r="F1141" t="s">
        <v>2453</v>
      </c>
      <c r="G1141" t="s">
        <v>556</v>
      </c>
      <c r="H1141" t="s">
        <v>1568</v>
      </c>
      <c r="I1141">
        <v>2143</v>
      </c>
      <c r="K1141" t="s">
        <v>3626</v>
      </c>
      <c r="L1141" t="str">
        <f t="shared" si="159"/>
        <v>"id":"s1123",</v>
      </c>
      <c r="M1141" t="str">
        <v>"cate":"HEAD",</v>
      </c>
      <c r="N1141" t="str">
        <v>"des":"HEADER 1X34C 2MM",</v>
      </c>
      <c r="O1141" t="str">
        <v>"mfg":"SAMTEC",</v>
      </c>
      <c r="P1141" t="str">
        <v>"pn":"MMT-134-01-T-SH-K-TR",</v>
      </c>
      <c r="Q1141" t="str">
        <v>"qty":2153</v>
      </c>
      <c r="S1141" t="s">
        <v>2498</v>
      </c>
      <c r="T1141" t="str">
        <f t="shared" si="160"/>
        <v>"id":"s1123","cate":"HEAD","des":"HEADER 1X34C 2MM","mfg":"SAMTEC","pn":"MMT-134-01-T-SH-K-TR","qty":2153</v>
      </c>
      <c r="U1141" t="s">
        <v>2503</v>
      </c>
    </row>
    <row r="1142" spans="5:21" x14ac:dyDescent="0.25">
      <c r="E1142" t="s">
        <v>2405</v>
      </c>
      <c r="F1142" t="s">
        <v>2453</v>
      </c>
      <c r="G1142" t="s">
        <v>2467</v>
      </c>
      <c r="H1142" t="s">
        <v>1569</v>
      </c>
      <c r="I1142">
        <v>2143</v>
      </c>
      <c r="K1142" t="s">
        <v>3627</v>
      </c>
      <c r="L1142" t="str">
        <f t="shared" si="159"/>
        <v>"id":"s1124",</v>
      </c>
      <c r="M1142" t="str">
        <v>"cate":"HEAD",</v>
      </c>
      <c r="N1142" t="str">
        <v>"des":"HEADER 1X34C 2MM",</v>
      </c>
      <c r="O1142" t="str">
        <v>"mfg":"ANTELEC",</v>
      </c>
      <c r="P1142" t="str">
        <v>"pn":"AM1C20034GCMS3.2H2BA",</v>
      </c>
      <c r="Q1142" t="str">
        <v>"qty":2153</v>
      </c>
      <c r="S1142" t="s">
        <v>2498</v>
      </c>
      <c r="T1142" t="str">
        <f t="shared" si="160"/>
        <v>"id":"s1124","cate":"HEAD","des":"HEADER 1X34C 2MM","mfg":"ANTELEC","pn":"AM1C20034GCMS3.2H2BA","qty":2153</v>
      </c>
      <c r="U1142" t="s">
        <v>2503</v>
      </c>
    </row>
    <row r="1143" spans="5:21" x14ac:dyDescent="0.25">
      <c r="E1143" t="s">
        <v>2405</v>
      </c>
      <c r="F1143" t="s">
        <v>2453</v>
      </c>
      <c r="G1143" t="s">
        <v>2467</v>
      </c>
      <c r="H1143" t="s">
        <v>1570</v>
      </c>
      <c r="I1143">
        <v>2143</v>
      </c>
      <c r="K1143" t="s">
        <v>3628</v>
      </c>
      <c r="L1143" t="str">
        <f t="shared" si="159"/>
        <v>"id":"s1125",</v>
      </c>
      <c r="M1143" t="str">
        <v>"cate":"HEAD",</v>
      </c>
      <c r="N1143" t="str">
        <v>"des":"HEADER 1X34C 2MM",</v>
      </c>
      <c r="O1143" t="str">
        <v>"mfg":"PLASTRON",</v>
      </c>
      <c r="P1143" t="str">
        <v>"pn":"SLTY-34R-A-032-0-R",</v>
      </c>
      <c r="Q1143" t="str">
        <v>"qty":2153</v>
      </c>
      <c r="S1143" t="s">
        <v>2498</v>
      </c>
      <c r="T1143" t="str">
        <f t="shared" si="160"/>
        <v>"id":"s1125","cate":"HEAD","des":"HEADER 1X34C 2MM","mfg":"PLASTRON","pn":"SLTY-34R-A-032-0-R","qty":2153</v>
      </c>
      <c r="U1143" t="s">
        <v>2503</v>
      </c>
    </row>
    <row r="1144" spans="5:21" x14ac:dyDescent="0.25">
      <c r="E1144" t="s">
        <v>2405</v>
      </c>
      <c r="F1144" t="s">
        <v>2453</v>
      </c>
      <c r="G1144" t="s">
        <v>30</v>
      </c>
      <c r="H1144" t="s">
        <v>1571</v>
      </c>
      <c r="I1144">
        <v>2143</v>
      </c>
      <c r="K1144" t="s">
        <v>3629</v>
      </c>
      <c r="L1144" t="str">
        <f t="shared" si="159"/>
        <v>"id":"s1126",</v>
      </c>
      <c r="M1144" t="str">
        <v>"cate":"HEAD",</v>
      </c>
      <c r="N1144" t="str">
        <v>"des":"HEADER 1X34C 2MM",</v>
      </c>
      <c r="O1144" t="str">
        <v>"mfg":"WAYCONN",</v>
      </c>
      <c r="P1144" t="str">
        <v>"pn":"PH200-134-M22G0-04",</v>
      </c>
      <c r="Q1144" t="str">
        <v>"qty":2153</v>
      </c>
      <c r="S1144" t="s">
        <v>2498</v>
      </c>
      <c r="T1144" t="str">
        <f t="shared" si="160"/>
        <v>"id":"s1126","cate":"HEAD","des":"HEADER 1X34C 2MM","mfg":"WAYCONN","pn":"PH200-134-M22G0-04","qty":2153</v>
      </c>
      <c r="U1144" t="s">
        <v>2503</v>
      </c>
    </row>
    <row r="1145" spans="5:21" x14ac:dyDescent="0.25">
      <c r="E1145" s="6" t="s">
        <v>2382</v>
      </c>
      <c r="F1145" t="s">
        <v>1572</v>
      </c>
      <c r="G1145" t="s">
        <v>61</v>
      </c>
      <c r="H1145" t="s">
        <v>1573</v>
      </c>
      <c r="I1145">
        <v>2143</v>
      </c>
      <c r="K1145" t="s">
        <v>3630</v>
      </c>
      <c r="L1145" t="str">
        <f t="shared" si="159"/>
        <v>"id":"s1127",</v>
      </c>
      <c r="M1145" t="str">
        <v>"cate":"Diode",</v>
      </c>
      <c r="N1145" t="str">
        <v>"des":"DiodeE 1A 200V SMB",</v>
      </c>
      <c r="O1145" t="str">
        <v>"mfg":"VISHAY",</v>
      </c>
      <c r="P1145" t="str">
        <v>"pn":"ES2D-E3/52T",</v>
      </c>
      <c r="Q1145" t="str">
        <v>"qty":2149</v>
      </c>
      <c r="S1145" t="s">
        <v>2498</v>
      </c>
      <c r="T1145" t="str">
        <f t="shared" si="160"/>
        <v>"id":"s1127","cate":"Diode","des":"DiodeE 1A 200V SMB","mfg":"VISHAY","pn":"ES2D-E3/52T","qty":2149</v>
      </c>
      <c r="U1145" t="s">
        <v>2503</v>
      </c>
    </row>
    <row r="1146" spans="5:21" x14ac:dyDescent="0.25">
      <c r="E1146" s="6" t="s">
        <v>2382</v>
      </c>
      <c r="F1146" t="s">
        <v>1572</v>
      </c>
      <c r="G1146" t="s">
        <v>61</v>
      </c>
      <c r="H1146" t="s">
        <v>1574</v>
      </c>
      <c r="I1146">
        <v>2143</v>
      </c>
      <c r="K1146" t="s">
        <v>3631</v>
      </c>
      <c r="L1146" t="str">
        <f t="shared" si="159"/>
        <v>"id":"s1128",</v>
      </c>
      <c r="M1146" t="str">
        <v>"cate":"Diode",</v>
      </c>
      <c r="N1146" t="str">
        <v>"des":"DiodeE 1A 200V SMB",</v>
      </c>
      <c r="O1146" t="str">
        <v>"mfg":"ON SEMICONDUCTOR",</v>
      </c>
      <c r="P1146" t="str">
        <v>"pn":"MURS120T3G",</v>
      </c>
      <c r="Q1146" t="str">
        <v>"qty":2149</v>
      </c>
      <c r="S1146" t="s">
        <v>2498</v>
      </c>
      <c r="T1146" t="str">
        <f t="shared" si="160"/>
        <v>"id":"s1128","cate":"Diode","des":"DiodeE 1A 200V SMB","mfg":"ON SEMICONDUCTOR","pn":"MURS120T3G","qty":2149</v>
      </c>
      <c r="U1146" t="s">
        <v>2503</v>
      </c>
    </row>
    <row r="1147" spans="5:21" x14ac:dyDescent="0.25">
      <c r="E1147" s="6" t="s">
        <v>2382</v>
      </c>
      <c r="F1147" t="s">
        <v>1572</v>
      </c>
      <c r="G1147" t="s">
        <v>542</v>
      </c>
      <c r="H1147" t="s">
        <v>1575</v>
      </c>
      <c r="I1147">
        <v>2143</v>
      </c>
      <c r="K1147" t="s">
        <v>3632</v>
      </c>
      <c r="L1147" t="str">
        <f t="shared" si="159"/>
        <v>"id":"s1129",</v>
      </c>
      <c r="M1147" t="str">
        <v>"cate":"Diode",</v>
      </c>
      <c r="N1147" t="str">
        <v>"des":"DiodeE 1A 200V SMB",</v>
      </c>
      <c r="O1147" t="str">
        <v>"mfg":"STMICROELECTRONICS",</v>
      </c>
      <c r="P1147" t="str">
        <v>"pn":"STTH2R02U",</v>
      </c>
      <c r="Q1147" t="str">
        <v>"qty":2149</v>
      </c>
      <c r="S1147" t="s">
        <v>2498</v>
      </c>
      <c r="T1147" t="str">
        <f t="shared" si="160"/>
        <v>"id":"s1129","cate":"Diode","des":"DiodeE 1A 200V SMB","mfg":"STMICROELECTRONICS","pn":"STTH2R02U","qty":2149</v>
      </c>
      <c r="U1147" t="s">
        <v>2503</v>
      </c>
    </row>
    <row r="1148" spans="5:21" x14ac:dyDescent="0.25">
      <c r="E1148" t="s">
        <v>2194</v>
      </c>
      <c r="F1148" t="s">
        <v>2321</v>
      </c>
      <c r="G1148" t="s">
        <v>64</v>
      </c>
      <c r="H1148" t="s">
        <v>1576</v>
      </c>
      <c r="I1148">
        <v>2140</v>
      </c>
      <c r="K1148" t="s">
        <v>3633</v>
      </c>
      <c r="L1148" t="str">
        <f t="shared" si="159"/>
        <v>"id":"s1130",</v>
      </c>
      <c r="M1148" t="str">
        <v>"cate":"Capacitor",</v>
      </c>
      <c r="N1148" t="str">
        <v>"des":"Capacitor 220NF/200V1210",</v>
      </c>
      <c r="O1148" t="str">
        <v>"mfg":"KEMET",</v>
      </c>
      <c r="P1148" t="str">
        <v>"pn":"C1210J224K2RACTU",</v>
      </c>
      <c r="Q1148" t="str">
        <v>"qty":2147</v>
      </c>
      <c r="S1148" t="s">
        <v>2498</v>
      </c>
      <c r="T1148" t="str">
        <f t="shared" si="160"/>
        <v>"id":"s1130","cate":"Capacitor","des":"Capacitor 220NF/200V1210","mfg":"KEMET","pn":"C1210J224K2RACTU","qty":2147</v>
      </c>
      <c r="U1148" t="s">
        <v>2503</v>
      </c>
    </row>
    <row r="1149" spans="5:21" x14ac:dyDescent="0.25">
      <c r="E1149" t="s">
        <v>2193</v>
      </c>
      <c r="F1149" t="s">
        <v>1577</v>
      </c>
      <c r="G1149" t="s">
        <v>176</v>
      </c>
      <c r="H1149" t="s">
        <v>1578</v>
      </c>
      <c r="I1149">
        <v>2132</v>
      </c>
      <c r="K1149" t="s">
        <v>3634</v>
      </c>
      <c r="L1149" t="str">
        <f t="shared" si="159"/>
        <v>"id":"s1131",</v>
      </c>
      <c r="M1149" t="str">
        <v>"cate":"Capacitor",</v>
      </c>
      <c r="N1149" t="str">
        <v>"des":"Capacitor 220NF/200V1210",</v>
      </c>
      <c r="O1149" t="str">
        <v>"mfg":"WALSIN",</v>
      </c>
      <c r="P1149" t="str">
        <v>"pn":"1210B224K201CT",</v>
      </c>
      <c r="Q1149" t="str">
        <v>"qty":2147</v>
      </c>
      <c r="S1149" t="s">
        <v>2498</v>
      </c>
      <c r="T1149" t="str">
        <f t="shared" si="160"/>
        <v>"id":"s1131","cate":"Capacitor","des":"Capacitor 220NF/200V1210","mfg":"WALSIN","pn":"1210B224K201CT","qty":2147</v>
      </c>
      <c r="U1149" t="s">
        <v>2503</v>
      </c>
    </row>
    <row r="1150" spans="5:21" x14ac:dyDescent="0.25">
      <c r="E1150" t="s">
        <v>2193</v>
      </c>
      <c r="F1150" t="s">
        <v>1577</v>
      </c>
      <c r="G1150" t="s">
        <v>13</v>
      </c>
      <c r="H1150" t="s">
        <v>1579</v>
      </c>
      <c r="I1150">
        <v>2132</v>
      </c>
      <c r="K1150" t="s">
        <v>3635</v>
      </c>
      <c r="L1150" t="str">
        <f t="shared" si="159"/>
        <v>"id":"s1132",</v>
      </c>
      <c r="M1150" t="str">
        <v>"cate":"Capacitor",</v>
      </c>
      <c r="N1150" t="str">
        <v>"des":"Capacitor 220NF/200V1210",</v>
      </c>
      <c r="O1150" t="str">
        <v>"mfg":"Syfer",</v>
      </c>
      <c r="P1150" t="str">
        <v>"pn":"1210Y2000224KXT",</v>
      </c>
      <c r="Q1150" t="str">
        <v>"qty":2147</v>
      </c>
      <c r="S1150" t="s">
        <v>2498</v>
      </c>
      <c r="T1150" t="str">
        <f t="shared" si="160"/>
        <v>"id":"s1132","cate":"Capacitor","des":"Capacitor 220NF/200V1210","mfg":"Syfer","pn":"1210Y2000224KXT","qty":2147</v>
      </c>
      <c r="U1150" t="s">
        <v>2503</v>
      </c>
    </row>
    <row r="1151" spans="5:21" x14ac:dyDescent="0.25">
      <c r="E1151" t="s">
        <v>2193</v>
      </c>
      <c r="F1151" t="s">
        <v>1577</v>
      </c>
      <c r="G1151" t="s">
        <v>5</v>
      </c>
      <c r="H1151" t="s">
        <v>1580</v>
      </c>
      <c r="I1151">
        <v>2132</v>
      </c>
      <c r="K1151" t="s">
        <v>3636</v>
      </c>
      <c r="L1151" t="str">
        <f t="shared" si="159"/>
        <v>"id":"s1133",</v>
      </c>
      <c r="M1151" t="str">
        <v>"cate":"Diode",</v>
      </c>
      <c r="N1151" t="str">
        <v>"des":"DiodeE 0,2A 100V SMT",</v>
      </c>
      <c r="O1151" t="str">
        <v>"mfg":"ON SEMICONDUCTOR",</v>
      </c>
      <c r="P1151" t="str">
        <v>"pn":"MMSD4148T1G",</v>
      </c>
      <c r="Q1151" t="str">
        <v>"qty":2146</v>
      </c>
      <c r="S1151" t="s">
        <v>2498</v>
      </c>
      <c r="T1151" t="str">
        <f t="shared" si="160"/>
        <v>"id":"s1133","cate":"Diode","des":"DiodeE 0,2A 100V SMT","mfg":"ON SEMICONDUCTOR","pn":"MMSD4148T1G","qty":2146</v>
      </c>
      <c r="U1151" t="s">
        <v>2503</v>
      </c>
    </row>
    <row r="1152" spans="5:21" x14ac:dyDescent="0.25">
      <c r="E1152" t="s">
        <v>2193</v>
      </c>
      <c r="F1152" t="s">
        <v>1577</v>
      </c>
      <c r="G1152" t="s">
        <v>1581</v>
      </c>
      <c r="H1152" t="s">
        <v>1582</v>
      </c>
      <c r="I1152">
        <v>2132</v>
      </c>
      <c r="K1152" t="s">
        <v>3637</v>
      </c>
      <c r="L1152" t="str">
        <f t="shared" si="159"/>
        <v>"id":"s1134",</v>
      </c>
      <c r="M1152" t="str">
        <v>"cate":"Resistor ",</v>
      </c>
      <c r="N1152" t="str">
        <v>"des":"RST 470R 1/8W1%0805",</v>
      </c>
      <c r="O1152" t="str">
        <v>"mfg":"ROYAL OHM",</v>
      </c>
      <c r="P1152" t="str">
        <v>"pn":"0805W8F4700T5E",</v>
      </c>
      <c r="Q1152" t="str">
        <v>"qty":2145</v>
      </c>
      <c r="S1152" t="s">
        <v>2498</v>
      </c>
      <c r="T1152" t="str">
        <f t="shared" si="160"/>
        <v>"id":"s1134","cate":"Resistor ","des":"RST 470R 1/8W1%0805","mfg":"ROYAL OHM","pn":"0805W8F4700T5E","qty":2145</v>
      </c>
      <c r="U1152" t="s">
        <v>2503</v>
      </c>
    </row>
    <row r="1153" spans="5:21" x14ac:dyDescent="0.25">
      <c r="E1153" t="s">
        <v>2193</v>
      </c>
      <c r="F1153" t="s">
        <v>1583</v>
      </c>
      <c r="G1153" t="s">
        <v>5</v>
      </c>
      <c r="H1153" t="s">
        <v>1584</v>
      </c>
      <c r="I1153">
        <v>2128</v>
      </c>
      <c r="K1153" t="s">
        <v>3638</v>
      </c>
      <c r="L1153" t="str">
        <f t="shared" si="159"/>
        <v>"id":"s1135",</v>
      </c>
      <c r="M1153" t="str">
        <v>"cate":"Resistor ",</v>
      </c>
      <c r="N1153" t="str">
        <v>"des":"RST 470R 1/8W1%0805",</v>
      </c>
      <c r="O1153" t="str">
        <v>"mfg":"STACKPOLE ELECTRONICS INC",</v>
      </c>
      <c r="P1153" t="str">
        <v>"pn":"RMCF0805FT470R",</v>
      </c>
      <c r="Q1153" t="str">
        <v>"qty":2145</v>
      </c>
      <c r="S1153" t="s">
        <v>2498</v>
      </c>
      <c r="T1153" t="str">
        <f t="shared" si="160"/>
        <v>"id":"s1135","cate":"Resistor ","des":"RST 470R 1/8W1%0805","mfg":"STACKPOLE ELECTRONICS INC","pn":"RMCF0805FT470R","qty":2145</v>
      </c>
      <c r="U1153" t="s">
        <v>2503</v>
      </c>
    </row>
    <row r="1154" spans="5:21" x14ac:dyDescent="0.25">
      <c r="E1154" t="s">
        <v>2193</v>
      </c>
      <c r="F1154" t="s">
        <v>1583</v>
      </c>
      <c r="G1154" t="s">
        <v>320</v>
      </c>
      <c r="H1154" t="s">
        <v>1585</v>
      </c>
      <c r="I1154">
        <v>2128</v>
      </c>
      <c r="K1154" t="s">
        <v>3639</v>
      </c>
      <c r="L1154" t="str">
        <f t="shared" si="159"/>
        <v>"id":"s1136",</v>
      </c>
      <c r="M1154" t="str">
        <v>"cate":"Diode",</v>
      </c>
      <c r="N1154" t="str">
        <v>"des":"DiodeE 0,25A 100V SM",</v>
      </c>
      <c r="O1154" t="str">
        <v>"mfg":"INFINEON TECHNOLOGIES",</v>
      </c>
      <c r="P1154" t="str">
        <v>"pn":"BAS1603WE6327",</v>
      </c>
      <c r="Q1154" t="str">
        <v>"qty":2143</v>
      </c>
      <c r="S1154" t="s">
        <v>2498</v>
      </c>
      <c r="T1154" t="str">
        <f t="shared" si="160"/>
        <v>"id":"s1136","cate":"Diode","des":"DiodeE 0,25A 100V SM","mfg":"INFINEON TECHNOLOGIES","pn":"BAS1603WE6327","qty":2143</v>
      </c>
      <c r="U1154" t="s">
        <v>2503</v>
      </c>
    </row>
    <row r="1155" spans="5:21" x14ac:dyDescent="0.25">
      <c r="E1155" t="s">
        <v>2193</v>
      </c>
      <c r="F1155" t="s">
        <v>1583</v>
      </c>
      <c r="G1155" t="s">
        <v>207</v>
      </c>
      <c r="H1155" t="s">
        <v>1586</v>
      </c>
      <c r="I1155">
        <v>2128</v>
      </c>
      <c r="K1155" t="s">
        <v>3640</v>
      </c>
      <c r="L1155" t="str">
        <f t="shared" si="159"/>
        <v>"id":"s1137",</v>
      </c>
      <c r="M1155" t="str">
        <v>"cate":"Diode",</v>
      </c>
      <c r="N1155" t="str">
        <v>"des":"DiodeE 0,25A 100V SM",</v>
      </c>
      <c r="O1155" t="str">
        <v>"mfg":"DiodeES INC.",</v>
      </c>
      <c r="P1155" t="str">
        <v>"pn":"1N4148WS",</v>
      </c>
      <c r="Q1155" t="str">
        <v>"qty":2143</v>
      </c>
      <c r="S1155" t="s">
        <v>2498</v>
      </c>
      <c r="T1155" t="str">
        <f t="shared" si="160"/>
        <v>"id":"s1137","cate":"Diode","des":"DiodeE 0,25A 100V SM","mfg":"DiodeES INC.","pn":"1N4148WS","qty":2143</v>
      </c>
      <c r="U1155" t="s">
        <v>2503</v>
      </c>
    </row>
    <row r="1156" spans="5:21" x14ac:dyDescent="0.25">
      <c r="E1156" t="s">
        <v>2123</v>
      </c>
      <c r="F1156" t="s">
        <v>1587</v>
      </c>
      <c r="G1156" t="s">
        <v>1588</v>
      </c>
      <c r="H1156" t="s">
        <v>1589</v>
      </c>
      <c r="I1156">
        <v>2116</v>
      </c>
      <c r="K1156" t="s">
        <v>3641</v>
      </c>
      <c r="L1156" t="str">
        <f t="shared" si="159"/>
        <v>"id":"s1138",</v>
      </c>
      <c r="M1156" t="str">
        <v>"cate":"Diode",</v>
      </c>
      <c r="N1156" t="str">
        <v>"des":"DiodeE 0,25A 100V SM",</v>
      </c>
      <c r="O1156" t="str">
        <v>"mfg":"DiodeES INC.",</v>
      </c>
      <c r="P1156" t="str">
        <v>"pn":"1N4148WS-7-F",</v>
      </c>
      <c r="Q1156" t="str">
        <v>"qty":2143</v>
      </c>
      <c r="S1156" t="s">
        <v>2498</v>
      </c>
      <c r="T1156" t="str">
        <f t="shared" si="160"/>
        <v>"id":"s1138","cate":"Diode","des":"DiodeE 0,25A 100V SM","mfg":"DiodeES INC.","pn":"1N4148WS-7-F","qty":2143</v>
      </c>
      <c r="U1156" t="s">
        <v>2503</v>
      </c>
    </row>
    <row r="1157" spans="5:21" x14ac:dyDescent="0.25">
      <c r="E1157" t="s">
        <v>2122</v>
      </c>
      <c r="F1157" t="s">
        <v>1590</v>
      </c>
      <c r="G1157" t="s">
        <v>45</v>
      </c>
      <c r="H1157" t="s">
        <v>1591</v>
      </c>
      <c r="I1157">
        <v>2106</v>
      </c>
      <c r="K1157" t="s">
        <v>3642</v>
      </c>
      <c r="L1157" t="str">
        <f t="shared" si="159"/>
        <v>"id":"s1139",</v>
      </c>
      <c r="M1157" t="str">
        <v>"cate":"Diode",</v>
      </c>
      <c r="N1157" t="str">
        <v>"des":"DiodeE 0,25A 100V SM",</v>
      </c>
      <c r="O1157" t="str">
        <v>"mfg":"NEXPERIA",</v>
      </c>
      <c r="P1157" t="str">
        <v>"pn":"BAS316,115",</v>
      </c>
      <c r="Q1157" t="str">
        <v>"qty":2143</v>
      </c>
      <c r="S1157" t="s">
        <v>2498</v>
      </c>
      <c r="T1157" t="str">
        <f t="shared" si="160"/>
        <v>"id":"s1139","cate":"Diode","des":"DiodeE 0,25A 100V SM","mfg":"NEXPERIA","pn":"BAS316,115","qty":2143</v>
      </c>
      <c r="U1157" t="s">
        <v>2503</v>
      </c>
    </row>
    <row r="1158" spans="5:21" x14ac:dyDescent="0.25">
      <c r="E1158" t="s">
        <v>2122</v>
      </c>
      <c r="F1158" t="s">
        <v>1590</v>
      </c>
      <c r="G1158" t="s">
        <v>45</v>
      </c>
      <c r="H1158" t="s">
        <v>1592</v>
      </c>
      <c r="I1158">
        <v>2106</v>
      </c>
      <c r="K1158" t="s">
        <v>3643</v>
      </c>
      <c r="L1158" t="str">
        <f t="shared" si="159"/>
        <v>"id":"s1140",</v>
      </c>
      <c r="M1158" t="str">
        <v>"cate":"IC",</v>
      </c>
      <c r="N1158" t="str">
        <v>"des":"IC MLR24C64",</v>
      </c>
      <c r="O1158" t="str">
        <v>"mfg":"STMICROELECTRONICS",</v>
      </c>
      <c r="P1158" t="str">
        <v>"pn":"M24C64-WDW6P",</v>
      </c>
      <c r="Q1158" t="str">
        <v>"qty":2143</v>
      </c>
      <c r="S1158" t="s">
        <v>2498</v>
      </c>
      <c r="T1158" t="str">
        <f t="shared" si="160"/>
        <v>"id":"s1140","cate":"IC","des":"IC MLR24C64","mfg":"STMICROELECTRONICS","pn":"M24C64-WDW6P","qty":2143</v>
      </c>
      <c r="U1158" t="s">
        <v>2503</v>
      </c>
    </row>
    <row r="1159" spans="5:21" x14ac:dyDescent="0.25">
      <c r="E1159" t="s">
        <v>2194</v>
      </c>
      <c r="F1159" t="s">
        <v>2322</v>
      </c>
      <c r="G1159" t="s">
        <v>1593</v>
      </c>
      <c r="H1159" t="s">
        <v>1594</v>
      </c>
      <c r="I1159">
        <v>2087</v>
      </c>
      <c r="K1159" t="s">
        <v>3644</v>
      </c>
      <c r="L1159" t="str">
        <f t="shared" si="159"/>
        <v>"id":"s1141",</v>
      </c>
      <c r="M1159" t="str">
        <v>"cate":"IC",</v>
      </c>
      <c r="N1159" t="str">
        <v>"des":"IC MLR24C64",</v>
      </c>
      <c r="O1159" t="str">
        <v>"mfg":"STMICROELECTRONICS",</v>
      </c>
      <c r="P1159" t="str">
        <v>"pn":"M24C64-WDW6TP",</v>
      </c>
      <c r="Q1159" t="str">
        <v>"qty":2143</v>
      </c>
      <c r="S1159" t="s">
        <v>2498</v>
      </c>
      <c r="T1159" t="str">
        <f t="shared" si="160"/>
        <v>"id":"s1141","cate":"IC","des":"IC MLR24C64","mfg":"STMICROELECTRONICS","pn":"M24C64-WDW6TP","qty":2143</v>
      </c>
      <c r="U1159" t="s">
        <v>2503</v>
      </c>
    </row>
    <row r="1160" spans="5:21" x14ac:dyDescent="0.25">
      <c r="E1160" t="s">
        <v>2193</v>
      </c>
      <c r="F1160" t="s">
        <v>1595</v>
      </c>
      <c r="G1160" t="s">
        <v>89</v>
      </c>
      <c r="H1160" t="s">
        <v>1596</v>
      </c>
      <c r="I1160">
        <v>2087</v>
      </c>
      <c r="K1160" t="s">
        <v>3645</v>
      </c>
      <c r="L1160" t="str">
        <f t="shared" si="159"/>
        <v>"id":"s1142",</v>
      </c>
      <c r="M1160" t="str">
        <v>"cate":"IC",</v>
      </c>
      <c r="N1160" t="str">
        <v>"des":"IC MLR24C64",</v>
      </c>
      <c r="O1160" t="str">
        <v>"mfg":"MICROCHIP",</v>
      </c>
      <c r="P1160" t="str">
        <v>"pn":"24LC64-I/ST",</v>
      </c>
      <c r="Q1160" t="str">
        <v>"qty":2143</v>
      </c>
      <c r="S1160" t="s">
        <v>2498</v>
      </c>
      <c r="T1160" t="str">
        <f t="shared" si="160"/>
        <v>"id":"s1142","cate":"IC","des":"IC MLR24C64","mfg":"MICROCHIP","pn":"24LC64-I/ST","qty":2143</v>
      </c>
      <c r="U1160" t="s">
        <v>2503</v>
      </c>
    </row>
    <row r="1161" spans="5:21" x14ac:dyDescent="0.25">
      <c r="E1161" t="s">
        <v>2194</v>
      </c>
      <c r="F1161" t="s">
        <v>2323</v>
      </c>
      <c r="G1161" t="s">
        <v>45</v>
      </c>
      <c r="H1161" t="s">
        <v>1597</v>
      </c>
      <c r="I1161">
        <v>2076</v>
      </c>
      <c r="K1161" t="s">
        <v>3646</v>
      </c>
      <c r="L1161" t="str">
        <f t="shared" si="159"/>
        <v>"id":"s1143",</v>
      </c>
      <c r="M1161" t="str">
        <v>"cate":"Capacitor",</v>
      </c>
      <c r="N1161" t="str">
        <v>"des":"Capacitor 22UF/6,3V 20%A",</v>
      </c>
      <c r="O1161" t="str">
        <v>"mfg":"MURATA MANUFACTURING",</v>
      </c>
      <c r="P1161" t="str">
        <v>"pn":"GRM188R60J226MEA0J",</v>
      </c>
      <c r="Q1161" t="str">
        <v>"qty":2140</v>
      </c>
      <c r="S1161" t="s">
        <v>2498</v>
      </c>
      <c r="T1161" t="str">
        <f t="shared" si="160"/>
        <v>"id":"s1143","cate":"Capacitor","des":"Capacitor 22UF/6,3V 20%A","mfg":"MURATA MANUFACTURING","pn":"GRM188R60J226MEA0J","qty":2140</v>
      </c>
      <c r="U1161" t="s">
        <v>2503</v>
      </c>
    </row>
    <row r="1162" spans="5:21" x14ac:dyDescent="0.25">
      <c r="E1162" t="s">
        <v>2194</v>
      </c>
      <c r="F1162" t="s">
        <v>2323</v>
      </c>
      <c r="G1162" t="s">
        <v>45</v>
      </c>
      <c r="H1162" t="s">
        <v>1598</v>
      </c>
      <c r="I1162">
        <v>2076</v>
      </c>
      <c r="K1162" t="s">
        <v>3647</v>
      </c>
      <c r="L1162" t="str">
        <f t="shared" si="159"/>
        <v>"id":"s1144",</v>
      </c>
      <c r="M1162" t="str">
        <v>"cate":"Resistor ",</v>
      </c>
      <c r="N1162" t="str">
        <v>"des":"RST 22K 1/8W 0805",</v>
      </c>
      <c r="O1162" t="str">
        <v>"mfg":"PANASONIC",</v>
      </c>
      <c r="P1162" t="str">
        <v>"pn":"ERA-6AEB223V",</v>
      </c>
      <c r="Q1162" t="str">
        <v>"qty":2132</v>
      </c>
      <c r="S1162" t="s">
        <v>2498</v>
      </c>
      <c r="T1162" t="str">
        <f t="shared" si="160"/>
        <v>"id":"s1144","cate":"Resistor ","des":"RST 22K 1/8W 0805","mfg":"PANASONIC","pn":"ERA-6AEB223V","qty":2132</v>
      </c>
      <c r="U1162" t="s">
        <v>2503</v>
      </c>
    </row>
    <row r="1163" spans="5:21" x14ac:dyDescent="0.25">
      <c r="E1163" t="s">
        <v>2193</v>
      </c>
      <c r="F1163" t="s">
        <v>1599</v>
      </c>
      <c r="G1163" t="s">
        <v>13</v>
      </c>
      <c r="H1163" t="s">
        <v>1600</v>
      </c>
      <c r="I1163">
        <v>2074</v>
      </c>
      <c r="K1163" t="s">
        <v>3648</v>
      </c>
      <c r="L1163" t="str">
        <f t="shared" si="159"/>
        <v>"id":"s1145",</v>
      </c>
      <c r="M1163" t="str">
        <v>"cate":"Resistor ",</v>
      </c>
      <c r="N1163" t="str">
        <v>"des":"RST 22K 1/8W 0805",</v>
      </c>
      <c r="O1163" t="str">
        <v>"mfg":"YAGEO",</v>
      </c>
      <c r="P1163" t="str">
        <v>"pn":"RT0805BRD0722KL",</v>
      </c>
      <c r="Q1163" t="str">
        <v>"qty":2132</v>
      </c>
      <c r="S1163" t="s">
        <v>2498</v>
      </c>
      <c r="T1163" t="str">
        <f t="shared" si="160"/>
        <v>"id":"s1145","cate":"Resistor ","des":"RST 22K 1/8W 0805","mfg":"YAGEO","pn":"RT0805BRD0722KL","qty":2132</v>
      </c>
      <c r="U1163" t="s">
        <v>2503</v>
      </c>
    </row>
    <row r="1164" spans="5:21" x14ac:dyDescent="0.25">
      <c r="E1164" t="s">
        <v>2193</v>
      </c>
      <c r="F1164" t="s">
        <v>1599</v>
      </c>
      <c r="G1164" t="s">
        <v>89</v>
      </c>
      <c r="H1164" t="s">
        <v>1601</v>
      </c>
      <c r="I1164">
        <v>2074</v>
      </c>
      <c r="K1164" t="s">
        <v>3649</v>
      </c>
      <c r="L1164" t="str">
        <f t="shared" si="159"/>
        <v>"id":"s1146",</v>
      </c>
      <c r="M1164" t="str">
        <v>"cate":"Resistor ",</v>
      </c>
      <c r="N1164" t="str">
        <v>"des":"RST 22K 1/8W 0805",</v>
      </c>
      <c r="O1164" t="str">
        <v>"mfg":"KOA",</v>
      </c>
      <c r="P1164" t="str">
        <v>"pn":"RN732ATTD2202B25",</v>
      </c>
      <c r="Q1164" t="str">
        <v>"qty":2132</v>
      </c>
      <c r="S1164" t="s">
        <v>2498</v>
      </c>
      <c r="T1164" t="str">
        <f t="shared" si="160"/>
        <v>"id":"s1146","cate":"Resistor ","des":"RST 22K 1/8W 0805","mfg":"KOA","pn":"RN732ATTD2202B25","qty":2132</v>
      </c>
      <c r="U1164" t="s">
        <v>2503</v>
      </c>
    </row>
    <row r="1165" spans="5:21" x14ac:dyDescent="0.25">
      <c r="E1165" t="s">
        <v>2193</v>
      </c>
      <c r="F1165" t="s">
        <v>1599</v>
      </c>
      <c r="G1165" t="s">
        <v>1602</v>
      </c>
      <c r="H1165" t="s">
        <v>1603</v>
      </c>
      <c r="I1165">
        <v>2074</v>
      </c>
      <c r="K1165" t="s">
        <v>3650</v>
      </c>
      <c r="L1165" t="str">
        <f t="shared" si="159"/>
        <v>"id":"s1147",</v>
      </c>
      <c r="M1165" t="str">
        <v>"cate":"Resistor ",</v>
      </c>
      <c r="N1165" t="str">
        <v>"des":"RST 22K 1/8W 0805",</v>
      </c>
      <c r="O1165" t="str">
        <v>"mfg":"SUSUMU INTERNATIONAL",</v>
      </c>
      <c r="P1165" t="str">
        <v>"pn":"RG2012P-223-B-T5",</v>
      </c>
      <c r="Q1165" t="str">
        <v>"qty":2132</v>
      </c>
      <c r="S1165" t="s">
        <v>2498</v>
      </c>
      <c r="T1165" t="str">
        <f t="shared" si="160"/>
        <v>"id":"s1147","cate":"Resistor ","des":"RST 22K 1/8W 0805","mfg":"SUSUMU INTERNATIONAL","pn":"RG2012P-223-B-T5","qty":2132</v>
      </c>
      <c r="U1165" t="s">
        <v>2503</v>
      </c>
    </row>
    <row r="1166" spans="5:21" x14ac:dyDescent="0.25">
      <c r="E1166" s="6" t="s">
        <v>2382</v>
      </c>
      <c r="F1166" t="s">
        <v>1604</v>
      </c>
      <c r="G1166" t="s">
        <v>1605</v>
      </c>
      <c r="H1166" t="s">
        <v>1606</v>
      </c>
      <c r="I1166">
        <v>2056</v>
      </c>
      <c r="K1166" t="s">
        <v>3651</v>
      </c>
      <c r="L1166" t="str">
        <f t="shared" si="159"/>
        <v>"id":"s1148",</v>
      </c>
      <c r="M1166" t="str">
        <v>"cate":"Resistor ",</v>
      </c>
      <c r="N1166" t="str">
        <v>"des":"RST 1K 1/4W 5%0805",</v>
      </c>
      <c r="O1166" t="str">
        <v>"mfg":"KOA",</v>
      </c>
      <c r="P1166" t="str">
        <v>"pn":"RK73B2ATTD102J",</v>
      </c>
      <c r="Q1166" t="str">
        <v>"qty":2128</v>
      </c>
      <c r="S1166" t="s">
        <v>2498</v>
      </c>
      <c r="T1166" t="str">
        <f t="shared" si="160"/>
        <v>"id":"s1148","cate":"Resistor ","des":"RST 1K 1/4W 5%0805","mfg":"KOA","pn":"RK73B2ATTD102J","qty":2128</v>
      </c>
      <c r="U1166" t="s">
        <v>2503</v>
      </c>
    </row>
    <row r="1167" spans="5:21" x14ac:dyDescent="0.25">
      <c r="E1167" s="6" t="s">
        <v>2382</v>
      </c>
      <c r="F1167" t="s">
        <v>1604</v>
      </c>
      <c r="G1167" t="s">
        <v>1605</v>
      </c>
      <c r="H1167" t="s">
        <v>1607</v>
      </c>
      <c r="I1167">
        <v>2056</v>
      </c>
      <c r="K1167" t="s">
        <v>3652</v>
      </c>
      <c r="L1167" t="str">
        <f t="shared" si="159"/>
        <v>"id":"s1149",</v>
      </c>
      <c r="M1167" t="str">
        <v>"cate":"Resistor ",</v>
      </c>
      <c r="N1167" t="str">
        <v>"des":"RST 1K 1/4W 5%0805",</v>
      </c>
      <c r="O1167" t="str">
        <v>"mfg":"ROYAL OHM",</v>
      </c>
      <c r="P1167" t="str">
        <v>"pn":"HP05W3J0102T5E",</v>
      </c>
      <c r="Q1167" t="str">
        <v>"qty":2128</v>
      </c>
      <c r="S1167" t="s">
        <v>2498</v>
      </c>
      <c r="T1167" t="str">
        <f t="shared" si="160"/>
        <v>"id":"s1149","cate":"Resistor ","des":"RST 1K 1/4W 5%0805","mfg":"ROYAL OHM","pn":"HP05W3J0102T5E","qty":2128</v>
      </c>
      <c r="U1167" t="s">
        <v>2503</v>
      </c>
    </row>
    <row r="1168" spans="5:21" x14ac:dyDescent="0.25">
      <c r="E1168" t="s">
        <v>2194</v>
      </c>
      <c r="F1168" t="s">
        <v>2324</v>
      </c>
      <c r="G1168" t="s">
        <v>37</v>
      </c>
      <c r="H1168" t="s">
        <v>1608</v>
      </c>
      <c r="I1168">
        <v>2050</v>
      </c>
      <c r="K1168" t="s">
        <v>3653</v>
      </c>
      <c r="L1168" t="str">
        <f t="shared" si="159"/>
        <v>"id":"s1150",</v>
      </c>
      <c r="M1168" t="str">
        <v>"cate":"Resistor ",</v>
      </c>
      <c r="N1168" t="str">
        <v>"des":"RST 1K 1/4W 5%0805",</v>
      </c>
      <c r="O1168" t="str">
        <v>"mfg":"STACKPOLE ELECTRONICS INC",</v>
      </c>
      <c r="P1168" t="str">
        <v>"pn":"RPC0805JT1K00",</v>
      </c>
      <c r="Q1168" t="str">
        <v>"qty":2128</v>
      </c>
      <c r="S1168" t="s">
        <v>2498</v>
      </c>
      <c r="T1168" t="str">
        <f t="shared" si="160"/>
        <v>"id":"s1150","cate":"Resistor ","des":"RST 1K 1/4W 5%0805","mfg":"STACKPOLE ELECTRONICS INC","pn":"RPC0805JT1K00","qty":2128</v>
      </c>
      <c r="U1168" t="s">
        <v>2503</v>
      </c>
    </row>
    <row r="1169" spans="5:21" x14ac:dyDescent="0.25">
      <c r="E1169" t="s">
        <v>2194</v>
      </c>
      <c r="F1169" t="s">
        <v>2324</v>
      </c>
      <c r="G1169" t="s">
        <v>64</v>
      </c>
      <c r="H1169" t="s">
        <v>1609</v>
      </c>
      <c r="I1169">
        <v>2050</v>
      </c>
      <c r="K1169" t="s">
        <v>3654</v>
      </c>
      <c r="L1169" t="str">
        <f t="shared" si="159"/>
        <v>"id":"s1151",</v>
      </c>
      <c r="M1169" t="str">
        <v>"cate":"LED ",</v>
      </c>
      <c r="N1169" t="str">
        <v>"des":"LED SMD CL-GR 603",</v>
      </c>
      <c r="O1169" t="str">
        <v>"mfg":"LITE-ON",</v>
      </c>
      <c r="P1169" t="str">
        <v>"pn":"LTST-C190KGKT",</v>
      </c>
      <c r="Q1169" t="str">
        <v>"qty":2116</v>
      </c>
      <c r="S1169" t="s">
        <v>2498</v>
      </c>
      <c r="T1169" t="str">
        <f t="shared" si="160"/>
        <v>"id":"s1151","cate":"LED ","des":"LED SMD CL-GR 603","mfg":"LITE-ON","pn":"LTST-C190KGKT","qty":2116</v>
      </c>
      <c r="U1169" t="s">
        <v>2503</v>
      </c>
    </row>
    <row r="1170" spans="5:21" x14ac:dyDescent="0.25">
      <c r="E1170" t="s">
        <v>2405</v>
      </c>
      <c r="F1170" t="s">
        <v>2454</v>
      </c>
      <c r="G1170" t="s">
        <v>37</v>
      </c>
      <c r="H1170" t="s">
        <v>1610</v>
      </c>
      <c r="I1170">
        <v>2040</v>
      </c>
      <c r="K1170" t="s">
        <v>3655</v>
      </c>
      <c r="L1170" t="str">
        <f t="shared" si="159"/>
        <v>"id":"s1152",</v>
      </c>
      <c r="M1170" t="str">
        <v>"cate":"NTC ",</v>
      </c>
      <c r="N1170" t="str">
        <v>"des":"NTC 10 K 1%-02",</v>
      </c>
      <c r="O1170" t="str">
        <v>"mfg":"EPCOS/TDK",</v>
      </c>
      <c r="P1170" t="str">
        <v>"pn":"B57861S0103F040",</v>
      </c>
      <c r="Q1170" t="str">
        <v>"qty":2106</v>
      </c>
      <c r="S1170" t="s">
        <v>2498</v>
      </c>
      <c r="T1170" t="str">
        <f t="shared" si="160"/>
        <v>"id":"s1152","cate":"NTC ","des":"NTC 10 K 1%-02","mfg":"EPCOS/TDK","pn":"B57861S0103F040","qty":2106</v>
      </c>
      <c r="U1170" t="s">
        <v>2503</v>
      </c>
    </row>
    <row r="1171" spans="5:21" x14ac:dyDescent="0.25">
      <c r="E1171" t="s">
        <v>2405</v>
      </c>
      <c r="F1171" t="s">
        <v>2454</v>
      </c>
      <c r="G1171" t="s">
        <v>37</v>
      </c>
      <c r="H1171" t="s">
        <v>1611</v>
      </c>
      <c r="I1171">
        <v>2040</v>
      </c>
      <c r="K1171" t="s">
        <v>3656</v>
      </c>
      <c r="L1171" t="str">
        <f t="shared" si="159"/>
        <v>"id":"s1153",</v>
      </c>
      <c r="M1171" t="str">
        <v>"cate":"NTC ",</v>
      </c>
      <c r="N1171" t="str">
        <v>"des":"NTC 10 K 1%-02",</v>
      </c>
      <c r="O1171" t="str">
        <v>"mfg":"EPCOS/TDK",</v>
      </c>
      <c r="P1171" t="str">
        <v>"pn":"B57861S103F40",</v>
      </c>
      <c r="Q1171" t="str">
        <v>"qty":2106</v>
      </c>
      <c r="S1171" t="s">
        <v>2498</v>
      </c>
      <c r="T1171" t="str">
        <f t="shared" si="160"/>
        <v>"id":"s1153","cate":"NTC ","des":"NTC 10 K 1%-02","mfg":"EPCOS/TDK","pn":"B57861S103F40","qty":2106</v>
      </c>
      <c r="U1171" t="s">
        <v>2503</v>
      </c>
    </row>
    <row r="1172" spans="5:21" x14ac:dyDescent="0.25">
      <c r="E1172" t="s">
        <v>2405</v>
      </c>
      <c r="F1172" t="s">
        <v>2454</v>
      </c>
      <c r="G1172" t="s">
        <v>37</v>
      </c>
      <c r="H1172" t="s">
        <v>1612</v>
      </c>
      <c r="I1172">
        <v>2040</v>
      </c>
      <c r="K1172" t="s">
        <v>3657</v>
      </c>
      <c r="L1172" t="str">
        <f t="shared" ref="L1172:L1235" si="161">_xlfn.CONCAT("""","id","""",":","""",K1172,"""",",")</f>
        <v>"id":"s1154",</v>
      </c>
      <c r="M1172" t="str">
        <v>"cate":"Capacitor",</v>
      </c>
      <c r="N1172" t="str">
        <v>"des":"Capacitor 680UF/25V TH-1",</v>
      </c>
      <c r="O1172" t="str">
        <v>"mfg":"RUBYCON",</v>
      </c>
      <c r="P1172" t="str">
        <v>"pn":"25ZLS680MEFC10X16",</v>
      </c>
      <c r="Q1172" t="str">
        <v>"qty":2087</v>
      </c>
      <c r="S1172" t="s">
        <v>2498</v>
      </c>
      <c r="T1172" t="str">
        <f t="shared" ref="T1172:T1235" si="162">_xlfn.CONCAT(L1172:Q1172)</f>
        <v>"id":"s1154","cate":"Capacitor","des":"Capacitor 680UF/25V TH-1","mfg":"RUBYCON","pn":"25ZLS680MEFC10X16","qty":2087</v>
      </c>
      <c r="U1172" t="s">
        <v>2503</v>
      </c>
    </row>
    <row r="1173" spans="5:21" x14ac:dyDescent="0.25">
      <c r="E1173" t="s">
        <v>2194</v>
      </c>
      <c r="F1173" t="s">
        <v>2325</v>
      </c>
      <c r="G1173" t="s">
        <v>64</v>
      </c>
      <c r="H1173" t="s">
        <v>1613</v>
      </c>
      <c r="I1173">
        <v>2036</v>
      </c>
      <c r="K1173" t="s">
        <v>3658</v>
      </c>
      <c r="L1173" t="str">
        <f t="shared" si="161"/>
        <v>"id":"s1155",</v>
      </c>
      <c r="M1173" t="str">
        <v>"cate":"Resistor ",</v>
      </c>
      <c r="N1173" t="str">
        <v>"des":"RST 22K 62MW 5%1206",</v>
      </c>
      <c r="O1173" t="str">
        <v>"mfg":"BOURNS",</v>
      </c>
      <c r="P1173" t="str">
        <v>"pn":"CAY16-223J4LF",</v>
      </c>
      <c r="Q1173" t="str">
        <v>"qty":2087</v>
      </c>
      <c r="S1173" t="s">
        <v>2498</v>
      </c>
      <c r="T1173" t="str">
        <f t="shared" si="162"/>
        <v>"id":"s1155","cate":"Resistor ","des":"RST 22K 62MW 5%1206","mfg":"BOURNS","pn":"CAY16-223J4LF","qty":2087</v>
      </c>
      <c r="U1173" t="s">
        <v>2503</v>
      </c>
    </row>
    <row r="1174" spans="5:21" x14ac:dyDescent="0.25">
      <c r="E1174" t="s">
        <v>2127</v>
      </c>
      <c r="F1174" t="s">
        <v>1614</v>
      </c>
      <c r="G1174" t="s">
        <v>73</v>
      </c>
      <c r="H1174" t="s">
        <v>1615</v>
      </c>
      <c r="I1174">
        <v>2031</v>
      </c>
      <c r="K1174" t="s">
        <v>3659</v>
      </c>
      <c r="L1174" t="str">
        <f t="shared" si="161"/>
        <v>"id":"s1156",</v>
      </c>
      <c r="M1174" t="str">
        <v>"cate":"Capacitor",</v>
      </c>
      <c r="N1174" t="str">
        <v>"des":"Capacitor 4,7NF250V20%TH",</v>
      </c>
      <c r="O1174" t="str">
        <v>"mfg":"EPCOS/TDK",</v>
      </c>
      <c r="P1174" t="str">
        <v>"pn":"B32021A3472M",</v>
      </c>
      <c r="Q1174" t="str">
        <v>"qty":2076</v>
      </c>
      <c r="S1174" t="s">
        <v>2498</v>
      </c>
      <c r="T1174" t="str">
        <f t="shared" si="162"/>
        <v>"id":"s1156","cate":"Capacitor","des":"Capacitor 4,7NF250V20%TH","mfg":"EPCOS/TDK","pn":"B32021A3472M","qty":2076</v>
      </c>
      <c r="U1174" t="s">
        <v>2503</v>
      </c>
    </row>
    <row r="1175" spans="5:21" x14ac:dyDescent="0.25">
      <c r="E1175" t="s">
        <v>2127</v>
      </c>
      <c r="F1175" t="s">
        <v>1614</v>
      </c>
      <c r="G1175" t="s">
        <v>73</v>
      </c>
      <c r="H1175" t="s">
        <v>1616</v>
      </c>
      <c r="I1175">
        <v>2031</v>
      </c>
      <c r="K1175" t="s">
        <v>3660</v>
      </c>
      <c r="L1175" t="str">
        <f t="shared" si="161"/>
        <v>"id":"s1157",</v>
      </c>
      <c r="M1175" t="str">
        <v>"cate":"Capacitor",</v>
      </c>
      <c r="N1175" t="str">
        <v>"des":"Capacitor 4,7NF250V20%TH",</v>
      </c>
      <c r="O1175" t="str">
        <v>"mfg":"EPCOS/TDK",</v>
      </c>
      <c r="P1175" t="str">
        <v>"pn":"B32021A3472M000",</v>
      </c>
      <c r="Q1175" t="str">
        <v>"qty":2076</v>
      </c>
      <c r="S1175" t="s">
        <v>2498</v>
      </c>
      <c r="T1175" t="str">
        <f t="shared" si="162"/>
        <v>"id":"s1157","cate":"Capacitor","des":"Capacitor 4,7NF250V20%TH","mfg":"EPCOS/TDK","pn":"B32021A3472M000","qty":2076</v>
      </c>
      <c r="U1175" t="s">
        <v>2503</v>
      </c>
    </row>
    <row r="1176" spans="5:21" x14ac:dyDescent="0.25">
      <c r="E1176" t="s">
        <v>2127</v>
      </c>
      <c r="F1176" t="s">
        <v>1614</v>
      </c>
      <c r="G1176" t="s">
        <v>89</v>
      </c>
      <c r="H1176" t="s">
        <v>1617</v>
      </c>
      <c r="I1176">
        <v>2031</v>
      </c>
      <c r="K1176" t="s">
        <v>3661</v>
      </c>
      <c r="L1176" t="str">
        <f t="shared" si="161"/>
        <v>"id":"s1158",</v>
      </c>
      <c r="M1176" t="str">
        <v>"cate":"Resistor ",</v>
      </c>
      <c r="N1176" t="str">
        <v>"des":"RST 220 1/4W 5%206B",</v>
      </c>
      <c r="O1176" t="str">
        <v>"mfg":"YAGEO",</v>
      </c>
      <c r="P1176" t="str">
        <v>"pn":"RC1206JR-07220RL",</v>
      </c>
      <c r="Q1176" t="str">
        <v>"qty":2074</v>
      </c>
      <c r="S1176" t="s">
        <v>2498</v>
      </c>
      <c r="T1176" t="str">
        <f t="shared" si="162"/>
        <v>"id":"s1158","cate":"Resistor ","des":"RST 220 1/4W 5%206B","mfg":"YAGEO","pn":"RC1206JR-07220RL","qty":2074</v>
      </c>
      <c r="U1176" t="s">
        <v>2503</v>
      </c>
    </row>
    <row r="1177" spans="5:21" x14ac:dyDescent="0.25">
      <c r="E1177" t="s">
        <v>2193</v>
      </c>
      <c r="F1177" t="s">
        <v>1618</v>
      </c>
      <c r="G1177" t="s">
        <v>37</v>
      </c>
      <c r="H1177" t="s">
        <v>1619</v>
      </c>
      <c r="I1177">
        <v>2019</v>
      </c>
      <c r="K1177" t="s">
        <v>3662</v>
      </c>
      <c r="L1177" t="str">
        <f t="shared" si="161"/>
        <v>"id":"s1159",</v>
      </c>
      <c r="M1177" t="str">
        <v>"cate":"Resistor ",</v>
      </c>
      <c r="N1177" t="str">
        <v>"des":"RST 220 1/4W 5%206B",</v>
      </c>
      <c r="O1177" t="str">
        <v>"mfg":"BOURNS",</v>
      </c>
      <c r="P1177" t="str">
        <v>"pn":"CR1206-JW-221ELF",</v>
      </c>
      <c r="Q1177" t="str">
        <v>"qty":2074</v>
      </c>
      <c r="S1177" t="s">
        <v>2498</v>
      </c>
      <c r="T1177" t="str">
        <f t="shared" si="162"/>
        <v>"id":"s1159","cate":"Resistor ","des":"RST 220 1/4W 5%206B","mfg":"BOURNS","pn":"CR1206-JW-221ELF","qty":2074</v>
      </c>
      <c r="U1177" t="s">
        <v>2503</v>
      </c>
    </row>
    <row r="1178" spans="5:21" x14ac:dyDescent="0.25">
      <c r="E1178" t="s">
        <v>2194</v>
      </c>
      <c r="F1178" t="s">
        <v>2326</v>
      </c>
      <c r="G1178" t="s">
        <v>47</v>
      </c>
      <c r="H1178" t="s">
        <v>1620</v>
      </c>
      <c r="I1178">
        <v>2017</v>
      </c>
      <c r="K1178" t="s">
        <v>3663</v>
      </c>
      <c r="L1178" t="str">
        <f t="shared" si="161"/>
        <v>"id":"s1160",</v>
      </c>
      <c r="M1178" t="str">
        <v>"cate":"Resistor ",</v>
      </c>
      <c r="N1178" t="str">
        <v>"des":"RST 220 1/4W 5%206B",</v>
      </c>
      <c r="O1178" t="str">
        <v>"mfg":"BCC",</v>
      </c>
      <c r="P1178" t="str">
        <v>"pn":"RC01",</v>
      </c>
      <c r="Q1178" t="str">
        <v>"qty":2074</v>
      </c>
      <c r="S1178" t="s">
        <v>2498</v>
      </c>
      <c r="T1178" t="str">
        <f t="shared" si="162"/>
        <v>"id":"s1160","cate":"Resistor ","des":"RST 220 1/4W 5%206B","mfg":"BCC","pn":"RC01","qty":2074</v>
      </c>
      <c r="U1178" t="s">
        <v>2503</v>
      </c>
    </row>
    <row r="1179" spans="5:21" x14ac:dyDescent="0.25">
      <c r="E1179" t="s">
        <v>2194</v>
      </c>
      <c r="F1179" t="s">
        <v>2326</v>
      </c>
      <c r="G1179" t="s">
        <v>47</v>
      </c>
      <c r="H1179" t="s">
        <v>1621</v>
      </c>
      <c r="I1179">
        <v>2017</v>
      </c>
      <c r="K1179" t="s">
        <v>3664</v>
      </c>
      <c r="L1179" t="str">
        <f t="shared" si="161"/>
        <v>"id":"s1161",</v>
      </c>
      <c r="M1179" t="str">
        <v>"cate":"IC",</v>
      </c>
      <c r="N1179" t="str">
        <v>"des":"IC XC6215B302NR",</v>
      </c>
      <c r="O1179" t="str">
        <v>"mfg":"TOREX",</v>
      </c>
      <c r="P1179" t="str">
        <v>"pn":"XC6215B302NR",</v>
      </c>
      <c r="Q1179" t="str">
        <v>"qty":2056</v>
      </c>
      <c r="S1179" t="s">
        <v>2498</v>
      </c>
      <c r="T1179" t="str">
        <f t="shared" si="162"/>
        <v>"id":"s1161","cate":"IC","des":"IC XC6215B302NR","mfg":"TOREX","pn":"XC6215B302NR","qty":2056</v>
      </c>
      <c r="U1179" t="s">
        <v>2503</v>
      </c>
    </row>
    <row r="1180" spans="5:21" x14ac:dyDescent="0.25">
      <c r="E1180" t="s">
        <v>2194</v>
      </c>
      <c r="F1180" t="s">
        <v>2326</v>
      </c>
      <c r="G1180" t="s">
        <v>47</v>
      </c>
      <c r="H1180" t="s">
        <v>1622</v>
      </c>
      <c r="I1180">
        <v>2017</v>
      </c>
      <c r="K1180" t="s">
        <v>3665</v>
      </c>
      <c r="L1180" t="str">
        <f t="shared" si="161"/>
        <v>"id":"s1162",</v>
      </c>
      <c r="M1180" t="str">
        <v>"cate":"IC",</v>
      </c>
      <c r="N1180" t="str">
        <v>"des":"IC XC6215B302NR",</v>
      </c>
      <c r="O1180" t="str">
        <v>"mfg":"TOREX",</v>
      </c>
      <c r="P1180" t="str">
        <v>"pn":"XC6215B302NR-G",</v>
      </c>
      <c r="Q1180" t="str">
        <v>"qty":2056</v>
      </c>
      <c r="S1180" t="s">
        <v>2498</v>
      </c>
      <c r="T1180" t="str">
        <f t="shared" si="162"/>
        <v>"id":"s1162","cate":"IC","des":"IC XC6215B302NR","mfg":"TOREX","pn":"XC6215B302NR-G","qty":2056</v>
      </c>
      <c r="U1180" t="s">
        <v>2503</v>
      </c>
    </row>
    <row r="1181" spans="5:21" x14ac:dyDescent="0.25">
      <c r="E1181" t="s">
        <v>2194</v>
      </c>
      <c r="F1181" t="s">
        <v>2326</v>
      </c>
      <c r="G1181" t="s">
        <v>64</v>
      </c>
      <c r="H1181" t="s">
        <v>1623</v>
      </c>
      <c r="I1181">
        <v>2017</v>
      </c>
      <c r="K1181" t="s">
        <v>3666</v>
      </c>
      <c r="L1181" t="str">
        <f t="shared" si="161"/>
        <v>"id":"s1163",</v>
      </c>
      <c r="M1181" t="str">
        <v>"cate":"Capacitor",</v>
      </c>
      <c r="N1181" t="str">
        <v>"des":"Capacitor 4,7NF/250V 20%",</v>
      </c>
      <c r="O1181" t="str">
        <v>"mfg":"VISHAY",</v>
      </c>
      <c r="P1181" t="str">
        <v>"pn":"WYO472MCMCF0KR",</v>
      </c>
      <c r="Q1181" t="str">
        <v>"qty":2050</v>
      </c>
      <c r="S1181" t="s">
        <v>2498</v>
      </c>
      <c r="T1181" t="str">
        <f t="shared" si="162"/>
        <v>"id":"s1163","cate":"Capacitor","des":"Capacitor 4,7NF/250V 20%","mfg":"VISHAY","pn":"WYO472MCMCF0KR","qty":2050</v>
      </c>
      <c r="U1181" t="s">
        <v>2503</v>
      </c>
    </row>
    <row r="1182" spans="5:21" x14ac:dyDescent="0.25">
      <c r="E1182" t="s">
        <v>2194</v>
      </c>
      <c r="F1182" t="s">
        <v>2327</v>
      </c>
      <c r="G1182" t="s">
        <v>13</v>
      </c>
      <c r="H1182" t="s">
        <v>1624</v>
      </c>
      <c r="I1182">
        <v>2000</v>
      </c>
      <c r="K1182" t="s">
        <v>3667</v>
      </c>
      <c r="L1182" t="str">
        <f t="shared" si="161"/>
        <v>"id":"s1164",</v>
      </c>
      <c r="M1182" t="str">
        <v>"cate":"Capacitor",</v>
      </c>
      <c r="N1182" t="str">
        <v>"des":"Capacitor 4,7NF/250V 20%",</v>
      </c>
      <c r="O1182" t="str">
        <v>"mfg":"MURATA MANUFACTURING",</v>
      </c>
      <c r="P1182" t="str">
        <v>"pn":"DE2E3KY472MA3BM02F",</v>
      </c>
      <c r="Q1182" t="str">
        <v>"qty":2050</v>
      </c>
      <c r="S1182" t="s">
        <v>2498</v>
      </c>
      <c r="T1182" t="str">
        <f t="shared" si="162"/>
        <v>"id":"s1164","cate":"Capacitor","des":"Capacitor 4,7NF/250V 20%","mfg":"MURATA MANUFACTURING","pn":"DE2E3KY472MA3BM02F","qty":2050</v>
      </c>
      <c r="U1182" t="s">
        <v>2503</v>
      </c>
    </row>
    <row r="1183" spans="5:21" x14ac:dyDescent="0.25">
      <c r="E1183" s="6" t="s">
        <v>2474</v>
      </c>
      <c r="F1183" t="s">
        <v>1625</v>
      </c>
      <c r="G1183" t="s">
        <v>28</v>
      </c>
      <c r="H1183" t="s">
        <v>1626</v>
      </c>
      <c r="I1183">
        <v>1992</v>
      </c>
      <c r="K1183" t="s">
        <v>3668</v>
      </c>
      <c r="L1183" t="str">
        <f t="shared" si="161"/>
        <v>"id":"s1165",</v>
      </c>
      <c r="M1183" t="str">
        <v>"cate":"Diode",</v>
      </c>
      <c r="N1183" t="str">
        <v>"des":"DiodeE ZE 3V/0,5W 5%",</v>
      </c>
      <c r="O1183" t="str">
        <v>"mfg":"VISHAY",</v>
      </c>
      <c r="P1183" t="str">
        <v>"pn":"MMSZ5225B",</v>
      </c>
      <c r="Q1183" t="str">
        <v>"qty":2040</v>
      </c>
      <c r="S1183" t="s">
        <v>2498</v>
      </c>
      <c r="T1183" t="str">
        <f t="shared" si="162"/>
        <v>"id":"s1165","cate":"Diode","des":"DiodeE ZE 3V/0,5W 5%","mfg":"VISHAY","pn":"MMSZ5225B","qty":2040</v>
      </c>
      <c r="U1183" t="s">
        <v>2503</v>
      </c>
    </row>
    <row r="1184" spans="5:21" x14ac:dyDescent="0.25">
      <c r="E1184" s="6" t="s">
        <v>2474</v>
      </c>
      <c r="F1184" t="s">
        <v>1625</v>
      </c>
      <c r="G1184" t="s">
        <v>28</v>
      </c>
      <c r="H1184" t="s">
        <v>1627</v>
      </c>
      <c r="I1184">
        <v>1992</v>
      </c>
      <c r="K1184" t="s">
        <v>3669</v>
      </c>
      <c r="L1184" t="str">
        <f t="shared" si="161"/>
        <v>"id":"s1166",</v>
      </c>
      <c r="M1184" t="str">
        <v>"cate":"Diode",</v>
      </c>
      <c r="N1184" t="str">
        <v>"des":"DiodeE ZE 3V/0,5W 5%",</v>
      </c>
      <c r="O1184" t="str">
        <v>"mfg":"VISHAY",</v>
      </c>
      <c r="P1184" t="str">
        <v>"pn":"MMSZ5225B-E3-08",</v>
      </c>
      <c r="Q1184" t="str">
        <v>"qty":2040</v>
      </c>
      <c r="S1184" t="s">
        <v>2498</v>
      </c>
      <c r="T1184" t="str">
        <f t="shared" si="162"/>
        <v>"id":"s1166","cate":"Diode","des":"DiodeE ZE 3V/0,5W 5%","mfg":"VISHAY","pn":"MMSZ5225B-E3-08","qty":2040</v>
      </c>
      <c r="U1184" t="s">
        <v>2503</v>
      </c>
    </row>
    <row r="1185" spans="5:21" x14ac:dyDescent="0.25">
      <c r="E1185" t="s">
        <v>2394</v>
      </c>
      <c r="F1185" t="s">
        <v>2404</v>
      </c>
      <c r="G1185" t="s">
        <v>551</v>
      </c>
      <c r="H1185" t="s">
        <v>1628</v>
      </c>
      <c r="I1185">
        <v>1987</v>
      </c>
      <c r="K1185" t="s">
        <v>3670</v>
      </c>
      <c r="L1185" t="str">
        <f t="shared" si="161"/>
        <v>"id":"s1167",</v>
      </c>
      <c r="M1185" t="str">
        <v>"cate":"Diode",</v>
      </c>
      <c r="N1185" t="str">
        <v>"des":"DiodeE ZE 3V/0,5W 5%",</v>
      </c>
      <c r="O1185" t="str">
        <v>"mfg":"VISHAY",</v>
      </c>
      <c r="P1185" t="str">
        <v>"pn":"MMSZ5225BT1G",</v>
      </c>
      <c r="Q1185" t="str">
        <v>"qty":2040</v>
      </c>
      <c r="S1185" t="s">
        <v>2498</v>
      </c>
      <c r="T1185" t="str">
        <f t="shared" si="162"/>
        <v>"id":"s1167","cate":"Diode","des":"DiodeE ZE 3V/0,5W 5%","mfg":"VISHAY","pn":"MMSZ5225BT1G","qty":2040</v>
      </c>
      <c r="U1185" t="s">
        <v>2503</v>
      </c>
    </row>
    <row r="1186" spans="5:21" x14ac:dyDescent="0.25">
      <c r="E1186" t="s">
        <v>2394</v>
      </c>
      <c r="F1186" t="s">
        <v>2404</v>
      </c>
      <c r="G1186" t="s">
        <v>551</v>
      </c>
      <c r="H1186" t="s">
        <v>1629</v>
      </c>
      <c r="I1186">
        <v>1987</v>
      </c>
      <c r="K1186" t="s">
        <v>3671</v>
      </c>
      <c r="L1186" t="str">
        <f t="shared" si="161"/>
        <v>"id":"s1168",</v>
      </c>
      <c r="M1186" t="str">
        <v>"cate":"Capacitor",</v>
      </c>
      <c r="N1186" t="str">
        <v>"des":"Capacitor 27PF/50V 1%",</v>
      </c>
      <c r="O1186" t="str">
        <v>"mfg":"MURATA MANUFACTURING",</v>
      </c>
      <c r="P1186" t="str">
        <v>"pn":"GCM1555G1H270FA16D",</v>
      </c>
      <c r="Q1186" t="str">
        <v>"qty":2036</v>
      </c>
      <c r="S1186" t="s">
        <v>2498</v>
      </c>
      <c r="T1186" t="str">
        <f t="shared" si="162"/>
        <v>"id":"s1168","cate":"Capacitor","des":"Capacitor 27PF/50V 1%","mfg":"MURATA MANUFACTURING","pn":"GCM1555G1H270FA16D","qty":2036</v>
      </c>
      <c r="U1186" t="s">
        <v>2503</v>
      </c>
    </row>
    <row r="1187" spans="5:21" x14ac:dyDescent="0.25">
      <c r="E1187" t="s">
        <v>2193</v>
      </c>
      <c r="F1187" t="s">
        <v>1630</v>
      </c>
      <c r="G1187" t="s">
        <v>37</v>
      </c>
      <c r="H1187" t="s">
        <v>1631</v>
      </c>
      <c r="I1187">
        <v>1986</v>
      </c>
      <c r="K1187" t="s">
        <v>3672</v>
      </c>
      <c r="L1187" t="str">
        <f t="shared" si="161"/>
        <v>"id":"s1169",</v>
      </c>
      <c r="M1187" t="str">
        <v>"cate":"IND ",</v>
      </c>
      <c r="N1187" t="str">
        <v>"des":"IND 3,3UH 58MR 2,4A",</v>
      </c>
      <c r="O1187" t="str">
        <v>"mfg":"TAIYO YUDEN",</v>
      </c>
      <c r="P1187" t="str">
        <v>"pn":"LBXND5050WKT3R3NMG",</v>
      </c>
      <c r="Q1187" t="str">
        <v>"qty":2031</v>
      </c>
      <c r="S1187" t="s">
        <v>2498</v>
      </c>
      <c r="T1187" t="str">
        <f t="shared" si="162"/>
        <v>"id":"s1169","cate":"IND ","des":"IND 3,3UH 58MR 2,4A","mfg":"TAIYO YUDEN","pn":"LBXND5050WKT3R3NMG","qty":2031</v>
      </c>
      <c r="U1187" t="s">
        <v>2503</v>
      </c>
    </row>
    <row r="1188" spans="5:21" x14ac:dyDescent="0.25">
      <c r="E1188" t="s">
        <v>2193</v>
      </c>
      <c r="F1188" t="s">
        <v>1630</v>
      </c>
      <c r="G1188" t="s">
        <v>320</v>
      </c>
      <c r="H1188" t="s">
        <v>1632</v>
      </c>
      <c r="I1188">
        <v>1986</v>
      </c>
      <c r="K1188" t="s">
        <v>3673</v>
      </c>
      <c r="L1188" t="str">
        <f t="shared" si="161"/>
        <v>"id":"s1170",</v>
      </c>
      <c r="M1188" t="str">
        <v>"cate":"IND ",</v>
      </c>
      <c r="N1188" t="str">
        <v>"des":"IND 3,3UH 58MR 2,4A",</v>
      </c>
      <c r="O1188" t="str">
        <v>"mfg":"TAIYO YUDEN",</v>
      </c>
      <c r="P1188" t="str">
        <v>"pn":"NRS5020T 3R3NMGJ",</v>
      </c>
      <c r="Q1188" t="str">
        <v>"qty":2031</v>
      </c>
      <c r="S1188" t="s">
        <v>2498</v>
      </c>
      <c r="T1188" t="str">
        <f t="shared" si="162"/>
        <v>"id":"s1170","cate":"IND ","des":"IND 3,3UH 58MR 2,4A","mfg":"TAIYO YUDEN","pn":"NRS5020T 3R3NMGJ","qty":2031</v>
      </c>
      <c r="U1188" t="s">
        <v>2503</v>
      </c>
    </row>
    <row r="1189" spans="5:21" x14ac:dyDescent="0.25">
      <c r="E1189" t="s">
        <v>2193</v>
      </c>
      <c r="F1189" t="s">
        <v>1630</v>
      </c>
      <c r="G1189" t="s">
        <v>202</v>
      </c>
      <c r="H1189" t="s">
        <v>1633</v>
      </c>
      <c r="I1189">
        <v>1986</v>
      </c>
      <c r="K1189" t="s">
        <v>3674</v>
      </c>
      <c r="L1189" t="str">
        <f t="shared" si="161"/>
        <v>"id":"s1171",</v>
      </c>
      <c r="M1189" t="str">
        <v>"cate":"IND ",</v>
      </c>
      <c r="N1189" t="str">
        <v>"des":"IND 3,3UH 58MR 2,4A",</v>
      </c>
      <c r="O1189" t="str">
        <v>"mfg":"BOURNS",</v>
      </c>
      <c r="P1189" t="str">
        <v>"pn":"SRN5020-3R3M",</v>
      </c>
      <c r="Q1189" t="str">
        <v>"qty":2031</v>
      </c>
      <c r="S1189" t="s">
        <v>2498</v>
      </c>
      <c r="T1189" t="str">
        <f t="shared" si="162"/>
        <v>"id":"s1171","cate":"IND ","des":"IND 3,3UH 58MR 2,4A","mfg":"BOURNS","pn":"SRN5020-3R3M","qty":2031</v>
      </c>
      <c r="U1189" t="s">
        <v>2503</v>
      </c>
    </row>
    <row r="1190" spans="5:21" x14ac:dyDescent="0.25">
      <c r="E1190" t="s">
        <v>2193</v>
      </c>
      <c r="F1190" t="s">
        <v>1634</v>
      </c>
      <c r="G1190" t="s">
        <v>13</v>
      </c>
      <c r="H1190" t="s">
        <v>1635</v>
      </c>
      <c r="I1190">
        <v>1985</v>
      </c>
      <c r="K1190" t="s">
        <v>3675</v>
      </c>
      <c r="L1190" t="str">
        <f t="shared" si="161"/>
        <v>"id":"s1172",</v>
      </c>
      <c r="M1190" t="str">
        <v>"cate":"Resistor ",</v>
      </c>
      <c r="N1190" t="str">
        <v>"des":"RST 47,5K 1/8W1%805",</v>
      </c>
      <c r="O1190" t="str">
        <v>"mfg":"VISHAY",</v>
      </c>
      <c r="P1190" t="str">
        <v>"pn":"CRCW080547K5FKEA",</v>
      </c>
      <c r="Q1190" t="str">
        <v>"qty":2019</v>
      </c>
      <c r="S1190" t="s">
        <v>2498</v>
      </c>
      <c r="T1190" t="str">
        <f t="shared" si="162"/>
        <v>"id":"s1172","cate":"Resistor ","des":"RST 47,5K 1/8W1%805","mfg":"VISHAY","pn":"CRCW080547K5FKEA","qty":2019</v>
      </c>
      <c r="U1190" t="s">
        <v>2503</v>
      </c>
    </row>
    <row r="1191" spans="5:21" x14ac:dyDescent="0.25">
      <c r="E1191" t="s">
        <v>2193</v>
      </c>
      <c r="F1191" t="s">
        <v>1634</v>
      </c>
      <c r="G1191" t="s">
        <v>37</v>
      </c>
      <c r="H1191" t="s">
        <v>1636</v>
      </c>
      <c r="I1191">
        <v>1985</v>
      </c>
      <c r="K1191" t="s">
        <v>3676</v>
      </c>
      <c r="L1191" t="str">
        <f t="shared" si="161"/>
        <v>"id":"s1173",</v>
      </c>
      <c r="M1191" t="str">
        <v>"cate":"Capacitor",</v>
      </c>
      <c r="N1191" t="str">
        <v>"des":"Capacitor 15NF/50V 1%805",</v>
      </c>
      <c r="O1191" t="str">
        <v>"mfg":"KEMET",</v>
      </c>
      <c r="P1191" t="str">
        <v>"pn":"C0805C153F5GACAUTO",</v>
      </c>
      <c r="Q1191" t="str">
        <v>"qty":2017</v>
      </c>
      <c r="S1191" t="s">
        <v>2498</v>
      </c>
      <c r="T1191" t="str">
        <f t="shared" si="162"/>
        <v>"id":"s1173","cate":"Capacitor","des":"Capacitor 15NF/50V 1%805","mfg":"KEMET","pn":"C0805C153F5GACAUTO","qty":2017</v>
      </c>
      <c r="U1191" t="s">
        <v>2503</v>
      </c>
    </row>
    <row r="1192" spans="5:21" x14ac:dyDescent="0.25">
      <c r="E1192" t="s">
        <v>2194</v>
      </c>
      <c r="F1192" t="s">
        <v>2328</v>
      </c>
      <c r="G1192" t="s">
        <v>13</v>
      </c>
      <c r="H1192" t="s">
        <v>95</v>
      </c>
      <c r="I1192">
        <v>1978</v>
      </c>
      <c r="K1192" t="s">
        <v>3677</v>
      </c>
      <c r="L1192" t="str">
        <f t="shared" si="161"/>
        <v>"id":"s1174",</v>
      </c>
      <c r="M1192" t="str">
        <v>"cate":"Capacitor",</v>
      </c>
      <c r="N1192" t="str">
        <v>"des":"Capacitor 15NF/50V 1%805",</v>
      </c>
      <c r="O1192" t="str">
        <v>"mfg":"KEMET",</v>
      </c>
      <c r="P1192" t="str">
        <v>"pn":"C0805C153F5GACTU",</v>
      </c>
      <c r="Q1192" t="str">
        <v>"qty":2017</v>
      </c>
      <c r="S1192" t="s">
        <v>2498</v>
      </c>
      <c r="T1192" t="str">
        <f t="shared" si="162"/>
        <v>"id":"s1174","cate":"Capacitor","des":"Capacitor 15NF/50V 1%805","mfg":"KEMET","pn":"C0805C153F5GACTU","qty":2017</v>
      </c>
      <c r="U1192" t="s">
        <v>2503</v>
      </c>
    </row>
    <row r="1193" spans="5:21" x14ac:dyDescent="0.25">
      <c r="E1193" t="s">
        <v>2194</v>
      </c>
      <c r="F1193" t="s">
        <v>2329</v>
      </c>
      <c r="G1193" t="s">
        <v>13</v>
      </c>
      <c r="H1193" t="s">
        <v>1637</v>
      </c>
      <c r="I1193">
        <v>1975</v>
      </c>
      <c r="K1193" t="s">
        <v>3678</v>
      </c>
      <c r="L1193" t="str">
        <f t="shared" si="161"/>
        <v>"id":"s1175",</v>
      </c>
      <c r="M1193" t="str">
        <v>"cate":"Capacitor",</v>
      </c>
      <c r="N1193" t="str">
        <v>"des":"Capacitor 15NF/50V 1%805",</v>
      </c>
      <c r="O1193" t="str">
        <v>"mfg":"KEMET",</v>
      </c>
      <c r="P1193" t="str">
        <v>"pn":"C0805C153F5GALTU",</v>
      </c>
      <c r="Q1193" t="str">
        <v>"qty":2017</v>
      </c>
      <c r="S1193" t="s">
        <v>2498</v>
      </c>
      <c r="T1193" t="str">
        <f t="shared" si="162"/>
        <v>"id":"s1175","cate":"Capacitor","des":"Capacitor 15NF/50V 1%805","mfg":"KEMET","pn":"C0805C153F5GALTU","qty":2017</v>
      </c>
      <c r="U1193" t="s">
        <v>2503</v>
      </c>
    </row>
    <row r="1194" spans="5:21" x14ac:dyDescent="0.25">
      <c r="E1194" t="s">
        <v>2194</v>
      </c>
      <c r="F1194" t="s">
        <v>2329</v>
      </c>
      <c r="G1194" t="s">
        <v>47</v>
      </c>
      <c r="H1194" t="s">
        <v>1638</v>
      </c>
      <c r="I1194">
        <v>1975</v>
      </c>
      <c r="K1194" t="s">
        <v>3679</v>
      </c>
      <c r="L1194" t="str">
        <f t="shared" si="161"/>
        <v>"id":"s1176",</v>
      </c>
      <c r="M1194" t="str">
        <v>"cate":"Capacitor",</v>
      </c>
      <c r="N1194" t="str">
        <v>"des":"Capacitor 15NF/50V 1%805",</v>
      </c>
      <c r="O1194" t="str">
        <v>"mfg":"MURATA MANUFACTURING",</v>
      </c>
      <c r="P1194" t="str">
        <v>"pn":"GCM2195C1H153FA16D",</v>
      </c>
      <c r="Q1194" t="str">
        <v>"qty":2017</v>
      </c>
      <c r="S1194" t="s">
        <v>2498</v>
      </c>
      <c r="T1194" t="str">
        <f t="shared" si="162"/>
        <v>"id":"s1176","cate":"Capacitor","des":"Capacitor 15NF/50V 1%805","mfg":"MURATA MANUFACTURING","pn":"GCM2195C1H153FA16D","qty":2017</v>
      </c>
      <c r="U1194" t="s">
        <v>2503</v>
      </c>
    </row>
    <row r="1195" spans="5:21" x14ac:dyDescent="0.25">
      <c r="E1195" t="s">
        <v>2194</v>
      </c>
      <c r="F1195" t="s">
        <v>2329</v>
      </c>
      <c r="G1195" t="s">
        <v>47</v>
      </c>
      <c r="H1195" t="s">
        <v>1639</v>
      </c>
      <c r="I1195">
        <v>1975</v>
      </c>
      <c r="K1195" t="s">
        <v>3680</v>
      </c>
      <c r="L1195" t="str">
        <f t="shared" si="161"/>
        <v>"id":"s1177",</v>
      </c>
      <c r="M1195" t="str">
        <v>"cate":"Capacitor",</v>
      </c>
      <c r="N1195" t="str">
        <v>"des":"Capacitor 220NF 16V0603",</v>
      </c>
      <c r="O1195" t="str">
        <v>"mfg":"YAGEO",</v>
      </c>
      <c r="P1195" t="str">
        <v>"pn":"CC0603KRX7R7BB224",</v>
      </c>
      <c r="Q1195" t="str">
        <v>"qty":2000</v>
      </c>
      <c r="S1195" t="s">
        <v>2498</v>
      </c>
      <c r="T1195" t="str">
        <f t="shared" si="162"/>
        <v>"id":"s1177","cate":"Capacitor","des":"Capacitor 220NF 16V0603","mfg":"YAGEO","pn":"CC0603KRX7R7BB224","qty":2000</v>
      </c>
      <c r="U1195" t="s">
        <v>2503</v>
      </c>
    </row>
    <row r="1196" spans="5:21" x14ac:dyDescent="0.25">
      <c r="E1196" t="s">
        <v>2194</v>
      </c>
      <c r="F1196" t="s">
        <v>2329</v>
      </c>
      <c r="G1196" t="s">
        <v>73</v>
      </c>
      <c r="H1196" t="s">
        <v>1640</v>
      </c>
      <c r="I1196">
        <v>1975</v>
      </c>
      <c r="K1196" t="s">
        <v>3681</v>
      </c>
      <c r="L1196" t="str">
        <f t="shared" si="161"/>
        <v>"id":"s1178",</v>
      </c>
      <c r="M1196" t="str">
        <v>"cate":"MOSFET",</v>
      </c>
      <c r="N1196" t="str">
        <v>"des":"MOS 25V 0,22A DUALN",</v>
      </c>
      <c r="O1196" t="str">
        <v>"mfg":"ON SEMICONDUCTOR",</v>
      </c>
      <c r="P1196" t="str">
        <v>"pn":"FDG6301N",</v>
      </c>
      <c r="Q1196" t="str">
        <v>"qty":1992</v>
      </c>
      <c r="S1196" t="s">
        <v>2498</v>
      </c>
      <c r="T1196" t="str">
        <f t="shared" si="162"/>
        <v>"id":"s1178","cate":"MOSFET","des":"MOS 25V 0,22A DUALN","mfg":"ON SEMICONDUCTOR","pn":"FDG6301N","qty":1992</v>
      </c>
      <c r="U1196" t="s">
        <v>2503</v>
      </c>
    </row>
    <row r="1197" spans="5:21" x14ac:dyDescent="0.25">
      <c r="E1197" t="s">
        <v>2194</v>
      </c>
      <c r="F1197" t="s">
        <v>2329</v>
      </c>
      <c r="G1197" t="s">
        <v>62</v>
      </c>
      <c r="H1197" t="s">
        <v>1641</v>
      </c>
      <c r="I1197">
        <v>1975</v>
      </c>
      <c r="K1197" t="s">
        <v>3682</v>
      </c>
      <c r="L1197" t="str">
        <f t="shared" si="161"/>
        <v>"id":"s1179",</v>
      </c>
      <c r="M1197" t="str">
        <v>"cate":"MOSFET",</v>
      </c>
      <c r="N1197" t="str">
        <v>"des":"MOS 25V 0,22A DUALN",</v>
      </c>
      <c r="O1197" t="str">
        <v>"mfg":"ON SEMICONDUCTOR",</v>
      </c>
      <c r="P1197" t="str">
        <v>"pn":"NTJD4001NT1G",</v>
      </c>
      <c r="Q1197" t="str">
        <v>"qty":1992</v>
      </c>
      <c r="S1197" t="s">
        <v>2498</v>
      </c>
      <c r="T1197" t="str">
        <f t="shared" si="162"/>
        <v>"id":"s1179","cate":"MOSFET","des":"MOS 25V 0,22A DUALN","mfg":"ON SEMICONDUCTOR","pn":"NTJD4001NT1G","qty":1992</v>
      </c>
      <c r="U1197" t="s">
        <v>2503</v>
      </c>
    </row>
    <row r="1198" spans="5:21" x14ac:dyDescent="0.25">
      <c r="E1198" t="s">
        <v>2194</v>
      </c>
      <c r="F1198" t="s">
        <v>2330</v>
      </c>
      <c r="G1198" t="s">
        <v>47</v>
      </c>
      <c r="H1198" t="s">
        <v>1642</v>
      </c>
      <c r="I1198">
        <v>1971</v>
      </c>
      <c r="K1198" t="s">
        <v>3683</v>
      </c>
      <c r="L1198" t="str">
        <f t="shared" si="161"/>
        <v>"id":"s1180",</v>
      </c>
      <c r="M1198" t="str">
        <v>"cate":"Choke Coil",</v>
      </c>
      <c r="N1198" t="str">
        <v>"des":"Choke CoilE SMD 33UH 3,5A",</v>
      </c>
      <c r="O1198" t="str">
        <v>"mfg":"TT ELECTRONICS",</v>
      </c>
      <c r="P1198" t="str">
        <v>"pn":"HM76-30330JLF",</v>
      </c>
      <c r="Q1198" t="str">
        <v>"qty":1987</v>
      </c>
      <c r="S1198" t="s">
        <v>2498</v>
      </c>
      <c r="T1198" t="str">
        <f t="shared" si="162"/>
        <v>"id":"s1180","cate":"Choke Coil","des":"Choke CoilE SMD 33UH 3,5A","mfg":"TT ELECTRONICS","pn":"HM76-30330JLF","qty":1987</v>
      </c>
      <c r="U1198" t="s">
        <v>2503</v>
      </c>
    </row>
    <row r="1199" spans="5:21" x14ac:dyDescent="0.25">
      <c r="E1199" t="s">
        <v>2194</v>
      </c>
      <c r="F1199" t="s">
        <v>2330</v>
      </c>
      <c r="G1199" t="s">
        <v>47</v>
      </c>
      <c r="H1199" t="s">
        <v>1643</v>
      </c>
      <c r="I1199">
        <v>1971</v>
      </c>
      <c r="K1199" t="s">
        <v>3684</v>
      </c>
      <c r="L1199" t="str">
        <f t="shared" si="161"/>
        <v>"id":"s1181",</v>
      </c>
      <c r="M1199" t="str">
        <v>"cate":"Choke Coil",</v>
      </c>
      <c r="N1199" t="str">
        <v>"des":"Choke CoilE SMD 33UH 3,5A",</v>
      </c>
      <c r="O1199" t="str">
        <v>"mfg":"TT ELECTRONICS",</v>
      </c>
      <c r="P1199" t="str">
        <v>"pn":"HM76-30330JLFTR13",</v>
      </c>
      <c r="Q1199" t="str">
        <v>"qty":1987</v>
      </c>
      <c r="S1199" t="s">
        <v>2498</v>
      </c>
      <c r="T1199" t="str">
        <f t="shared" si="162"/>
        <v>"id":"s1181","cate":"Choke Coil","des":"Choke CoilE SMD 33UH 3,5A","mfg":"TT ELECTRONICS","pn":"HM76-30330JLFTR13","qty":1987</v>
      </c>
      <c r="U1199" t="s">
        <v>2503</v>
      </c>
    </row>
    <row r="1200" spans="5:21" x14ac:dyDescent="0.25">
      <c r="E1200" s="6" t="s">
        <v>2474</v>
      </c>
      <c r="F1200" t="s">
        <v>1644</v>
      </c>
      <c r="G1200" t="s">
        <v>2467</v>
      </c>
      <c r="H1200" t="s">
        <v>1645</v>
      </c>
      <c r="I1200">
        <v>1971</v>
      </c>
      <c r="K1200" t="s">
        <v>3685</v>
      </c>
      <c r="L1200" t="str">
        <f t="shared" si="161"/>
        <v>"id":"s1182",</v>
      </c>
      <c r="M1200" t="str">
        <v>"cate":"Resistor ",</v>
      </c>
      <c r="N1200" t="str">
        <v>"des":"RST 330R 1/8W 1%805",</v>
      </c>
      <c r="O1200" t="str">
        <v>"mfg":"VISHAY",</v>
      </c>
      <c r="P1200" t="str">
        <v>"pn":"CRCW0805330RFKEA",</v>
      </c>
      <c r="Q1200" t="str">
        <v>"qty":1986</v>
      </c>
      <c r="S1200" t="s">
        <v>2498</v>
      </c>
      <c r="T1200" t="str">
        <f t="shared" si="162"/>
        <v>"id":"s1182","cate":"Resistor ","des":"RST 330R 1/8W 1%805","mfg":"VISHAY","pn":"CRCW0805330RFKEA","qty":1986</v>
      </c>
      <c r="U1200" t="s">
        <v>2503</v>
      </c>
    </row>
    <row r="1201" spans="5:21" x14ac:dyDescent="0.25">
      <c r="E1201" t="s">
        <v>2194</v>
      </c>
      <c r="F1201" t="s">
        <v>2331</v>
      </c>
      <c r="G1201" t="s">
        <v>13</v>
      </c>
      <c r="H1201" t="s">
        <v>269</v>
      </c>
      <c r="I1201">
        <v>1970</v>
      </c>
      <c r="K1201" t="s">
        <v>3686</v>
      </c>
      <c r="L1201" t="str">
        <f t="shared" si="161"/>
        <v>"id":"s1183",</v>
      </c>
      <c r="M1201" t="str">
        <v>"cate":"Resistor ",</v>
      </c>
      <c r="N1201" t="str">
        <v>"des":"RST 330R 1/8W 1%805",</v>
      </c>
      <c r="O1201" t="str">
        <v>"mfg":"ROYAL OHM",</v>
      </c>
      <c r="P1201" t="str">
        <v>"pn":"0805W8F3300T5E",</v>
      </c>
      <c r="Q1201" t="str">
        <v>"qty":1986</v>
      </c>
      <c r="S1201" t="s">
        <v>2498</v>
      </c>
      <c r="T1201" t="str">
        <f t="shared" si="162"/>
        <v>"id":"s1183","cate":"Resistor ","des":"RST 330R 1/8W 1%805","mfg":"ROYAL OHM","pn":"0805W8F3300T5E","qty":1986</v>
      </c>
      <c r="U1201" t="s">
        <v>2503</v>
      </c>
    </row>
    <row r="1202" spans="5:21" x14ac:dyDescent="0.25">
      <c r="E1202" t="s">
        <v>2194</v>
      </c>
      <c r="F1202" t="s">
        <v>2331</v>
      </c>
      <c r="G1202" t="s">
        <v>47</v>
      </c>
      <c r="H1202" t="s">
        <v>1646</v>
      </c>
      <c r="I1202">
        <v>1970</v>
      </c>
      <c r="K1202" t="s">
        <v>3687</v>
      </c>
      <c r="L1202" t="str">
        <f t="shared" si="161"/>
        <v>"id":"s1184",</v>
      </c>
      <c r="M1202" t="str">
        <v>"cate":"Resistor ",</v>
      </c>
      <c r="N1202" t="str">
        <v>"des":"RST 330R 1/8W 1%805",</v>
      </c>
      <c r="O1202" t="str">
        <v>"mfg":"TE CONNECTIVITY",</v>
      </c>
      <c r="P1202" t="str">
        <v>"pn":"CRG0805F330R",</v>
      </c>
      <c r="Q1202" t="str">
        <v>"qty":1986</v>
      </c>
      <c r="S1202" t="s">
        <v>2498</v>
      </c>
      <c r="T1202" t="str">
        <f t="shared" si="162"/>
        <v>"id":"s1184","cate":"Resistor ","des":"RST 330R 1/8W 1%805","mfg":"TE CONNECTIVITY","pn":"CRG0805F330R","qty":1986</v>
      </c>
      <c r="U1202" t="s">
        <v>2503</v>
      </c>
    </row>
    <row r="1203" spans="5:21" x14ac:dyDescent="0.25">
      <c r="E1203" t="s">
        <v>2194</v>
      </c>
      <c r="F1203" t="s">
        <v>2331</v>
      </c>
      <c r="G1203" t="s">
        <v>49</v>
      </c>
      <c r="H1203" t="s">
        <v>99</v>
      </c>
      <c r="I1203">
        <v>1970</v>
      </c>
      <c r="K1203" t="s">
        <v>3688</v>
      </c>
      <c r="L1203" t="str">
        <f t="shared" si="161"/>
        <v>"id":"s1185",</v>
      </c>
      <c r="M1203" t="str">
        <v>"cate":"Resistor ",</v>
      </c>
      <c r="N1203" t="str">
        <v>"des":"RST 470R 0,1W 1%603",</v>
      </c>
      <c r="O1203" t="str">
        <v>"mfg":"YAGEO",</v>
      </c>
      <c r="P1203" t="str">
        <v>"pn":"RC0603FR-07470RL",</v>
      </c>
      <c r="Q1203" t="str">
        <v>"qty":1985</v>
      </c>
      <c r="S1203" t="s">
        <v>2498</v>
      </c>
      <c r="T1203" t="str">
        <f t="shared" si="162"/>
        <v>"id":"s1185","cate":"Resistor ","des":"RST 470R 0,1W 1%603","mfg":"YAGEO","pn":"RC0603FR-07470RL","qty":1985</v>
      </c>
      <c r="U1203" t="s">
        <v>2503</v>
      </c>
    </row>
    <row r="1204" spans="5:21" x14ac:dyDescent="0.25">
      <c r="E1204" t="s">
        <v>2194</v>
      </c>
      <c r="F1204" t="s">
        <v>2332</v>
      </c>
      <c r="G1204" t="s">
        <v>8</v>
      </c>
      <c r="H1204" t="s">
        <v>1647</v>
      </c>
      <c r="I1204">
        <v>1968</v>
      </c>
      <c r="K1204" t="s">
        <v>3689</v>
      </c>
      <c r="L1204" t="str">
        <f t="shared" si="161"/>
        <v>"id":"s1186",</v>
      </c>
      <c r="M1204" t="str">
        <v>"cate":"Resistor ",</v>
      </c>
      <c r="N1204" t="str">
        <v>"des":"RST 470R 0,1W 1%603",</v>
      </c>
      <c r="O1204" t="str">
        <v>"mfg":"VISHAY",</v>
      </c>
      <c r="P1204" t="str">
        <v>"pn":"CRCW0603470RFKEA",</v>
      </c>
      <c r="Q1204" t="str">
        <v>"qty":1985</v>
      </c>
      <c r="S1204" t="s">
        <v>2498</v>
      </c>
      <c r="T1204" t="str">
        <f t="shared" si="162"/>
        <v>"id":"s1186","cate":"Resistor ","des":"RST 470R 0,1W 1%603","mfg":"VISHAY","pn":"CRCW0603470RFKEA","qty":1985</v>
      </c>
      <c r="U1204" t="s">
        <v>2503</v>
      </c>
    </row>
    <row r="1205" spans="5:21" x14ac:dyDescent="0.25">
      <c r="E1205" t="s">
        <v>2154</v>
      </c>
      <c r="F1205" t="s">
        <v>1648</v>
      </c>
      <c r="G1205" t="s">
        <v>1649</v>
      </c>
      <c r="H1205" t="s">
        <v>1650</v>
      </c>
      <c r="I1205">
        <v>1965</v>
      </c>
      <c r="K1205" t="s">
        <v>3690</v>
      </c>
      <c r="L1205" t="str">
        <f t="shared" si="161"/>
        <v>"id":"s1187",</v>
      </c>
      <c r="M1205" t="str">
        <v>"cate":"Capacitor",</v>
      </c>
      <c r="N1205" t="str">
        <v>"des":"Capacitor 100NF/25V 603",</v>
      </c>
      <c r="O1205" t="str">
        <v>"mfg":"YAGEO",</v>
      </c>
      <c r="P1205" t="str">
        <v>"pn":"CC0603KRX7R8BB104",</v>
      </c>
      <c r="Q1205" t="str">
        <v>"qty":1978</v>
      </c>
      <c r="S1205" t="s">
        <v>2498</v>
      </c>
      <c r="T1205" t="str">
        <f t="shared" si="162"/>
        <v>"id":"s1187","cate":"Capacitor","des":"Capacitor 100NF/25V 603","mfg":"YAGEO","pn":"CC0603KRX7R8BB104","qty":1978</v>
      </c>
      <c r="U1205" t="s">
        <v>2503</v>
      </c>
    </row>
    <row r="1206" spans="5:21" x14ac:dyDescent="0.25">
      <c r="E1206" t="s">
        <v>2154</v>
      </c>
      <c r="F1206" t="s">
        <v>1648</v>
      </c>
      <c r="G1206" t="s">
        <v>1549</v>
      </c>
      <c r="H1206" t="s">
        <v>1651</v>
      </c>
      <c r="I1206">
        <v>1965</v>
      </c>
      <c r="K1206" t="s">
        <v>3691</v>
      </c>
      <c r="L1206" t="str">
        <f t="shared" si="161"/>
        <v>"id":"s1188",</v>
      </c>
      <c r="M1206" t="str">
        <v>"cate":"Capacitor",</v>
      </c>
      <c r="N1206" t="str">
        <v>"des":"Capacitor 4,7UF/25V 1210",</v>
      </c>
      <c r="O1206" t="str">
        <v>"mfg":"YAGEO",</v>
      </c>
      <c r="P1206" t="str">
        <v>"pn":"CC1210KKX7R8BB475",</v>
      </c>
      <c r="Q1206" t="str">
        <v>"qty":1975</v>
      </c>
      <c r="S1206" t="s">
        <v>2498</v>
      </c>
      <c r="T1206" t="str">
        <f t="shared" si="162"/>
        <v>"id":"s1188","cate":"Capacitor","des":"Capacitor 4,7UF/25V 1210","mfg":"YAGEO","pn":"CC1210KKX7R8BB475","qty":1975</v>
      </c>
      <c r="U1206" t="s">
        <v>2503</v>
      </c>
    </row>
    <row r="1207" spans="5:21" x14ac:dyDescent="0.25">
      <c r="E1207" s="6" t="s">
        <v>2186</v>
      </c>
      <c r="F1207" t="s">
        <v>1652</v>
      </c>
      <c r="G1207" t="s">
        <v>1653</v>
      </c>
      <c r="H1207" t="s">
        <v>1654</v>
      </c>
      <c r="I1207">
        <v>1960</v>
      </c>
      <c r="K1207" t="s">
        <v>3692</v>
      </c>
      <c r="L1207" t="str">
        <f t="shared" si="161"/>
        <v>"id":"s1189",</v>
      </c>
      <c r="M1207" t="str">
        <v>"cate":"Capacitor",</v>
      </c>
      <c r="N1207" t="str">
        <v>"des":"Capacitor 4,7UF/25V 1210",</v>
      </c>
      <c r="O1207" t="str">
        <v>"mfg":"KEMET",</v>
      </c>
      <c r="P1207" t="str">
        <v>"pn":"C1210C475K3RACTM",</v>
      </c>
      <c r="Q1207" t="str">
        <v>"qty":1975</v>
      </c>
      <c r="S1207" t="s">
        <v>2498</v>
      </c>
      <c r="T1207" t="str">
        <f t="shared" si="162"/>
        <v>"id":"s1189","cate":"Capacitor","des":"Capacitor 4,7UF/25V 1210","mfg":"KEMET","pn":"C1210C475K3RACTM","qty":1975</v>
      </c>
      <c r="U1207" t="s">
        <v>2503</v>
      </c>
    </row>
    <row r="1208" spans="5:21" x14ac:dyDescent="0.25">
      <c r="E1208" t="s">
        <v>2194</v>
      </c>
      <c r="F1208" t="s">
        <v>2333</v>
      </c>
      <c r="G1208" t="s">
        <v>47</v>
      </c>
      <c r="H1208" t="s">
        <v>1655</v>
      </c>
      <c r="I1208">
        <v>1958</v>
      </c>
      <c r="K1208" t="s">
        <v>3693</v>
      </c>
      <c r="L1208" t="str">
        <f t="shared" si="161"/>
        <v>"id":"s1190",</v>
      </c>
      <c r="M1208" t="str">
        <v>"cate":"Capacitor",</v>
      </c>
      <c r="N1208" t="str">
        <v>"des":"Capacitor 4,7UF/25V 1210",</v>
      </c>
      <c r="O1208" t="str">
        <v>"mfg":"KEMET",</v>
      </c>
      <c r="P1208" t="str">
        <v>"pn":"C1210C475K3RACTU",</v>
      </c>
      <c r="Q1208" t="str">
        <v>"qty":1975</v>
      </c>
      <c r="S1208" t="s">
        <v>2498</v>
      </c>
      <c r="T1208" t="str">
        <f t="shared" si="162"/>
        <v>"id":"s1190","cate":"Capacitor","des":"Capacitor 4,7UF/25V 1210","mfg":"KEMET","pn":"C1210C475K3RACTU","qty":1975</v>
      </c>
      <c r="U1208" t="s">
        <v>2503</v>
      </c>
    </row>
    <row r="1209" spans="5:21" x14ac:dyDescent="0.25">
      <c r="E1209" t="s">
        <v>2194</v>
      </c>
      <c r="F1209" t="s">
        <v>2333</v>
      </c>
      <c r="G1209" t="s">
        <v>64</v>
      </c>
      <c r="H1209" t="s">
        <v>1656</v>
      </c>
      <c r="I1209">
        <v>1958</v>
      </c>
      <c r="K1209" t="s">
        <v>3694</v>
      </c>
      <c r="L1209" t="str">
        <f t="shared" si="161"/>
        <v>"id":"s1191",</v>
      </c>
      <c r="M1209" t="str">
        <v>"cate":"Capacitor",</v>
      </c>
      <c r="N1209" t="str">
        <v>"des":"Capacitor 4,7UF/25V 1210",</v>
      </c>
      <c r="O1209" t="str">
        <v>"mfg":"TAIYO YUDEN",</v>
      </c>
      <c r="P1209" t="str">
        <v>"pn":"TMK325B7475KN-T",</v>
      </c>
      <c r="Q1209" t="str">
        <v>"qty":1975</v>
      </c>
      <c r="S1209" t="s">
        <v>2498</v>
      </c>
      <c r="T1209" t="str">
        <f t="shared" si="162"/>
        <v>"id":"s1191","cate":"Capacitor","des":"Capacitor 4,7UF/25V 1210","mfg":"TAIYO YUDEN","pn":"TMK325B7475KN-T","qty":1975</v>
      </c>
      <c r="U1209" t="s">
        <v>2503</v>
      </c>
    </row>
    <row r="1210" spans="5:21" x14ac:dyDescent="0.25">
      <c r="E1210" t="s">
        <v>2194</v>
      </c>
      <c r="F1210" t="s">
        <v>2333</v>
      </c>
      <c r="G1210" t="s">
        <v>73</v>
      </c>
      <c r="H1210" t="s">
        <v>1657</v>
      </c>
      <c r="I1210">
        <v>1958</v>
      </c>
      <c r="K1210" t="s">
        <v>3695</v>
      </c>
      <c r="L1210" t="str">
        <f t="shared" si="161"/>
        <v>"id":"s1192",</v>
      </c>
      <c r="M1210" t="str">
        <v>"cate":"Capacitor",</v>
      </c>
      <c r="N1210" t="str">
        <v>"des":"Capacitor 4,7UF/25V 1210",</v>
      </c>
      <c r="O1210" t="str">
        <v>"mfg":"TDK",</v>
      </c>
      <c r="P1210" t="str">
        <v>"pn":"C3225X7R1E475K200AA",</v>
      </c>
      <c r="Q1210" t="str">
        <v>"qty":1975</v>
      </c>
      <c r="S1210" t="s">
        <v>2498</v>
      </c>
      <c r="T1210" t="str">
        <f t="shared" si="162"/>
        <v>"id":"s1192","cate":"Capacitor","des":"Capacitor 4,7UF/25V 1210","mfg":"TDK","pn":"C3225X7R1E475K200AA","qty":1975</v>
      </c>
      <c r="U1210" t="s">
        <v>2503</v>
      </c>
    </row>
    <row r="1211" spans="5:21" x14ac:dyDescent="0.25">
      <c r="E1211" t="s">
        <v>2194</v>
      </c>
      <c r="F1211" t="s">
        <v>2333</v>
      </c>
      <c r="G1211" t="s">
        <v>1351</v>
      </c>
      <c r="H1211" t="s">
        <v>1658</v>
      </c>
      <c r="I1211">
        <v>1958</v>
      </c>
      <c r="K1211" t="s">
        <v>3696</v>
      </c>
      <c r="L1211" t="str">
        <f t="shared" si="161"/>
        <v>"id":"s1193",</v>
      </c>
      <c r="M1211" t="str">
        <v>"cate":"Capacitor",</v>
      </c>
      <c r="N1211" t="str">
        <v>"des":"Capacitor 1NF/100V 10%",</v>
      </c>
      <c r="O1211" t="str">
        <v>"mfg":"KEMET",</v>
      </c>
      <c r="P1211" t="str">
        <v>"pn":"C322C102K1R5TA",</v>
      </c>
      <c r="Q1211" t="str">
        <v>"qty":1971</v>
      </c>
      <c r="S1211" t="s">
        <v>2498</v>
      </c>
      <c r="T1211" t="str">
        <f t="shared" si="162"/>
        <v>"id":"s1193","cate":"Capacitor","des":"Capacitor 1NF/100V 10%","mfg":"KEMET","pn":"C322C102K1R5TA","qty":1971</v>
      </c>
      <c r="U1211" t="s">
        <v>2503</v>
      </c>
    </row>
    <row r="1212" spans="5:21" x14ac:dyDescent="0.25">
      <c r="E1212" t="s">
        <v>2171</v>
      </c>
      <c r="F1212" t="s">
        <v>1659</v>
      </c>
      <c r="G1212" t="s">
        <v>37</v>
      </c>
      <c r="H1212" t="s">
        <v>1660</v>
      </c>
      <c r="I1212">
        <v>1957</v>
      </c>
      <c r="K1212" t="s">
        <v>3697</v>
      </c>
      <c r="L1212" t="str">
        <f t="shared" si="161"/>
        <v>"id":"s1194",</v>
      </c>
      <c r="M1212" t="str">
        <v>"cate":"Capacitor",</v>
      </c>
      <c r="N1212" t="str">
        <v>"des":"Capacitor 1NF/100V 10%",</v>
      </c>
      <c r="O1212" t="str">
        <v>"mfg":"KEMET",</v>
      </c>
      <c r="P1212" t="str">
        <v>"pn":"C322C102K1R5TA7301",</v>
      </c>
      <c r="Q1212" t="str">
        <v>"qty":1971</v>
      </c>
      <c r="S1212" t="s">
        <v>2498</v>
      </c>
      <c r="T1212" t="str">
        <f t="shared" si="162"/>
        <v>"id":"s1194","cate":"Capacitor","des":"Capacitor 1NF/100V 10%","mfg":"KEMET","pn":"C322C102K1R5TA7301","qty":1971</v>
      </c>
      <c r="U1212" t="s">
        <v>2503</v>
      </c>
    </row>
    <row r="1213" spans="5:21" x14ac:dyDescent="0.25">
      <c r="E1213" t="s">
        <v>2171</v>
      </c>
      <c r="F1213" t="s">
        <v>1659</v>
      </c>
      <c r="G1213" t="s">
        <v>2467</v>
      </c>
      <c r="H1213" t="s">
        <v>1661</v>
      </c>
      <c r="I1213">
        <v>1957</v>
      </c>
      <c r="K1213" t="s">
        <v>3698</v>
      </c>
      <c r="L1213" t="str">
        <f t="shared" si="161"/>
        <v>"id":"s1195",</v>
      </c>
      <c r="M1213" t="str">
        <v>"cate":"MOSFET",</v>
      </c>
      <c r="N1213" t="str">
        <v>"des":"MOS 20V 1A SOT323",</v>
      </c>
      <c r="O1213" t="str">
        <v>"mfg":"DiodeES INC.",</v>
      </c>
      <c r="P1213" t="str">
        <v>"pn":"DMG1012UW-7",</v>
      </c>
      <c r="Q1213" t="str">
        <v>"qty":1971</v>
      </c>
      <c r="S1213" t="s">
        <v>2498</v>
      </c>
      <c r="T1213" t="str">
        <f t="shared" si="162"/>
        <v>"id":"s1195","cate":"MOSFET","des":"MOS 20V 1A SOT323","mfg":"DiodeES INC.","pn":"DMG1012UW-7","qty":1971</v>
      </c>
      <c r="U1213" t="s">
        <v>2503</v>
      </c>
    </row>
    <row r="1214" spans="5:21" x14ac:dyDescent="0.25">
      <c r="E1214" t="s">
        <v>2171</v>
      </c>
      <c r="F1214" t="s">
        <v>1659</v>
      </c>
      <c r="G1214" t="s">
        <v>28</v>
      </c>
      <c r="H1214" t="s">
        <v>1662</v>
      </c>
      <c r="I1214">
        <v>1957</v>
      </c>
      <c r="K1214" t="s">
        <v>3699</v>
      </c>
      <c r="L1214" t="str">
        <f t="shared" si="161"/>
        <v>"id":"s1196",</v>
      </c>
      <c r="M1214" t="str">
        <v>"cate":"Capacitor",</v>
      </c>
      <c r="N1214" t="str">
        <v>"des":"Capacitor 100NF K16V603A",</v>
      </c>
      <c r="O1214" t="str">
        <v>"mfg":"YAGEO",</v>
      </c>
      <c r="P1214" t="str">
        <v>"pn":"CC0603KRX7R7BB104",</v>
      </c>
      <c r="Q1214" t="str">
        <v>"qty":1970</v>
      </c>
      <c r="S1214" t="s">
        <v>2498</v>
      </c>
      <c r="T1214" t="str">
        <f t="shared" si="162"/>
        <v>"id":"s1196","cate":"Capacitor","des":"Capacitor 100NF K16V603A","mfg":"YAGEO","pn":"CC0603KRX7R7BB104","qty":1970</v>
      </c>
      <c r="U1214" t="s">
        <v>2503</v>
      </c>
    </row>
    <row r="1215" spans="5:21" x14ac:dyDescent="0.25">
      <c r="E1215" t="s">
        <v>2171</v>
      </c>
      <c r="F1215" t="s">
        <v>1659</v>
      </c>
      <c r="G1215" t="s">
        <v>28</v>
      </c>
      <c r="H1215" t="s">
        <v>1663</v>
      </c>
      <c r="I1215">
        <v>1957</v>
      </c>
      <c r="K1215" t="s">
        <v>3700</v>
      </c>
      <c r="L1215" t="str">
        <f t="shared" si="161"/>
        <v>"id":"s1197",</v>
      </c>
      <c r="M1215" t="str">
        <v>"cate":"Capacitor",</v>
      </c>
      <c r="N1215" t="str">
        <v>"des":"Capacitor 100NF K16V603A",</v>
      </c>
      <c r="O1215" t="str">
        <v>"mfg":"KEMET",</v>
      </c>
      <c r="P1215" t="str">
        <v>"pn":"C0603C104K4RAC",</v>
      </c>
      <c r="Q1215" t="str">
        <v>"qty":1970</v>
      </c>
      <c r="S1215" t="s">
        <v>2498</v>
      </c>
      <c r="T1215" t="str">
        <f t="shared" si="162"/>
        <v>"id":"s1197","cate":"Capacitor","des":"Capacitor 100NF K16V603A","mfg":"KEMET","pn":"C0603C104K4RAC","qty":1970</v>
      </c>
      <c r="U1215" t="s">
        <v>2503</v>
      </c>
    </row>
    <row r="1216" spans="5:21" x14ac:dyDescent="0.25">
      <c r="E1216" t="s">
        <v>2194</v>
      </c>
      <c r="F1216" t="s">
        <v>2334</v>
      </c>
      <c r="G1216" t="s">
        <v>37</v>
      </c>
      <c r="H1216" t="s">
        <v>1664</v>
      </c>
      <c r="I1216">
        <v>1950</v>
      </c>
      <c r="K1216" t="s">
        <v>3701</v>
      </c>
      <c r="L1216" t="str">
        <f t="shared" si="161"/>
        <v>"id":"s1198",</v>
      </c>
      <c r="M1216" t="str">
        <v>"cate":"Capacitor",</v>
      </c>
      <c r="N1216" t="str">
        <v>"des":"Capacitor 100NF K16V603A",</v>
      </c>
      <c r="O1216" t="str">
        <v>"mfg":"AVX",</v>
      </c>
      <c r="P1216" t="str">
        <v>"pn":"0603YC104KAT2A",</v>
      </c>
      <c r="Q1216" t="str">
        <v>"qty":1970</v>
      </c>
      <c r="S1216" t="s">
        <v>2498</v>
      </c>
      <c r="T1216" t="str">
        <f t="shared" si="162"/>
        <v>"id":"s1198","cate":"Capacitor","des":"Capacitor 100NF K16V603A","mfg":"AVX","pn":"0603YC104KAT2A","qty":1970</v>
      </c>
      <c r="U1216" t="s">
        <v>2503</v>
      </c>
    </row>
    <row r="1217" spans="5:21" x14ac:dyDescent="0.25">
      <c r="E1217" t="s">
        <v>2194</v>
      </c>
      <c r="F1217" t="s">
        <v>2334</v>
      </c>
      <c r="G1217" t="s">
        <v>62</v>
      </c>
      <c r="H1217" t="s">
        <v>1665</v>
      </c>
      <c r="I1217">
        <v>1950</v>
      </c>
      <c r="K1217" t="s">
        <v>3702</v>
      </c>
      <c r="L1217" t="str">
        <f t="shared" si="161"/>
        <v>"id":"s1199",</v>
      </c>
      <c r="M1217" t="str">
        <v>"cate":"Capacitor",</v>
      </c>
      <c r="N1217" t="str">
        <v>"des":"Capacitor 4,7UF/25V 0805",</v>
      </c>
      <c r="O1217" t="str">
        <v>"mfg":"SAMSUNG",</v>
      </c>
      <c r="P1217" t="str">
        <v>"pn":"CL21B475KAFNNNE",</v>
      </c>
      <c r="Q1217" t="str">
        <v>"qty":1968</v>
      </c>
      <c r="S1217" t="s">
        <v>2498</v>
      </c>
      <c r="T1217" t="str">
        <f t="shared" si="162"/>
        <v>"id":"s1199","cate":"Capacitor","des":"Capacitor 4,7UF/25V 0805","mfg":"SAMSUNG","pn":"CL21B475KAFNNNE","qty":1968</v>
      </c>
      <c r="U1217" t="s">
        <v>2503</v>
      </c>
    </row>
    <row r="1218" spans="5:21" x14ac:dyDescent="0.25">
      <c r="E1218" s="6" t="s">
        <v>2382</v>
      </c>
      <c r="F1218" t="s">
        <v>1666</v>
      </c>
      <c r="G1218" t="s">
        <v>149</v>
      </c>
      <c r="H1218" t="s">
        <v>1667</v>
      </c>
      <c r="I1218">
        <v>1941</v>
      </c>
      <c r="K1218" t="s">
        <v>3703</v>
      </c>
      <c r="L1218" t="str">
        <f t="shared" si="161"/>
        <v>"id":"s1200",</v>
      </c>
      <c r="M1218" t="str">
        <v>"cate":"HEAD",</v>
      </c>
      <c r="N1218" t="str">
        <v>"des":"HEADER 1X2C-2,54MM2",</v>
      </c>
      <c r="O1218" t="str">
        <v>"mfg":"BMA TECHNOLOGIES",</v>
      </c>
      <c r="P1218" t="str">
        <v>"pn":"BT1117102S01D6A84",</v>
      </c>
      <c r="Q1218" t="str">
        <v>"qty":1965</v>
      </c>
      <c r="S1218" t="s">
        <v>2498</v>
      </c>
      <c r="T1218" t="str">
        <f t="shared" si="162"/>
        <v>"id":"s1200","cate":"HEAD","des":"HEADER 1X2C-2,54MM2","mfg":"BMA TECHNOLOGIES","pn":"BT1117102S01D6A84","qty":1965</v>
      </c>
      <c r="U1218" t="s">
        <v>2503</v>
      </c>
    </row>
    <row r="1219" spans="5:21" x14ac:dyDescent="0.25">
      <c r="E1219" s="6" t="s">
        <v>2382</v>
      </c>
      <c r="F1219" t="s">
        <v>1666</v>
      </c>
      <c r="G1219" t="s">
        <v>149</v>
      </c>
      <c r="H1219" t="s">
        <v>1668</v>
      </c>
      <c r="I1219">
        <v>1941</v>
      </c>
      <c r="K1219" t="s">
        <v>3704</v>
      </c>
      <c r="L1219" t="str">
        <f t="shared" si="161"/>
        <v>"id":"s1201",</v>
      </c>
      <c r="M1219" t="str">
        <v>"cate":"HEAD",</v>
      </c>
      <c r="N1219" t="str">
        <v>"des":"HEADER 1X2C-2,54MM2",</v>
      </c>
      <c r="O1219" t="str">
        <v>"mfg":"SAMTEC",</v>
      </c>
      <c r="P1219" t="str">
        <v>"pn":"TSW-102-07-T-S",</v>
      </c>
      <c r="Q1219" t="str">
        <v>"qty":1965</v>
      </c>
      <c r="S1219" t="s">
        <v>2498</v>
      </c>
      <c r="T1219" t="str">
        <f t="shared" si="162"/>
        <v>"id":"s1201","cate":"HEAD","des":"HEADER 1X2C-2,54MM2","mfg":"SAMTEC","pn":"TSW-102-07-T-S","qty":1965</v>
      </c>
      <c r="U1219" t="s">
        <v>2503</v>
      </c>
    </row>
    <row r="1220" spans="5:21" x14ac:dyDescent="0.25">
      <c r="E1220" s="6" t="s">
        <v>2382</v>
      </c>
      <c r="F1220" t="s">
        <v>1666</v>
      </c>
      <c r="G1220" t="s">
        <v>1669</v>
      </c>
      <c r="H1220" t="s">
        <v>1670</v>
      </c>
      <c r="I1220">
        <v>1941</v>
      </c>
      <c r="K1220" t="s">
        <v>3705</v>
      </c>
      <c r="L1220" t="str">
        <f t="shared" si="161"/>
        <v>"id":"s1202",</v>
      </c>
      <c r="M1220" t="str">
        <v>"cate":"TAPE",</v>
      </c>
      <c r="N1220" t="str">
        <v>"des":"COVER TAPE 21.3MM",</v>
      </c>
      <c r="O1220" t="str">
        <v>"mfg":"ZHUHAI TONGXI ELECTRONICS",</v>
      </c>
      <c r="P1220" t="str">
        <v>"pn":"COVER TAPE W=21.3MM",</v>
      </c>
      <c r="Q1220" t="str">
        <v>"qty":1960</v>
      </c>
      <c r="S1220" t="s">
        <v>2498</v>
      </c>
      <c r="T1220" t="str">
        <f t="shared" si="162"/>
        <v>"id":"s1202","cate":"TAPE","des":"COVER TAPE 21.3MM","mfg":"ZHUHAI TONGXI ELECTRONICS","pn":"COVER TAPE W=21.3MM","qty":1960</v>
      </c>
      <c r="U1220" t="s">
        <v>2503</v>
      </c>
    </row>
    <row r="1221" spans="5:21" x14ac:dyDescent="0.25">
      <c r="E1221" t="s">
        <v>2126</v>
      </c>
      <c r="F1221" t="s">
        <v>1671</v>
      </c>
      <c r="G1221" t="s">
        <v>1672</v>
      </c>
      <c r="H1221" t="s">
        <v>1673</v>
      </c>
      <c r="I1221">
        <v>1935</v>
      </c>
      <c r="K1221" t="s">
        <v>3706</v>
      </c>
      <c r="L1221" t="str">
        <f t="shared" si="161"/>
        <v>"id":"s1203",</v>
      </c>
      <c r="M1221" t="str">
        <v>"cate":"Capacitor",</v>
      </c>
      <c r="N1221" t="str">
        <v>"des":"Capacitor 10UF 25V 1206",</v>
      </c>
      <c r="O1221" t="str">
        <v>"mfg":"KEMET",</v>
      </c>
      <c r="P1221" t="str">
        <v>"pn":"C1206C106K3PAC",</v>
      </c>
      <c r="Q1221" t="str">
        <v>"qty":1958</v>
      </c>
      <c r="S1221" t="s">
        <v>2498</v>
      </c>
      <c r="T1221" t="str">
        <f t="shared" si="162"/>
        <v>"id":"s1203","cate":"Capacitor","des":"Capacitor 10UF 25V 1206","mfg":"KEMET","pn":"C1206C106K3PAC","qty":1958</v>
      </c>
      <c r="U1221" t="s">
        <v>2503</v>
      </c>
    </row>
    <row r="1222" spans="5:21" x14ac:dyDescent="0.25">
      <c r="E1222" t="s">
        <v>2193</v>
      </c>
      <c r="F1222" t="s">
        <v>1674</v>
      </c>
      <c r="G1222" t="s">
        <v>207</v>
      </c>
      <c r="H1222" t="s">
        <v>649</v>
      </c>
      <c r="I1222">
        <v>1931</v>
      </c>
      <c r="K1222" t="s">
        <v>3707</v>
      </c>
      <c r="L1222" t="str">
        <f t="shared" si="161"/>
        <v>"id":"s1204",</v>
      </c>
      <c r="M1222" t="str">
        <v>"cate":"Capacitor",</v>
      </c>
      <c r="N1222" t="str">
        <v>"des":"Capacitor 10UF 25V 1206",</v>
      </c>
      <c r="O1222" t="str">
        <v>"mfg":"MURATA MANUFACTURING",</v>
      </c>
      <c r="P1222" t="str">
        <v>"pn":"GRM31CR61E106KA12",</v>
      </c>
      <c r="Q1222" t="str">
        <v>"qty":1958</v>
      </c>
      <c r="S1222" t="s">
        <v>2498</v>
      </c>
      <c r="T1222" t="str">
        <f t="shared" si="162"/>
        <v>"id":"s1204","cate":"Capacitor","des":"Capacitor 10UF 25V 1206","mfg":"MURATA MANUFACTURING","pn":"GRM31CR61E106KA12","qty":1958</v>
      </c>
      <c r="U1222" t="s">
        <v>2503</v>
      </c>
    </row>
    <row r="1223" spans="5:21" x14ac:dyDescent="0.25">
      <c r="E1223" t="s">
        <v>2405</v>
      </c>
      <c r="F1223" t="s">
        <v>2455</v>
      </c>
      <c r="G1223" t="s">
        <v>37</v>
      </c>
      <c r="H1223" t="s">
        <v>1675</v>
      </c>
      <c r="I1223">
        <v>1926</v>
      </c>
      <c r="K1223" t="s">
        <v>3708</v>
      </c>
      <c r="L1223" t="str">
        <f t="shared" si="161"/>
        <v>"id":"s1205",</v>
      </c>
      <c r="M1223" t="str">
        <v>"cate":"Capacitor",</v>
      </c>
      <c r="N1223" t="str">
        <v>"des":"Capacitor 10UF 25V 1206",</v>
      </c>
      <c r="O1223" t="str">
        <v>"mfg":"TAIYO YUDEN",</v>
      </c>
      <c r="P1223" t="str">
        <v>"pn":"TMK316BJ106KL-T",</v>
      </c>
      <c r="Q1223" t="str">
        <v>"qty":1958</v>
      </c>
      <c r="S1223" t="s">
        <v>2498</v>
      </c>
      <c r="T1223" t="str">
        <f t="shared" si="162"/>
        <v>"id":"s1205","cate":"Capacitor","des":"Capacitor 10UF 25V 1206","mfg":"TAIYO YUDEN","pn":"TMK316BJ106KL-T","qty":1958</v>
      </c>
      <c r="U1223" t="s">
        <v>2503</v>
      </c>
    </row>
    <row r="1224" spans="5:21" x14ac:dyDescent="0.25">
      <c r="E1224" t="s">
        <v>2405</v>
      </c>
      <c r="F1224" t="s">
        <v>2455</v>
      </c>
      <c r="G1224" t="s">
        <v>2467</v>
      </c>
      <c r="H1224" t="s">
        <v>1676</v>
      </c>
      <c r="I1224">
        <v>1926</v>
      </c>
      <c r="K1224" t="s">
        <v>3709</v>
      </c>
      <c r="L1224" t="str">
        <f t="shared" si="161"/>
        <v>"id":"s1206",</v>
      </c>
      <c r="M1224" t="str">
        <v>"cate":"Capacitor",</v>
      </c>
      <c r="N1224" t="str">
        <v>"des":"Capacitor 10UF 25V 1206",</v>
      </c>
      <c r="O1224" t="str">
        <v>"mfg":"KYOCERA",</v>
      </c>
      <c r="P1224" t="str">
        <v>"pn":"CM316X5R106K25A",</v>
      </c>
      <c r="Q1224" t="str">
        <v>"qty":1958</v>
      </c>
      <c r="S1224" t="s">
        <v>2498</v>
      </c>
      <c r="T1224" t="str">
        <f t="shared" si="162"/>
        <v>"id":"s1206","cate":"Capacitor","des":"Capacitor 10UF 25V 1206","mfg":"KYOCERA","pn":"CM316X5R106K25A","qty":1958</v>
      </c>
      <c r="U1224" t="s">
        <v>2503</v>
      </c>
    </row>
    <row r="1225" spans="5:21" x14ac:dyDescent="0.25">
      <c r="E1225" t="s">
        <v>2405</v>
      </c>
      <c r="F1225" t="s">
        <v>2455</v>
      </c>
      <c r="G1225" t="s">
        <v>1292</v>
      </c>
      <c r="H1225" t="s">
        <v>1677</v>
      </c>
      <c r="I1225">
        <v>1926</v>
      </c>
      <c r="K1225" t="s">
        <v>3710</v>
      </c>
      <c r="L1225" t="str">
        <f t="shared" si="161"/>
        <v>"id":"s1207",</v>
      </c>
      <c r="M1225" t="str">
        <v>"cate":"DIO ",</v>
      </c>
      <c r="N1225" t="str">
        <v>"des":"DIO 0,2A 30V BAT54S",</v>
      </c>
      <c r="O1225" t="str">
        <v>"mfg":"VISHAY",</v>
      </c>
      <c r="P1225" t="str">
        <v>"pn":"BAT54S-E3-18",</v>
      </c>
      <c r="Q1225" t="str">
        <v>"qty":1957</v>
      </c>
      <c r="S1225" t="s">
        <v>2498</v>
      </c>
      <c r="T1225" t="str">
        <f t="shared" si="162"/>
        <v>"id":"s1207","cate":"DIO ","des":"DIO 0,2A 30V BAT54S","mfg":"VISHAY","pn":"BAT54S-E3-18","qty":1957</v>
      </c>
      <c r="U1225" t="s">
        <v>2503</v>
      </c>
    </row>
    <row r="1226" spans="5:21" x14ac:dyDescent="0.25">
      <c r="E1226" t="s">
        <v>2193</v>
      </c>
      <c r="F1226" t="s">
        <v>1678</v>
      </c>
      <c r="G1226" t="s">
        <v>13</v>
      </c>
      <c r="H1226" t="s">
        <v>1679</v>
      </c>
      <c r="I1226">
        <v>1926</v>
      </c>
      <c r="K1226" t="s">
        <v>3711</v>
      </c>
      <c r="L1226" t="str">
        <f t="shared" si="161"/>
        <v>"id":"s1208",</v>
      </c>
      <c r="M1226" t="str">
        <v>"cate":"DIO ",</v>
      </c>
      <c r="N1226" t="str">
        <v>"des":"DIO 0,2A 30V BAT54S",</v>
      </c>
      <c r="O1226" t="str">
        <v>"mfg":"DiodeES INC.",</v>
      </c>
      <c r="P1226" t="str">
        <v>"pn":"BAT54S-7-F",</v>
      </c>
      <c r="Q1226" t="str">
        <v>"qty":1957</v>
      </c>
      <c r="S1226" t="s">
        <v>2498</v>
      </c>
      <c r="T1226" t="str">
        <f t="shared" si="162"/>
        <v>"id":"s1208","cate":"DIO ","des":"DIO 0,2A 30V BAT54S","mfg":"DiodeES INC.","pn":"BAT54S-7-F","qty":1957</v>
      </c>
      <c r="U1226" t="s">
        <v>2503</v>
      </c>
    </row>
    <row r="1227" spans="5:21" x14ac:dyDescent="0.25">
      <c r="E1227" t="s">
        <v>2193</v>
      </c>
      <c r="F1227" t="s">
        <v>1678</v>
      </c>
      <c r="G1227" t="s">
        <v>13</v>
      </c>
      <c r="H1227" t="s">
        <v>1680</v>
      </c>
      <c r="I1227">
        <v>1926</v>
      </c>
      <c r="K1227" t="s">
        <v>3712</v>
      </c>
      <c r="L1227" t="str">
        <f t="shared" si="161"/>
        <v>"id":"s1209",</v>
      </c>
      <c r="M1227" t="str">
        <v>"cate":"DIO ",</v>
      </c>
      <c r="N1227" t="str">
        <v>"des":"DIO 0,2A 30V BAT54S",</v>
      </c>
      <c r="O1227" t="str">
        <v>"mfg":"ON SEMICONDUCTOR",</v>
      </c>
      <c r="P1227" t="str">
        <v>"pn":"BAT54S",</v>
      </c>
      <c r="Q1227" t="str">
        <v>"qty":1957</v>
      </c>
      <c r="S1227" t="s">
        <v>2498</v>
      </c>
      <c r="T1227" t="str">
        <f t="shared" si="162"/>
        <v>"id":"s1209","cate":"DIO ","des":"DIO 0,2A 30V BAT54S","mfg":"ON SEMICONDUCTOR","pn":"BAT54S","qty":1957</v>
      </c>
      <c r="U1227" t="s">
        <v>2503</v>
      </c>
    </row>
    <row r="1228" spans="5:21" x14ac:dyDescent="0.25">
      <c r="E1228" t="s">
        <v>2193</v>
      </c>
      <c r="F1228" t="s">
        <v>1678</v>
      </c>
      <c r="G1228" t="s">
        <v>1681</v>
      </c>
      <c r="H1228" t="s">
        <v>1682</v>
      </c>
      <c r="I1228">
        <v>1926</v>
      </c>
      <c r="K1228" t="s">
        <v>3713</v>
      </c>
      <c r="L1228" t="str">
        <f t="shared" si="161"/>
        <v>"id":"s1210",</v>
      </c>
      <c r="M1228" t="str">
        <v>"cate":"DIO ",</v>
      </c>
      <c r="N1228" t="str">
        <v>"des":"DIO 0,2A 30V BAT54S",</v>
      </c>
      <c r="O1228" t="str">
        <v>"mfg":"ON SEMICONDUCTOR",</v>
      </c>
      <c r="P1228" t="str">
        <v>"pn":"BAT54SLT1G",</v>
      </c>
      <c r="Q1228" t="str">
        <v>"qty":1957</v>
      </c>
      <c r="S1228" t="s">
        <v>2498</v>
      </c>
      <c r="T1228" t="str">
        <f t="shared" si="162"/>
        <v>"id":"s1210","cate":"DIO ","des":"DIO 0,2A 30V BAT54S","mfg":"ON SEMICONDUCTOR","pn":"BAT54SLT1G","qty":1957</v>
      </c>
      <c r="U1228" t="s">
        <v>2503</v>
      </c>
    </row>
    <row r="1229" spans="5:21" x14ac:dyDescent="0.25">
      <c r="E1229" t="s">
        <v>2193</v>
      </c>
      <c r="F1229" t="s">
        <v>1678</v>
      </c>
      <c r="G1229" t="s">
        <v>1683</v>
      </c>
      <c r="H1229" t="s">
        <v>1684</v>
      </c>
      <c r="I1229">
        <v>1926</v>
      </c>
      <c r="K1229" t="s">
        <v>3714</v>
      </c>
      <c r="L1229" t="str">
        <f t="shared" si="161"/>
        <v>"id":"s1211",</v>
      </c>
      <c r="M1229" t="str">
        <v>"cate":"Capacitor",</v>
      </c>
      <c r="N1229" t="str">
        <v>"des":"Capacitor 1UF/25V 0805",</v>
      </c>
      <c r="O1229" t="str">
        <v>"mfg":"VISHAY",</v>
      </c>
      <c r="P1229" t="str">
        <v>"pn":"VJ0805Y105KXXTW1BC",</v>
      </c>
      <c r="Q1229" t="str">
        <v>"qty":1950</v>
      </c>
      <c r="S1229" t="s">
        <v>2498</v>
      </c>
      <c r="T1229" t="str">
        <f t="shared" si="162"/>
        <v>"id":"s1211","cate":"Capacitor","des":"Capacitor 1UF/25V 0805","mfg":"VISHAY","pn":"VJ0805Y105KXXTW1BC","qty":1950</v>
      </c>
      <c r="U1229" t="s">
        <v>2503</v>
      </c>
    </row>
    <row r="1230" spans="5:21" x14ac:dyDescent="0.25">
      <c r="E1230" t="s">
        <v>2194</v>
      </c>
      <c r="F1230" t="s">
        <v>2335</v>
      </c>
      <c r="G1230" t="s">
        <v>176</v>
      </c>
      <c r="H1230" t="s">
        <v>1685</v>
      </c>
      <c r="I1230">
        <v>1923</v>
      </c>
      <c r="K1230" t="s">
        <v>3715</v>
      </c>
      <c r="L1230" t="str">
        <f t="shared" si="161"/>
        <v>"id":"s1212",</v>
      </c>
      <c r="M1230" t="str">
        <v>"cate":"Capacitor",</v>
      </c>
      <c r="N1230" t="str">
        <v>"des":"Capacitor 1UF/25V 0805",</v>
      </c>
      <c r="O1230" t="str">
        <v>"mfg":"TDK",</v>
      </c>
      <c r="P1230" t="str">
        <v>"pn":"C2012X7R1E105K125AB",</v>
      </c>
      <c r="Q1230" t="str">
        <v>"qty":1950</v>
      </c>
      <c r="S1230" t="s">
        <v>2498</v>
      </c>
      <c r="T1230" t="str">
        <f t="shared" si="162"/>
        <v>"id":"s1212","cate":"Capacitor","des":"Capacitor 1UF/25V 0805","mfg":"TDK","pn":"C2012X7R1E105K125AB","qty":1950</v>
      </c>
      <c r="U1230" t="s">
        <v>2503</v>
      </c>
    </row>
    <row r="1231" spans="5:21" x14ac:dyDescent="0.25">
      <c r="E1231" t="s">
        <v>2194</v>
      </c>
      <c r="F1231" t="s">
        <v>2335</v>
      </c>
      <c r="G1231" t="s">
        <v>176</v>
      </c>
      <c r="H1231" t="s">
        <v>1686</v>
      </c>
      <c r="I1231">
        <v>1923</v>
      </c>
      <c r="K1231" t="s">
        <v>3716</v>
      </c>
      <c r="L1231" t="str">
        <f t="shared" si="161"/>
        <v>"id":"s1213",</v>
      </c>
      <c r="M1231" t="str">
        <v>"cate":"IC",</v>
      </c>
      <c r="N1231" t="str">
        <v>"des":"IC TLV70033DBVR",</v>
      </c>
      <c r="O1231" t="str">
        <v>"mfg":"TEXAS INSTRUMENTS",</v>
      </c>
      <c r="P1231" t="str">
        <v>"pn":"TLV70233DBVR",</v>
      </c>
      <c r="Q1231" t="str">
        <v>"qty":1941</v>
      </c>
      <c r="S1231" t="s">
        <v>2498</v>
      </c>
      <c r="T1231" t="str">
        <f t="shared" si="162"/>
        <v>"id":"s1213","cate":"IC","des":"IC TLV70033DBVR","mfg":"TEXAS INSTRUMENTS","pn":"TLV70233DBVR","qty":1941</v>
      </c>
      <c r="U1231" t="s">
        <v>2503</v>
      </c>
    </row>
    <row r="1232" spans="5:21" x14ac:dyDescent="0.25">
      <c r="E1232" t="s">
        <v>2194</v>
      </c>
      <c r="F1232" t="s">
        <v>2335</v>
      </c>
      <c r="G1232" t="s">
        <v>176</v>
      </c>
      <c r="H1232" t="s">
        <v>1687</v>
      </c>
      <c r="I1232">
        <v>1923</v>
      </c>
      <c r="K1232" t="s">
        <v>3717</v>
      </c>
      <c r="L1232" t="str">
        <f t="shared" si="161"/>
        <v>"id":"s1214",</v>
      </c>
      <c r="M1232" t="str">
        <v>"cate":"IC",</v>
      </c>
      <c r="N1232" t="str">
        <v>"des":"IC TLV70033DBVR",</v>
      </c>
      <c r="O1232" t="str">
        <v>"mfg":"TEXAS INSTRUMENTS",</v>
      </c>
      <c r="P1232" t="str">
        <v>"pn":"TLV70233DBVT",</v>
      </c>
      <c r="Q1232" t="str">
        <v>"qty":1941</v>
      </c>
      <c r="S1232" t="s">
        <v>2498</v>
      </c>
      <c r="T1232" t="str">
        <f t="shared" si="162"/>
        <v>"id":"s1214","cate":"IC","des":"IC TLV70033DBVR","mfg":"TEXAS INSTRUMENTS","pn":"TLV70233DBVT","qty":1941</v>
      </c>
      <c r="U1232" t="s">
        <v>2503</v>
      </c>
    </row>
    <row r="1233" spans="5:21" x14ac:dyDescent="0.25">
      <c r="E1233" t="s">
        <v>2194</v>
      </c>
      <c r="F1233" t="s">
        <v>2335</v>
      </c>
      <c r="G1233" t="s">
        <v>249</v>
      </c>
      <c r="H1233" t="s">
        <v>1688</v>
      </c>
      <c r="I1233">
        <v>1923</v>
      </c>
      <c r="K1233" t="s">
        <v>3718</v>
      </c>
      <c r="L1233" t="str">
        <f t="shared" si="161"/>
        <v>"id":"s1215",</v>
      </c>
      <c r="M1233" t="str">
        <v>"cate":"IC",</v>
      </c>
      <c r="N1233" t="str">
        <v>"des":"IC TLV70033DBVR",</v>
      </c>
      <c r="O1233" t="str">
        <v>"mfg":"ANALOG DEVICES",</v>
      </c>
      <c r="P1233" t="str">
        <v>"pn":"ADP122AUJZ-3.3-R7",</v>
      </c>
      <c r="Q1233" t="str">
        <v>"qty":1941</v>
      </c>
      <c r="S1233" t="s">
        <v>2498</v>
      </c>
      <c r="T1233" t="str">
        <f t="shared" si="162"/>
        <v>"id":"s1215","cate":"IC","des":"IC TLV70033DBVR","mfg":"ANALOG DEVICES","pn":"ADP122AUJZ-3.3-R7","qty":1941</v>
      </c>
      <c r="U1233" t="s">
        <v>2503</v>
      </c>
    </row>
    <row r="1234" spans="5:21" x14ac:dyDescent="0.25">
      <c r="E1234" t="s">
        <v>2194</v>
      </c>
      <c r="F1234" t="s">
        <v>2335</v>
      </c>
      <c r="G1234" t="s">
        <v>1205</v>
      </c>
      <c r="H1234" t="s">
        <v>1689</v>
      </c>
      <c r="I1234">
        <v>1923</v>
      </c>
      <c r="K1234" t="s">
        <v>3719</v>
      </c>
      <c r="L1234" t="str">
        <f t="shared" si="161"/>
        <v>"id":"s1216",</v>
      </c>
      <c r="M1234" t="str">
        <v>"cate":"FUSE",</v>
      </c>
      <c r="N1234" t="str">
        <v>"des":"FUSE 1,1A 16V SMD",</v>
      </c>
      <c r="O1234" t="str">
        <v>"mfg":"BELFUSE",</v>
      </c>
      <c r="P1234" t="str">
        <v>"pn":"0ZCH0110AF2E",</v>
      </c>
      <c r="Q1234" t="str">
        <v>"qty":1935</v>
      </c>
      <c r="S1234" t="s">
        <v>2498</v>
      </c>
      <c r="T1234" t="str">
        <f t="shared" si="162"/>
        <v>"id":"s1216","cate":"FUSE","des":"FUSE 1,1A 16V SMD","mfg":"BELFUSE","pn":"0ZCH0110AF2E","qty":1935</v>
      </c>
      <c r="U1234" t="s">
        <v>2503</v>
      </c>
    </row>
    <row r="1235" spans="5:21" x14ac:dyDescent="0.25">
      <c r="E1235" t="s">
        <v>2194</v>
      </c>
      <c r="F1235" t="s">
        <v>2335</v>
      </c>
      <c r="G1235" t="s">
        <v>1205</v>
      </c>
      <c r="H1235" t="s">
        <v>1690</v>
      </c>
      <c r="I1235">
        <v>1923</v>
      </c>
      <c r="K1235" t="s">
        <v>3720</v>
      </c>
      <c r="L1235" t="str">
        <f t="shared" si="161"/>
        <v>"id":"s1217",</v>
      </c>
      <c r="M1235" t="str">
        <v>"cate":"Resistor ",</v>
      </c>
      <c r="N1235" t="str">
        <v>"des":"RST 10K 1/8W1%805-2",</v>
      </c>
      <c r="O1235" t="str">
        <v>"mfg":"STACKPOLE ELECTRONICS INC",</v>
      </c>
      <c r="P1235" t="str">
        <v>"pn":"RMCF0805FT10K0",</v>
      </c>
      <c r="Q1235" t="str">
        <v>"qty":1931</v>
      </c>
      <c r="S1235" t="s">
        <v>2498</v>
      </c>
      <c r="T1235" t="str">
        <f t="shared" si="162"/>
        <v>"id":"s1217","cate":"Resistor ","des":"RST 10K 1/8W1%805-2","mfg":"STACKPOLE ELECTRONICS INC","pn":"RMCF0805FT10K0","qty":1931</v>
      </c>
      <c r="U1235" t="s">
        <v>2503</v>
      </c>
    </row>
    <row r="1236" spans="5:21" x14ac:dyDescent="0.25">
      <c r="E1236" t="s">
        <v>2194</v>
      </c>
      <c r="F1236" t="s">
        <v>2335</v>
      </c>
      <c r="G1236" t="s">
        <v>1593</v>
      </c>
      <c r="H1236" t="s">
        <v>1691</v>
      </c>
      <c r="I1236">
        <v>1923</v>
      </c>
      <c r="K1236" t="s">
        <v>3721</v>
      </c>
      <c r="L1236" t="str">
        <f t="shared" ref="L1236:L1299" si="163">_xlfn.CONCAT("""","id","""",":","""",K1236,"""",",")</f>
        <v>"id":"s1218",</v>
      </c>
      <c r="M1236" t="str">
        <v>"cate":"Diode",</v>
      </c>
      <c r="N1236" t="str">
        <v>"des":"DiodeE 5A 1000V SMC",</v>
      </c>
      <c r="O1236" t="str">
        <v>"mfg":"VISHAY",</v>
      </c>
      <c r="P1236" t="str">
        <v>"pn":"S5MS-E3",</v>
      </c>
      <c r="Q1236" t="str">
        <v>"qty":1926</v>
      </c>
      <c r="S1236" t="s">
        <v>2498</v>
      </c>
      <c r="T1236" t="str">
        <f t="shared" ref="T1236:T1299" si="164">_xlfn.CONCAT(L1236:Q1236)</f>
        <v>"id":"s1218","cate":"Diode","des":"DiodeE 5A 1000V SMC","mfg":"VISHAY","pn":"S5MS-E3","qty":1926</v>
      </c>
      <c r="U1236" t="s">
        <v>2503</v>
      </c>
    </row>
    <row r="1237" spans="5:21" x14ac:dyDescent="0.25">
      <c r="E1237" t="s">
        <v>2194</v>
      </c>
      <c r="F1237" t="s">
        <v>2335</v>
      </c>
      <c r="G1237" t="s">
        <v>1208</v>
      </c>
      <c r="H1237" t="s">
        <v>1689</v>
      </c>
      <c r="I1237">
        <v>1923</v>
      </c>
      <c r="K1237" t="s">
        <v>3722</v>
      </c>
      <c r="L1237" t="str">
        <f t="shared" si="163"/>
        <v>"id":"s1219",</v>
      </c>
      <c r="M1237" t="str">
        <v>"cate":"Diode",</v>
      </c>
      <c r="N1237" t="str">
        <v>"des":"DiodeE 5A 1000V SMC",</v>
      </c>
      <c r="O1237" t="str">
        <v>"mfg":"DiodeES INC.",</v>
      </c>
      <c r="P1237" t="str">
        <v>"pn":"S5MC-13-F",</v>
      </c>
      <c r="Q1237" t="str">
        <v>"qty":1926</v>
      </c>
      <c r="S1237" t="s">
        <v>2498</v>
      </c>
      <c r="T1237" t="str">
        <f t="shared" si="164"/>
        <v>"id":"s1219","cate":"Diode","des":"DiodeE 5A 1000V SMC","mfg":"DiodeES INC.","pn":"S5MC-13-F","qty":1926</v>
      </c>
      <c r="U1237" t="s">
        <v>2503</v>
      </c>
    </row>
    <row r="1238" spans="5:21" x14ac:dyDescent="0.25">
      <c r="E1238" t="s">
        <v>2194</v>
      </c>
      <c r="F1238" t="s">
        <v>2335</v>
      </c>
      <c r="G1238" t="s">
        <v>1208</v>
      </c>
      <c r="H1238" t="s">
        <v>1692</v>
      </c>
      <c r="I1238">
        <v>1923</v>
      </c>
      <c r="K1238" t="s">
        <v>3723</v>
      </c>
      <c r="L1238" t="str">
        <f t="shared" si="163"/>
        <v>"id":"s1220",</v>
      </c>
      <c r="M1238" t="str">
        <v>"cate":"Diode",</v>
      </c>
      <c r="N1238" t="str">
        <v>"des":"DiodeE 5A 1000V SMC",</v>
      </c>
      <c r="O1238" t="str">
        <v>"mfg":"FAGOR",</v>
      </c>
      <c r="P1238" t="str">
        <v>"pn":"FS5M",</v>
      </c>
      <c r="Q1238" t="str">
        <v>"qty":1926</v>
      </c>
      <c r="S1238" t="s">
        <v>2498</v>
      </c>
      <c r="T1238" t="str">
        <f t="shared" si="164"/>
        <v>"id":"s1220","cate":"Diode","des":"DiodeE 5A 1000V SMC","mfg":"FAGOR","pn":"FS5M","qty":1926</v>
      </c>
      <c r="U1238" t="s">
        <v>2503</v>
      </c>
    </row>
    <row r="1239" spans="5:21" x14ac:dyDescent="0.25">
      <c r="E1239" t="s">
        <v>2172</v>
      </c>
      <c r="F1239" t="s">
        <v>1693</v>
      </c>
      <c r="G1239" t="s">
        <v>1694</v>
      </c>
      <c r="H1239" t="s">
        <v>1695</v>
      </c>
      <c r="I1239">
        <v>1915</v>
      </c>
      <c r="K1239" t="s">
        <v>3724</v>
      </c>
      <c r="L1239" t="str">
        <f t="shared" si="163"/>
        <v>"id":"s1221",</v>
      </c>
      <c r="M1239" t="str">
        <v>"cate":"Resistor ",</v>
      </c>
      <c r="N1239" t="str">
        <v>"des":"RST 60,4 0,1W 1%603",</v>
      </c>
      <c r="O1239" t="str">
        <v>"mfg":"YAGEO",</v>
      </c>
      <c r="P1239" t="str">
        <v>"pn":"RC0603FR-0760R4L",</v>
      </c>
      <c r="Q1239" t="str">
        <v>"qty":1926</v>
      </c>
      <c r="S1239" t="s">
        <v>2498</v>
      </c>
      <c r="T1239" t="str">
        <f t="shared" si="164"/>
        <v>"id":"s1221","cate":"Resistor ","des":"RST 60,4 0,1W 1%603","mfg":"YAGEO","pn":"RC0603FR-0760R4L","qty":1926</v>
      </c>
      <c r="U1239" t="s">
        <v>2503</v>
      </c>
    </row>
    <row r="1240" spans="5:21" x14ac:dyDescent="0.25">
      <c r="E1240" t="s">
        <v>2193</v>
      </c>
      <c r="F1240" t="s">
        <v>1696</v>
      </c>
      <c r="G1240" t="s">
        <v>5</v>
      </c>
      <c r="H1240" t="s">
        <v>1697</v>
      </c>
      <c r="I1240">
        <v>1913</v>
      </c>
      <c r="K1240" t="s">
        <v>3725</v>
      </c>
      <c r="L1240" t="str">
        <f t="shared" si="163"/>
        <v>"id":"s1222",</v>
      </c>
      <c r="M1240" t="str">
        <v>"cate":"Resistor ",</v>
      </c>
      <c r="N1240" t="str">
        <v>"des":"RST 60,4 0,1W 1%603",</v>
      </c>
      <c r="O1240" t="str">
        <v>"mfg":"YAGEO",</v>
      </c>
      <c r="P1240" t="str">
        <v>"pn":"RC0603FR-1360R4L",</v>
      </c>
      <c r="Q1240" t="str">
        <v>"qty":1926</v>
      </c>
      <c r="S1240" t="s">
        <v>2498</v>
      </c>
      <c r="T1240" t="str">
        <f t="shared" si="164"/>
        <v>"id":"s1222","cate":"Resistor ","des":"RST 60,4 0,1W 1%603","mfg":"YAGEO","pn":"RC0603FR-1360R4L","qty":1926</v>
      </c>
      <c r="U1240" t="s">
        <v>2503</v>
      </c>
    </row>
    <row r="1241" spans="5:21" x14ac:dyDescent="0.25">
      <c r="E1241" t="s">
        <v>2193</v>
      </c>
      <c r="F1241" t="s">
        <v>1696</v>
      </c>
      <c r="G1241" t="s">
        <v>320</v>
      </c>
      <c r="H1241" t="s">
        <v>1698</v>
      </c>
      <c r="I1241">
        <v>1913</v>
      </c>
      <c r="K1241" t="s">
        <v>3726</v>
      </c>
      <c r="L1241" t="str">
        <f t="shared" si="163"/>
        <v>"id":"s1223",</v>
      </c>
      <c r="M1241" t="str">
        <v>"cate":"Resistor ",</v>
      </c>
      <c r="N1241" t="str">
        <v>"des":"RST 60,4 0,1W 1%603",</v>
      </c>
      <c r="O1241" t="str">
        <v>"mfg":"SEI",</v>
      </c>
      <c r="P1241" t="str">
        <v>"pn":"RMCF0603FT60R4",</v>
      </c>
      <c r="Q1241" t="str">
        <v>"qty":1926</v>
      </c>
      <c r="S1241" t="s">
        <v>2498</v>
      </c>
      <c r="T1241" t="str">
        <f t="shared" si="164"/>
        <v>"id":"s1223","cate":"Resistor ","des":"RST 60,4 0,1W 1%603","mfg":"SEI","pn":"RMCF0603FT60R4","qty":1926</v>
      </c>
      <c r="U1241" t="s">
        <v>2503</v>
      </c>
    </row>
    <row r="1242" spans="5:21" x14ac:dyDescent="0.25">
      <c r="E1242" t="s">
        <v>2194</v>
      </c>
      <c r="F1242" t="s">
        <v>2336</v>
      </c>
      <c r="G1242" t="s">
        <v>13</v>
      </c>
      <c r="H1242" t="s">
        <v>1699</v>
      </c>
      <c r="I1242">
        <v>1912</v>
      </c>
      <c r="K1242" t="s">
        <v>3727</v>
      </c>
      <c r="L1242" t="str">
        <f t="shared" si="163"/>
        <v>"id":"s1224",</v>
      </c>
      <c r="M1242" t="str">
        <v>"cate":"Resistor ",</v>
      </c>
      <c r="N1242" t="str">
        <v>"des":"RST 60,4 0,1W 1%603",</v>
      </c>
      <c r="O1242" t="str">
        <v>"mfg":"MULTICOMP",</v>
      </c>
      <c r="P1242" t="str">
        <v>"pn":"MCMR06X60R4FTL",</v>
      </c>
      <c r="Q1242" t="str">
        <v>"qty":1926</v>
      </c>
      <c r="S1242" t="s">
        <v>2498</v>
      </c>
      <c r="T1242" t="str">
        <f t="shared" si="164"/>
        <v>"id":"s1224","cate":"Resistor ","des":"RST 60,4 0,1W 1%603","mfg":"MULTICOMP","pn":"MCMR06X60R4FTL","qty":1926</v>
      </c>
      <c r="U1242" t="s">
        <v>2503</v>
      </c>
    </row>
    <row r="1243" spans="5:21" x14ac:dyDescent="0.25">
      <c r="E1243" t="s">
        <v>2126</v>
      </c>
      <c r="F1243" t="s">
        <v>1700</v>
      </c>
      <c r="G1243" t="s">
        <v>57</v>
      </c>
      <c r="H1243" t="s">
        <v>1701</v>
      </c>
      <c r="I1243">
        <v>1902</v>
      </c>
      <c r="K1243" t="s">
        <v>3728</v>
      </c>
      <c r="L1243" t="str">
        <f t="shared" si="163"/>
        <v>"id":"s1225",</v>
      </c>
      <c r="M1243" t="str">
        <v>"cate":"Capacitor",</v>
      </c>
      <c r="N1243" t="str">
        <v>"des":"Capacitor 220UF/35V20%-2",</v>
      </c>
      <c r="O1243" t="str">
        <v>"mfg":"PANASONIC",</v>
      </c>
      <c r="P1243" t="str">
        <v>"pn":"EEE-FK1V221AP",</v>
      </c>
      <c r="Q1243" t="str">
        <v>"qty":1923</v>
      </c>
      <c r="S1243" t="s">
        <v>2498</v>
      </c>
      <c r="T1243" t="str">
        <f t="shared" si="164"/>
        <v>"id":"s1225","cate":"Capacitor","des":"Capacitor 220UF/35V20%-2","mfg":"PANASONIC","pn":"EEE-FK1V221AP","qty":1923</v>
      </c>
      <c r="U1243" t="s">
        <v>2503</v>
      </c>
    </row>
    <row r="1244" spans="5:21" x14ac:dyDescent="0.25">
      <c r="E1244" t="s">
        <v>2382</v>
      </c>
      <c r="F1244" t="s">
        <v>2391</v>
      </c>
      <c r="G1244" t="s">
        <v>1702</v>
      </c>
      <c r="H1244" t="s">
        <v>1703</v>
      </c>
      <c r="I1244">
        <v>1902</v>
      </c>
      <c r="K1244" t="s">
        <v>3729</v>
      </c>
      <c r="L1244" t="str">
        <f t="shared" si="163"/>
        <v>"id":"s1226",</v>
      </c>
      <c r="M1244" t="str">
        <v>"cate":"Capacitor",</v>
      </c>
      <c r="N1244" t="str">
        <v>"des":"Capacitor 220UF/35V20%-2",</v>
      </c>
      <c r="O1244" t="str">
        <v>"mfg":"PANASONIC",</v>
      </c>
      <c r="P1244" t="str">
        <v>"pn":"EEE-FK1V221GP",</v>
      </c>
      <c r="Q1244" t="str">
        <v>"qty":1923</v>
      </c>
      <c r="S1244" t="s">
        <v>2498</v>
      </c>
      <c r="T1244" t="str">
        <f t="shared" si="164"/>
        <v>"id":"s1226","cate":"Capacitor","des":"Capacitor 220UF/35V20%-2","mfg":"PANASONIC","pn":"EEE-FK1V221GP","qty":1923</v>
      </c>
      <c r="U1244" t="s">
        <v>2503</v>
      </c>
    </row>
    <row r="1245" spans="5:21" x14ac:dyDescent="0.25">
      <c r="E1245" t="s">
        <v>2382</v>
      </c>
      <c r="F1245" t="s">
        <v>2391</v>
      </c>
      <c r="G1245" t="s">
        <v>1704</v>
      </c>
      <c r="H1245" t="s">
        <v>1705</v>
      </c>
      <c r="I1245">
        <v>1902</v>
      </c>
      <c r="K1245" t="s">
        <v>3730</v>
      </c>
      <c r="L1245" t="str">
        <f t="shared" si="163"/>
        <v>"id":"s1227",</v>
      </c>
      <c r="M1245" t="str">
        <v>"cate":"Capacitor",</v>
      </c>
      <c r="N1245" t="str">
        <v>"des":"Capacitor 220UF/35V20%-2",</v>
      </c>
      <c r="O1245" t="str">
        <v>"mfg":"PANASONIC",</v>
      </c>
      <c r="P1245" t="str">
        <v>"pn":"EEE-FK1V221P",</v>
      </c>
      <c r="Q1245" t="str">
        <v>"qty":1923</v>
      </c>
      <c r="S1245" t="s">
        <v>2498</v>
      </c>
      <c r="T1245" t="str">
        <f t="shared" si="164"/>
        <v>"id":"s1227","cate":"Capacitor","des":"Capacitor 220UF/35V20%-2","mfg":"PANASONIC","pn":"EEE-FK1V221P","qty":1923</v>
      </c>
      <c r="U1245" t="s">
        <v>2503</v>
      </c>
    </row>
    <row r="1246" spans="5:21" x14ac:dyDescent="0.25">
      <c r="E1246" t="s">
        <v>2382</v>
      </c>
      <c r="F1246" t="s">
        <v>2391</v>
      </c>
      <c r="G1246" t="s">
        <v>1704</v>
      </c>
      <c r="H1246" t="s">
        <v>1706</v>
      </c>
      <c r="I1246">
        <v>1902</v>
      </c>
      <c r="K1246" t="s">
        <v>3731</v>
      </c>
      <c r="L1246" t="str">
        <f t="shared" si="163"/>
        <v>"id":"s1228",</v>
      </c>
      <c r="M1246" t="str">
        <v>"cate":"Capacitor",</v>
      </c>
      <c r="N1246" t="str">
        <v>"des":"Capacitor 220UF/35V20%-2",</v>
      </c>
      <c r="O1246" t="str">
        <v>"mfg":"NICHICON",</v>
      </c>
      <c r="P1246" t="str">
        <v>"pn":"UCD1V221MNL1GS",</v>
      </c>
      <c r="Q1246" t="str">
        <v>"qty":1923</v>
      </c>
      <c r="S1246" t="s">
        <v>2498</v>
      </c>
      <c r="T1246" t="str">
        <f t="shared" si="164"/>
        <v>"id":"s1228","cate":"Capacitor","des":"Capacitor 220UF/35V20%-2","mfg":"NICHICON","pn":"UCD1V221MNL1GS","qty":1923</v>
      </c>
      <c r="U1246" t="s">
        <v>2503</v>
      </c>
    </row>
    <row r="1247" spans="5:21" x14ac:dyDescent="0.25">
      <c r="E1247" t="s">
        <v>2193</v>
      </c>
      <c r="F1247" t="s">
        <v>1707</v>
      </c>
      <c r="G1247" t="s">
        <v>13</v>
      </c>
      <c r="H1247" t="s">
        <v>1708</v>
      </c>
      <c r="I1247">
        <v>1902</v>
      </c>
      <c r="K1247" t="s">
        <v>3732</v>
      </c>
      <c r="L1247" t="str">
        <f t="shared" si="163"/>
        <v>"id":"s1229",</v>
      </c>
      <c r="M1247" t="str">
        <v>"cate":"Capacitor",</v>
      </c>
      <c r="N1247" t="str">
        <v>"des":"Capacitor 220UF/35V20%-2",</v>
      </c>
      <c r="O1247" t="str">
        <v>"mfg":"NIPPON CHEMI-CON",</v>
      </c>
      <c r="P1247" t="str">
        <v>"pn":"EMVY350ADA221MHA0G",</v>
      </c>
      <c r="Q1247" t="str">
        <v>"qty":1923</v>
      </c>
      <c r="S1247" t="s">
        <v>2498</v>
      </c>
      <c r="T1247" t="str">
        <f t="shared" si="164"/>
        <v>"id":"s1229","cate":"Capacitor","des":"Capacitor 220UF/35V20%-2","mfg":"NIPPON CHEMI-CON","pn":"EMVY350ADA221MHA0G","qty":1923</v>
      </c>
      <c r="U1247" t="s">
        <v>2503</v>
      </c>
    </row>
    <row r="1248" spans="5:21" x14ac:dyDescent="0.25">
      <c r="E1248" t="s">
        <v>2193</v>
      </c>
      <c r="F1248" t="s">
        <v>1709</v>
      </c>
      <c r="G1248" t="s">
        <v>89</v>
      </c>
      <c r="H1248" t="s">
        <v>1710</v>
      </c>
      <c r="I1248">
        <v>1888</v>
      </c>
      <c r="K1248" t="s">
        <v>3733</v>
      </c>
      <c r="L1248" t="str">
        <f t="shared" si="163"/>
        <v>"id":"s1230",</v>
      </c>
      <c r="M1248" t="str">
        <v>"cate":"Capacitor",</v>
      </c>
      <c r="N1248" t="str">
        <v>"des":"Capacitor 220UF/35V20%-2",</v>
      </c>
      <c r="O1248" t="str">
        <v>"mfg":"NIPPON CHEMI-CON",</v>
      </c>
      <c r="P1248" t="str">
        <v>"pn":"EMVY350ARA221MHA0G",</v>
      </c>
      <c r="Q1248" t="str">
        <v>"qty":1923</v>
      </c>
      <c r="S1248" t="s">
        <v>2498</v>
      </c>
      <c r="T1248" t="str">
        <f t="shared" si="164"/>
        <v>"id":"s1230","cate":"Capacitor","des":"Capacitor 220UF/35V20%-2","mfg":"NIPPON CHEMI-CON","pn":"EMVY350ARA221MHA0G","qty":1923</v>
      </c>
      <c r="U1248" t="s">
        <v>2503</v>
      </c>
    </row>
    <row r="1249" spans="5:21" x14ac:dyDescent="0.25">
      <c r="E1249" t="s">
        <v>2193</v>
      </c>
      <c r="F1249" t="s">
        <v>1709</v>
      </c>
      <c r="G1249" t="s">
        <v>89</v>
      </c>
      <c r="H1249" t="s">
        <v>1711</v>
      </c>
      <c r="I1249">
        <v>1888</v>
      </c>
      <c r="K1249" t="s">
        <v>3734</v>
      </c>
      <c r="L1249" t="str">
        <f t="shared" si="163"/>
        <v>"id":"s1231",</v>
      </c>
      <c r="M1249" t="str">
        <v>"cate":"Capacitor",</v>
      </c>
      <c r="N1249" t="str">
        <v>"des":"Capacitor 220UF/35V20%-2",</v>
      </c>
      <c r="O1249" t="str">
        <v>"mfg":"RUBYCON",</v>
      </c>
      <c r="P1249" t="str">
        <v>"pn":"35TKV220M8X10.5",</v>
      </c>
      <c r="Q1249" t="str">
        <v>"qty":1923</v>
      </c>
      <c r="S1249" t="s">
        <v>2498</v>
      </c>
      <c r="T1249" t="str">
        <f t="shared" si="164"/>
        <v>"id":"s1231","cate":"Capacitor","des":"Capacitor 220UF/35V20%-2","mfg":"RUBYCON","pn":"35TKV220M8X10.5","qty":1923</v>
      </c>
      <c r="U1249" t="s">
        <v>2503</v>
      </c>
    </row>
    <row r="1250" spans="5:21" x14ac:dyDescent="0.25">
      <c r="E1250" t="s">
        <v>2193</v>
      </c>
      <c r="F1250" t="s">
        <v>1712</v>
      </c>
      <c r="G1250" t="s">
        <v>13</v>
      </c>
      <c r="H1250" t="s">
        <v>1713</v>
      </c>
      <c r="I1250">
        <v>1883</v>
      </c>
      <c r="K1250" t="s">
        <v>3735</v>
      </c>
      <c r="L1250" t="str">
        <f t="shared" si="163"/>
        <v>"id":"s1232",</v>
      </c>
      <c r="M1250" t="str">
        <v>"cate":"Capacitor",</v>
      </c>
      <c r="N1250" t="str">
        <v>"des":"Capacitor 220UF/35V20%-2",</v>
      </c>
      <c r="O1250" t="str">
        <v>"mfg":"UNITED CHEMI-CON",</v>
      </c>
      <c r="P1250" t="str">
        <v>"pn":"EMVY350ADA221MHA0G",</v>
      </c>
      <c r="Q1250" t="str">
        <v>"qty":1923</v>
      </c>
      <c r="S1250" t="s">
        <v>2498</v>
      </c>
      <c r="T1250" t="str">
        <f t="shared" si="164"/>
        <v>"id":"s1232","cate":"Capacitor","des":"Capacitor 220UF/35V20%-2","mfg":"UNITED CHEMI-CON","pn":"EMVY350ADA221MHA0G","qty":1923</v>
      </c>
      <c r="U1250" t="s">
        <v>2503</v>
      </c>
    </row>
    <row r="1251" spans="5:21" x14ac:dyDescent="0.25">
      <c r="E1251" t="s">
        <v>2193</v>
      </c>
      <c r="F1251" t="s">
        <v>1712</v>
      </c>
      <c r="G1251" t="s">
        <v>37</v>
      </c>
      <c r="H1251" t="s">
        <v>1714</v>
      </c>
      <c r="I1251">
        <v>1883</v>
      </c>
      <c r="K1251" t="s">
        <v>3736</v>
      </c>
      <c r="L1251" t="str">
        <f t="shared" si="163"/>
        <v>"id":"s1233",</v>
      </c>
      <c r="M1251" t="str">
        <v>"cate":"Capacitor",</v>
      </c>
      <c r="N1251" t="str">
        <v>"des":"Capacitor 220UF/35V20%-2",</v>
      </c>
      <c r="O1251" t="str">
        <v>"mfg":"UNITED CHEMI-CON",</v>
      </c>
      <c r="P1251" t="str">
        <v>"pn":"EMZA350ADA221MHA0G",</v>
      </c>
      <c r="Q1251" t="str">
        <v>"qty":1923</v>
      </c>
      <c r="S1251" t="s">
        <v>2498</v>
      </c>
      <c r="T1251" t="str">
        <f t="shared" si="164"/>
        <v>"id":"s1233","cate":"Capacitor","des":"Capacitor 220UF/35V20%-2","mfg":"UNITED CHEMI-CON","pn":"EMZA350ADA221MHA0G","qty":1923</v>
      </c>
      <c r="U1251" t="s">
        <v>2503</v>
      </c>
    </row>
    <row r="1252" spans="5:21" x14ac:dyDescent="0.25">
      <c r="E1252" t="s">
        <v>2193</v>
      </c>
      <c r="F1252" t="s">
        <v>1712</v>
      </c>
      <c r="G1252" t="s">
        <v>5</v>
      </c>
      <c r="H1252" t="s">
        <v>1715</v>
      </c>
      <c r="I1252">
        <v>1883</v>
      </c>
      <c r="K1252" t="s">
        <v>3737</v>
      </c>
      <c r="L1252" t="str">
        <f t="shared" si="163"/>
        <v>"id":"s1234",</v>
      </c>
      <c r="M1252" t="str">
        <v>"cate":"GLOV",</v>
      </c>
      <c r="N1252" t="str">
        <v>"des":"GLOVE PU PLAM FIT",</v>
      </c>
      <c r="O1252" t="str">
        <v>"mfg":"PAM (THAILAND) CO.,LTD",</v>
      </c>
      <c r="P1252" t="str">
        <v>"pn":"GLOVE PU PLAM FIT SIZE M",</v>
      </c>
      <c r="Q1252" t="str">
        <v>"qty":1915</v>
      </c>
      <c r="S1252" t="s">
        <v>2498</v>
      </c>
      <c r="T1252" t="str">
        <f t="shared" si="164"/>
        <v>"id":"s1234","cate":"GLOV","des":"GLOVE PU PLAM FIT","mfg":"PAM (THAILAND) CO.,LTD","pn":"GLOVE PU PLAM FIT SIZE M","qty":1915</v>
      </c>
      <c r="U1252" t="s">
        <v>2503</v>
      </c>
    </row>
    <row r="1253" spans="5:21" x14ac:dyDescent="0.25">
      <c r="E1253" t="s">
        <v>2193</v>
      </c>
      <c r="F1253" t="s">
        <v>1712</v>
      </c>
      <c r="G1253" t="s">
        <v>320</v>
      </c>
      <c r="H1253" t="s">
        <v>1716</v>
      </c>
      <c r="I1253">
        <v>1883</v>
      </c>
      <c r="K1253" t="s">
        <v>3738</v>
      </c>
      <c r="L1253" t="str">
        <f t="shared" si="163"/>
        <v>"id":"s1235",</v>
      </c>
      <c r="M1253" t="str">
        <v>"cate":"Resistor ",</v>
      </c>
      <c r="N1253" t="str">
        <v>"des":"RST 1K 5% 1/4W 0603",</v>
      </c>
      <c r="O1253" t="str">
        <v>"mfg":"KOA",</v>
      </c>
      <c r="P1253" t="str">
        <v>"pn":"RK73B1JTTD102J",</v>
      </c>
      <c r="Q1253" t="str">
        <v>"qty":1913</v>
      </c>
      <c r="S1253" t="s">
        <v>2498</v>
      </c>
      <c r="T1253" t="str">
        <f t="shared" si="164"/>
        <v>"id":"s1235","cate":"Resistor ","des":"RST 1K 5% 1/4W 0603","mfg":"KOA","pn":"RK73B1JTTD102J","qty":1913</v>
      </c>
      <c r="U1253" t="s">
        <v>2503</v>
      </c>
    </row>
    <row r="1254" spans="5:21" x14ac:dyDescent="0.25">
      <c r="E1254" t="s">
        <v>2193</v>
      </c>
      <c r="F1254" t="s">
        <v>1712</v>
      </c>
      <c r="G1254" t="s">
        <v>10</v>
      </c>
      <c r="H1254" t="s">
        <v>1717</v>
      </c>
      <c r="I1254">
        <v>1883</v>
      </c>
      <c r="K1254" t="s">
        <v>3739</v>
      </c>
      <c r="L1254" t="str">
        <f t="shared" si="163"/>
        <v>"id":"s1236",</v>
      </c>
      <c r="M1254" t="str">
        <v>"cate":"Resistor ",</v>
      </c>
      <c r="N1254" t="str">
        <v>"des":"RST 1K 5% 1/4W 0603",</v>
      </c>
      <c r="O1254" t="str">
        <v>"mfg":"ROYAL OHM",</v>
      </c>
      <c r="P1254" t="str">
        <v>"pn":"HP03W5J0102T5E",</v>
      </c>
      <c r="Q1254" t="str">
        <v>"qty":1913</v>
      </c>
      <c r="S1254" t="s">
        <v>2498</v>
      </c>
      <c r="T1254" t="str">
        <f t="shared" si="164"/>
        <v>"id":"s1236","cate":"Resistor ","des":"RST 1K 5% 1/4W 0603","mfg":"ROYAL OHM","pn":"HP03W5J0102T5E","qty":1913</v>
      </c>
      <c r="U1254" t="s">
        <v>2503</v>
      </c>
    </row>
    <row r="1255" spans="5:21" x14ac:dyDescent="0.25">
      <c r="E1255" t="s">
        <v>2193</v>
      </c>
      <c r="F1255" t="s">
        <v>1712</v>
      </c>
      <c r="G1255" t="s">
        <v>89</v>
      </c>
      <c r="H1255" t="s">
        <v>1718</v>
      </c>
      <c r="I1255">
        <v>1883</v>
      </c>
      <c r="K1255" t="s">
        <v>3740</v>
      </c>
      <c r="L1255" t="str">
        <f t="shared" si="163"/>
        <v>"id":"s1237",</v>
      </c>
      <c r="M1255" t="str">
        <v>"cate":"Capacitor",</v>
      </c>
      <c r="N1255" t="str">
        <v>"des":"Capacitor 10UF/10V 0805C",</v>
      </c>
      <c r="O1255" t="str">
        <v>"mfg":"YAGEO",</v>
      </c>
      <c r="P1255" t="str">
        <v>"pn":"CC0805KKX7R6BB106",</v>
      </c>
      <c r="Q1255" t="str">
        <v>"qty":1912</v>
      </c>
      <c r="S1255" t="s">
        <v>2498</v>
      </c>
      <c r="T1255" t="str">
        <f t="shared" si="164"/>
        <v>"id":"s1237","cate":"Capacitor","des":"Capacitor 10UF/10V 0805C","mfg":"YAGEO","pn":"CC0805KKX7R6BB106","qty":1912</v>
      </c>
      <c r="U1255" t="s">
        <v>2503</v>
      </c>
    </row>
    <row r="1256" spans="5:21" x14ac:dyDescent="0.25">
      <c r="E1256" t="s">
        <v>2194</v>
      </c>
      <c r="F1256" t="s">
        <v>2337</v>
      </c>
      <c r="G1256" t="s">
        <v>13</v>
      </c>
      <c r="H1256" t="s">
        <v>1719</v>
      </c>
      <c r="I1256">
        <v>1876</v>
      </c>
      <c r="K1256" t="s">
        <v>3741</v>
      </c>
      <c r="L1256" t="str">
        <f t="shared" si="163"/>
        <v>"id":"s1238",</v>
      </c>
      <c r="M1256" t="str">
        <v>"cate":"FUSE",</v>
      </c>
      <c r="N1256" t="str">
        <v>"des":"FUSE 12A 450V",</v>
      </c>
      <c r="O1256" t="str">
        <v>"mfg":"LITTELFUSE",</v>
      </c>
      <c r="P1256" t="str">
        <v>"pn":"0505012.MXEP",</v>
      </c>
      <c r="Q1256" t="str">
        <v>"qty":1902</v>
      </c>
      <c r="S1256" t="s">
        <v>2498</v>
      </c>
      <c r="T1256" t="str">
        <f t="shared" si="164"/>
        <v>"id":"s1238","cate":"FUSE","des":"FUSE 12A 450V","mfg":"LITTELFUSE","pn":"0505012.MXEP","qty":1902</v>
      </c>
      <c r="U1256" t="s">
        <v>2503</v>
      </c>
    </row>
    <row r="1257" spans="5:21" x14ac:dyDescent="0.25">
      <c r="E1257" t="s">
        <v>2194</v>
      </c>
      <c r="F1257" t="s">
        <v>2337</v>
      </c>
      <c r="G1257" t="s">
        <v>47</v>
      </c>
      <c r="H1257" t="s">
        <v>1720</v>
      </c>
      <c r="I1257">
        <v>1876</v>
      </c>
      <c r="K1257" t="s">
        <v>3742</v>
      </c>
      <c r="L1257" t="str">
        <f t="shared" si="163"/>
        <v>"id":"s1239",</v>
      </c>
      <c r="M1257" t="str">
        <v>"cate":"IC",</v>
      </c>
      <c r="N1257" t="str">
        <v>"des":"ICMD M25P16-VMW6G",</v>
      </c>
      <c r="O1257" t="str">
        <v>"mfg":"MICRON",</v>
      </c>
      <c r="P1257" t="str">
        <v>"pn":"M25P16-VMW6TG",</v>
      </c>
      <c r="Q1257" t="str">
        <v>"qty":1902</v>
      </c>
      <c r="S1257" t="s">
        <v>2498</v>
      </c>
      <c r="T1257" t="str">
        <f t="shared" si="164"/>
        <v>"id":"s1239","cate":"IC","des":"ICMD M25P16-VMW6G","mfg":"MICRON","pn":"M25P16-VMW6TG","qty":1902</v>
      </c>
      <c r="U1257" t="s">
        <v>2503</v>
      </c>
    </row>
    <row r="1258" spans="5:21" x14ac:dyDescent="0.25">
      <c r="E1258" t="s">
        <v>2405</v>
      </c>
      <c r="F1258" t="s">
        <v>2456</v>
      </c>
      <c r="G1258" t="s">
        <v>61</v>
      </c>
      <c r="H1258" t="s">
        <v>1721</v>
      </c>
      <c r="I1258">
        <v>1860</v>
      </c>
      <c r="K1258" t="s">
        <v>3743</v>
      </c>
      <c r="L1258" t="str">
        <f t="shared" si="163"/>
        <v>"id":"s1240",</v>
      </c>
      <c r="M1258" t="str">
        <v>"cate":"IC",</v>
      </c>
      <c r="N1258" t="str">
        <v>"des":"ICMD M25P16-VMW6G",</v>
      </c>
      <c r="O1258" t="str">
        <v>"mfg":"WINBOND",</v>
      </c>
      <c r="P1258" t="str">
        <v>"pn":"W25Q16JVSSIQ",</v>
      </c>
      <c r="Q1258" t="str">
        <v>"qty":1902</v>
      </c>
      <c r="S1258" t="s">
        <v>2498</v>
      </c>
      <c r="T1258" t="str">
        <f t="shared" si="164"/>
        <v>"id":"s1240","cate":"IC","des":"ICMD M25P16-VMW6G","mfg":"WINBOND","pn":"W25Q16JVSSIQ","qty":1902</v>
      </c>
      <c r="U1258" t="s">
        <v>2503</v>
      </c>
    </row>
    <row r="1259" spans="5:21" x14ac:dyDescent="0.25">
      <c r="E1259" t="s">
        <v>2122</v>
      </c>
      <c r="F1259" t="s">
        <v>1722</v>
      </c>
      <c r="G1259" t="s">
        <v>45</v>
      </c>
      <c r="H1259" t="s">
        <v>1723</v>
      </c>
      <c r="I1259">
        <v>1860</v>
      </c>
      <c r="K1259" t="s">
        <v>3744</v>
      </c>
      <c r="L1259" t="str">
        <f t="shared" si="163"/>
        <v>"id":"s1241",</v>
      </c>
      <c r="M1259" t="str">
        <v>"cate":"IC",</v>
      </c>
      <c r="N1259" t="str">
        <v>"des":"ICMD M25P16-VMW6G",</v>
      </c>
      <c r="O1259" t="str">
        <v>"mfg":"WINBOND",</v>
      </c>
      <c r="P1259" t="str">
        <v>"pn":"W25Q16JVSSIQ-TR",</v>
      </c>
      <c r="Q1259" t="str">
        <v>"qty":1902</v>
      </c>
      <c r="S1259" t="s">
        <v>2498</v>
      </c>
      <c r="T1259" t="str">
        <f t="shared" si="164"/>
        <v>"id":"s1241","cate":"IC","des":"ICMD M25P16-VMW6G","mfg":"WINBOND","pn":"W25Q16JVSSIQ-TR","qty":1902</v>
      </c>
      <c r="U1259" t="s">
        <v>2503</v>
      </c>
    </row>
    <row r="1260" spans="5:21" x14ac:dyDescent="0.25">
      <c r="E1260" t="s">
        <v>2193</v>
      </c>
      <c r="F1260" t="s">
        <v>1724</v>
      </c>
      <c r="G1260" t="s">
        <v>320</v>
      </c>
      <c r="H1260" t="s">
        <v>858</v>
      </c>
      <c r="I1260">
        <v>1856</v>
      </c>
      <c r="K1260" t="s">
        <v>3745</v>
      </c>
      <c r="L1260" t="str">
        <f t="shared" si="163"/>
        <v>"id":"s1242",</v>
      </c>
      <c r="M1260" t="str">
        <v>"cate":"Resistor ",</v>
      </c>
      <c r="N1260" t="str">
        <v>"des":"RST 681 1/4W 1%1206",</v>
      </c>
      <c r="O1260" t="str">
        <v>"mfg":"YAGEO",</v>
      </c>
      <c r="P1260" t="str">
        <v>"pn":"RC1206FR-07681RL",</v>
      </c>
      <c r="Q1260" t="str">
        <v>"qty":1902</v>
      </c>
      <c r="S1260" t="s">
        <v>2498</v>
      </c>
      <c r="T1260" t="str">
        <f t="shared" si="164"/>
        <v>"id":"s1242","cate":"Resistor ","des":"RST 681 1/4W 1%1206","mfg":"YAGEO","pn":"RC1206FR-07681RL","qty":1902</v>
      </c>
      <c r="U1260" t="s">
        <v>2503</v>
      </c>
    </row>
    <row r="1261" spans="5:21" x14ac:dyDescent="0.25">
      <c r="E1261" t="s">
        <v>2193</v>
      </c>
      <c r="F1261" t="s">
        <v>1724</v>
      </c>
      <c r="G1261" t="s">
        <v>207</v>
      </c>
      <c r="H1261" t="s">
        <v>1725</v>
      </c>
      <c r="I1261">
        <v>1856</v>
      </c>
      <c r="K1261" t="s">
        <v>3746</v>
      </c>
      <c r="L1261" t="str">
        <f t="shared" si="163"/>
        <v>"id":"s1243",</v>
      </c>
      <c r="M1261" t="str">
        <v>"cate":"Resistor ",</v>
      </c>
      <c r="N1261" t="str">
        <v>"des":"RST 2M2 1W 5% 2512",</v>
      </c>
      <c r="O1261" t="str">
        <v>"mfg":"BOURNS",</v>
      </c>
      <c r="P1261" t="str">
        <v>"pn":"CHV2512-FX-2204ELF",</v>
      </c>
      <c r="Q1261" t="str">
        <v>"qty":1888</v>
      </c>
      <c r="S1261" t="s">
        <v>2498</v>
      </c>
      <c r="T1261" t="str">
        <f t="shared" si="164"/>
        <v>"id":"s1243","cate":"Resistor ","des":"RST 2M2 1W 5% 2512","mfg":"BOURNS","pn":"CHV2512-FX-2204ELF","qty":1888</v>
      </c>
      <c r="U1261" t="s">
        <v>2503</v>
      </c>
    </row>
    <row r="1262" spans="5:21" x14ac:dyDescent="0.25">
      <c r="E1262" t="s">
        <v>2139</v>
      </c>
      <c r="F1262" t="s">
        <v>1726</v>
      </c>
      <c r="G1262" t="s">
        <v>47</v>
      </c>
      <c r="H1262" t="s">
        <v>1727</v>
      </c>
      <c r="I1262">
        <v>1848</v>
      </c>
      <c r="K1262" t="s">
        <v>3747</v>
      </c>
      <c r="L1262" t="str">
        <f t="shared" si="163"/>
        <v>"id":"s1244",</v>
      </c>
      <c r="M1262" t="str">
        <v>"cate":"Resistor ",</v>
      </c>
      <c r="N1262" t="str">
        <v>"des":"RST 2M2 1W 5% 2512",</v>
      </c>
      <c r="O1262" t="str">
        <v>"mfg":"BOURNS",</v>
      </c>
      <c r="P1262" t="str">
        <v>"pn":"CHV2512-FX-2204ELFT",</v>
      </c>
      <c r="Q1262" t="str">
        <v>"qty":1888</v>
      </c>
      <c r="S1262" t="s">
        <v>2498</v>
      </c>
      <c r="T1262" t="str">
        <f t="shared" si="164"/>
        <v>"id":"s1244","cate":"Resistor ","des":"RST 2M2 1W 5% 2512","mfg":"BOURNS","pn":"CHV2512-FX-2204ELFT","qty":1888</v>
      </c>
      <c r="U1262" t="s">
        <v>2503</v>
      </c>
    </row>
    <row r="1263" spans="5:21" x14ac:dyDescent="0.25">
      <c r="E1263" t="s">
        <v>2139</v>
      </c>
      <c r="F1263" t="s">
        <v>1726</v>
      </c>
      <c r="G1263" t="s">
        <v>64</v>
      </c>
      <c r="H1263" t="s">
        <v>1728</v>
      </c>
      <c r="I1263">
        <v>1848</v>
      </c>
      <c r="K1263" t="s">
        <v>3748</v>
      </c>
      <c r="L1263" t="str">
        <f t="shared" si="163"/>
        <v>"id":"s1245",</v>
      </c>
      <c r="M1263" t="str">
        <v>"cate":"Resistor ",</v>
      </c>
      <c r="N1263" t="str">
        <v>"des":"RST 8,45K 1/8W 1%SM",</v>
      </c>
      <c r="O1263" t="str">
        <v>"mfg":"YAGEO",</v>
      </c>
      <c r="P1263" t="str">
        <v>"pn":"RC0805FR-078K45L",</v>
      </c>
      <c r="Q1263" t="str">
        <v>"qty":1883</v>
      </c>
      <c r="S1263" t="s">
        <v>2498</v>
      </c>
      <c r="T1263" t="str">
        <f t="shared" si="164"/>
        <v>"id":"s1245","cate":"Resistor ","des":"RST 8,45K 1/8W 1%SM","mfg":"YAGEO","pn":"RC0805FR-078K45L","qty":1883</v>
      </c>
      <c r="U1263" t="s">
        <v>2503</v>
      </c>
    </row>
    <row r="1264" spans="5:21" x14ac:dyDescent="0.25">
      <c r="E1264" s="6" t="s">
        <v>2486</v>
      </c>
      <c r="F1264" t="s">
        <v>1729</v>
      </c>
      <c r="G1264" t="s">
        <v>23</v>
      </c>
      <c r="H1264" t="s">
        <v>1730</v>
      </c>
      <c r="I1264">
        <v>1844</v>
      </c>
      <c r="K1264" t="s">
        <v>3749</v>
      </c>
      <c r="L1264" t="str">
        <f t="shared" si="163"/>
        <v>"id":"s1246",</v>
      </c>
      <c r="M1264" t="str">
        <v>"cate":"Resistor ",</v>
      </c>
      <c r="N1264" t="str">
        <v>"des":"RST 8,45K 1/8W 1%SM",</v>
      </c>
      <c r="O1264" t="str">
        <v>"mfg":"VISHAY",</v>
      </c>
      <c r="P1264" t="str">
        <v>"pn":"CRCW08058K45FKEA",</v>
      </c>
      <c r="Q1264" t="str">
        <v>"qty":1883</v>
      </c>
      <c r="S1264" t="s">
        <v>2498</v>
      </c>
      <c r="T1264" t="str">
        <f t="shared" si="164"/>
        <v>"id":"s1246","cate":"Resistor ","des":"RST 8,45K 1/8W 1%SM","mfg":"VISHAY","pn":"CRCW08058K45FKEA","qty":1883</v>
      </c>
      <c r="U1264" t="s">
        <v>2503</v>
      </c>
    </row>
    <row r="1265" spans="5:21" x14ac:dyDescent="0.25">
      <c r="E1265" s="6" t="s">
        <v>2486</v>
      </c>
      <c r="F1265" t="s">
        <v>1729</v>
      </c>
      <c r="G1265" t="s">
        <v>23</v>
      </c>
      <c r="H1265" t="s">
        <v>1731</v>
      </c>
      <c r="I1265">
        <v>1844</v>
      </c>
      <c r="K1265" t="s">
        <v>3750</v>
      </c>
      <c r="L1265" t="str">
        <f t="shared" si="163"/>
        <v>"id":"s1247",</v>
      </c>
      <c r="M1265" t="str">
        <v>"cate":"Resistor ",</v>
      </c>
      <c r="N1265" t="str">
        <v>"des":"RST 8,45K 1/8W 1%SM",</v>
      </c>
      <c r="O1265" t="str">
        <v>"mfg":"KOA",</v>
      </c>
      <c r="P1265" t="str">
        <v>"pn":"RK73H2ATTD8451F",</v>
      </c>
      <c r="Q1265" t="str">
        <v>"qty":1883</v>
      </c>
      <c r="S1265" t="s">
        <v>2498</v>
      </c>
      <c r="T1265" t="str">
        <f t="shared" si="164"/>
        <v>"id":"s1247","cate":"Resistor ","des":"RST 8,45K 1/8W 1%SM","mfg":"KOA","pn":"RK73H2ATTD8451F","qty":1883</v>
      </c>
      <c r="U1265" t="s">
        <v>2503</v>
      </c>
    </row>
    <row r="1266" spans="5:21" x14ac:dyDescent="0.25">
      <c r="E1266" s="6" t="s">
        <v>2486</v>
      </c>
      <c r="F1266" t="s">
        <v>1729</v>
      </c>
      <c r="G1266" t="s">
        <v>23</v>
      </c>
      <c r="H1266" t="s">
        <v>1732</v>
      </c>
      <c r="I1266">
        <v>1844</v>
      </c>
      <c r="K1266" t="s">
        <v>3751</v>
      </c>
      <c r="L1266" t="str">
        <f t="shared" si="163"/>
        <v>"id":"s1248",</v>
      </c>
      <c r="M1266" t="str">
        <v>"cate":"Resistor ",</v>
      </c>
      <c r="N1266" t="str">
        <v>"des":"RST 8,45K 1/8W 1%SM",</v>
      </c>
      <c r="O1266" t="str">
        <v>"mfg":"ROYAL OHM",</v>
      </c>
      <c r="P1266" t="str">
        <v>"pn":"0805W8F8451T5E",</v>
      </c>
      <c r="Q1266" t="str">
        <v>"qty":1883</v>
      </c>
      <c r="S1266" t="s">
        <v>2498</v>
      </c>
      <c r="T1266" t="str">
        <f t="shared" si="164"/>
        <v>"id":"s1248","cate":"Resistor ","des":"RST 8,45K 1/8W 1%SM","mfg":"ROYAL OHM","pn":"0805W8F8451T5E","qty":1883</v>
      </c>
      <c r="U1266" t="s">
        <v>2503</v>
      </c>
    </row>
    <row r="1267" spans="5:21" x14ac:dyDescent="0.25">
      <c r="E1267" s="6" t="s">
        <v>2486</v>
      </c>
      <c r="F1267" t="s">
        <v>1729</v>
      </c>
      <c r="G1267" t="s">
        <v>23</v>
      </c>
      <c r="H1267" t="s">
        <v>1733</v>
      </c>
      <c r="I1267">
        <v>1844</v>
      </c>
      <c r="K1267" t="s">
        <v>3752</v>
      </c>
      <c r="L1267" t="str">
        <f t="shared" si="163"/>
        <v>"id":"s1249",</v>
      </c>
      <c r="M1267" t="str">
        <v>"cate":"Resistor ",</v>
      </c>
      <c r="N1267" t="str">
        <v>"des":"RST 8,45K 1/8W 1%SM",</v>
      </c>
      <c r="O1267" t="str">
        <v>"mfg":"WALSIN",</v>
      </c>
      <c r="P1267" t="str">
        <v>"pn":"WR08X8451FTL",</v>
      </c>
      <c r="Q1267" t="str">
        <v>"qty":1883</v>
      </c>
      <c r="S1267" t="s">
        <v>2498</v>
      </c>
      <c r="T1267" t="str">
        <f t="shared" si="164"/>
        <v>"id":"s1249","cate":"Resistor ","des":"RST 8,45K 1/8W 1%SM","mfg":"WALSIN","pn":"WR08X8451FTL","qty":1883</v>
      </c>
      <c r="U1267" t="s">
        <v>2503</v>
      </c>
    </row>
    <row r="1268" spans="5:21" x14ac:dyDescent="0.25">
      <c r="E1268" t="s">
        <v>2405</v>
      </c>
      <c r="F1268" t="s">
        <v>2457</v>
      </c>
      <c r="G1268" t="s">
        <v>61</v>
      </c>
      <c r="H1268" t="s">
        <v>1734</v>
      </c>
      <c r="I1268">
        <v>1842</v>
      </c>
      <c r="K1268" t="s">
        <v>3753</v>
      </c>
      <c r="L1268" t="str">
        <f t="shared" si="163"/>
        <v>"id":"s1250",</v>
      </c>
      <c r="M1268" t="str">
        <v>"cate":"Resistor ",</v>
      </c>
      <c r="N1268" t="str">
        <v>"des":"RST 8,45K 1/8W 1%SM",</v>
      </c>
      <c r="O1268" t="str">
        <v>"mfg":"BOURNS",</v>
      </c>
      <c r="P1268" t="str">
        <v>"pn":"CR0805-FX-8451ELF",</v>
      </c>
      <c r="Q1268" t="str">
        <v>"qty":1883</v>
      </c>
      <c r="S1268" t="s">
        <v>2498</v>
      </c>
      <c r="T1268" t="str">
        <f t="shared" si="164"/>
        <v>"id":"s1250","cate":"Resistor ","des":"RST 8,45K 1/8W 1%SM","mfg":"BOURNS","pn":"CR0805-FX-8451ELF","qty":1883</v>
      </c>
      <c r="U1268" t="s">
        <v>2503</v>
      </c>
    </row>
    <row r="1269" spans="5:21" x14ac:dyDescent="0.25">
      <c r="E1269" t="s">
        <v>2405</v>
      </c>
      <c r="F1269" t="s">
        <v>2457</v>
      </c>
      <c r="G1269" t="s">
        <v>61</v>
      </c>
      <c r="H1269" t="s">
        <v>1735</v>
      </c>
      <c r="I1269">
        <v>1842</v>
      </c>
      <c r="K1269" t="s">
        <v>3754</v>
      </c>
      <c r="L1269" t="str">
        <f t="shared" si="163"/>
        <v>"id":"s1251",</v>
      </c>
      <c r="M1269" t="str">
        <v>"cate":"Capacitor",</v>
      </c>
      <c r="N1269" t="str">
        <v>"des":"Capacitor 82PF/50V 0402",</v>
      </c>
      <c r="O1269" t="str">
        <v>"mfg":"YAGEO",</v>
      </c>
      <c r="P1269" t="str">
        <v>"pn":"CC0402JRNPO9BN820",</v>
      </c>
      <c r="Q1269" t="str">
        <v>"qty":1876</v>
      </c>
      <c r="S1269" t="s">
        <v>2498</v>
      </c>
      <c r="T1269" t="str">
        <f t="shared" si="164"/>
        <v>"id":"s1251","cate":"Capacitor","des":"Capacitor 82PF/50V 0402","mfg":"YAGEO","pn":"CC0402JRNPO9BN820","qty":1876</v>
      </c>
      <c r="U1269" t="s">
        <v>2503</v>
      </c>
    </row>
    <row r="1270" spans="5:21" x14ac:dyDescent="0.25">
      <c r="E1270" t="s">
        <v>2194</v>
      </c>
      <c r="F1270" t="s">
        <v>2338</v>
      </c>
      <c r="G1270" t="s">
        <v>45</v>
      </c>
      <c r="H1270" t="s">
        <v>1736</v>
      </c>
      <c r="I1270">
        <v>1833</v>
      </c>
      <c r="K1270" t="s">
        <v>3755</v>
      </c>
      <c r="L1270" t="str">
        <f t="shared" si="163"/>
        <v>"id":"s1252",</v>
      </c>
      <c r="M1270" t="str">
        <v>"cate":"Capacitor",</v>
      </c>
      <c r="N1270" t="str">
        <v>"des":"Capacitor 82PF/50V 0402",</v>
      </c>
      <c r="O1270" t="str">
        <v>"mfg":"KEMET",</v>
      </c>
      <c r="P1270" t="str">
        <v>"pn":"C0402C820J5GACTU",</v>
      </c>
      <c r="Q1270" t="str">
        <v>"qty":1876</v>
      </c>
      <c r="S1270" t="s">
        <v>2498</v>
      </c>
      <c r="T1270" t="str">
        <f t="shared" si="164"/>
        <v>"id":"s1252","cate":"Capacitor","des":"Capacitor 82PF/50V 0402","mfg":"KEMET","pn":"C0402C820J5GACTU","qty":1876</v>
      </c>
      <c r="U1270" t="s">
        <v>2503</v>
      </c>
    </row>
    <row r="1271" spans="5:21" x14ac:dyDescent="0.25">
      <c r="E1271" t="s">
        <v>2194</v>
      </c>
      <c r="F1271" t="s">
        <v>2338</v>
      </c>
      <c r="G1271" t="s">
        <v>45</v>
      </c>
      <c r="H1271" t="s">
        <v>1737</v>
      </c>
      <c r="I1271">
        <v>1833</v>
      </c>
      <c r="K1271" t="s">
        <v>3756</v>
      </c>
      <c r="L1271" t="str">
        <f t="shared" si="163"/>
        <v>"id":"s1253",</v>
      </c>
      <c r="M1271" t="str">
        <v>"cate":"Diode",</v>
      </c>
      <c r="N1271" t="str">
        <v>"des":"DiodeE 4A 200V DPAK",</v>
      </c>
      <c r="O1271" t="str">
        <v>"mfg":"STMICROELECTRONICS",</v>
      </c>
      <c r="P1271" t="str">
        <v>"pn":"STPS4S200B-TR",</v>
      </c>
      <c r="Q1271" t="str">
        <v>"qty":1860</v>
      </c>
      <c r="S1271" t="s">
        <v>2498</v>
      </c>
      <c r="T1271" t="str">
        <f t="shared" si="164"/>
        <v>"id":"s1253","cate":"Diode","des":"DiodeE 4A 200V DPAK","mfg":"STMICROELECTRONICS","pn":"STPS4S200B-TR","qty":1860</v>
      </c>
      <c r="U1271" t="s">
        <v>2503</v>
      </c>
    </row>
    <row r="1272" spans="5:21" x14ac:dyDescent="0.25">
      <c r="E1272" s="6" t="s">
        <v>2474</v>
      </c>
      <c r="F1272" t="s">
        <v>1738</v>
      </c>
      <c r="G1272" t="s">
        <v>28</v>
      </c>
      <c r="H1272" s="6" t="s">
        <v>1739</v>
      </c>
      <c r="I1272">
        <v>1832</v>
      </c>
      <c r="K1272" t="s">
        <v>3757</v>
      </c>
      <c r="L1272" t="str">
        <f t="shared" si="163"/>
        <v>"id":"s1254",</v>
      </c>
      <c r="M1272" t="str">
        <v>"cate":"NTC ",</v>
      </c>
      <c r="N1272" t="str">
        <v>"des":"NTC 1R 9A 3,1W TH",</v>
      </c>
      <c r="O1272" t="str">
        <v>"mfg":"EPCOS/TDK",</v>
      </c>
      <c r="P1272" t="str">
        <v>"pn":"B57237S0109M000",</v>
      </c>
      <c r="Q1272" t="str">
        <v>"qty":1860</v>
      </c>
      <c r="S1272" t="s">
        <v>2498</v>
      </c>
      <c r="T1272" t="str">
        <f t="shared" si="164"/>
        <v>"id":"s1254","cate":"NTC ","des":"NTC 1R 9A 3,1W TH","mfg":"EPCOS/TDK","pn":"B57237S0109M000","qty":1860</v>
      </c>
      <c r="U1272" t="s">
        <v>2503</v>
      </c>
    </row>
    <row r="1273" spans="5:21" x14ac:dyDescent="0.25">
      <c r="E1273" t="s">
        <v>2194</v>
      </c>
      <c r="F1273" t="s">
        <v>2339</v>
      </c>
      <c r="G1273" t="s">
        <v>49</v>
      </c>
      <c r="H1273" t="s">
        <v>1740</v>
      </c>
      <c r="I1273">
        <v>1826</v>
      </c>
      <c r="K1273" t="s">
        <v>3758</v>
      </c>
      <c r="L1273" t="str">
        <f t="shared" si="163"/>
        <v>"id":"s1255",</v>
      </c>
      <c r="M1273" t="str">
        <v>"cate":"Resistor ",</v>
      </c>
      <c r="N1273" t="str">
        <v>"des":"RST 47K 1/8W 1%0805",</v>
      </c>
      <c r="O1273" t="str">
        <v>"mfg":"ROYAL OHM",</v>
      </c>
      <c r="P1273" t="str">
        <v>"pn":"0805W8F4702T5E",</v>
      </c>
      <c r="Q1273" t="str">
        <v>"qty":1856</v>
      </c>
      <c r="S1273" t="s">
        <v>2498</v>
      </c>
      <c r="T1273" t="str">
        <f t="shared" si="164"/>
        <v>"id":"s1255","cate":"Resistor ","des":"RST 47K 1/8W 1%0805","mfg":"ROYAL OHM","pn":"0805W8F4702T5E","qty":1856</v>
      </c>
      <c r="U1273" t="s">
        <v>2503</v>
      </c>
    </row>
    <row r="1274" spans="5:21" x14ac:dyDescent="0.25">
      <c r="E1274" t="s">
        <v>2194</v>
      </c>
      <c r="F1274" t="s">
        <v>2340</v>
      </c>
      <c r="G1274" t="s">
        <v>47</v>
      </c>
      <c r="H1274" t="s">
        <v>1741</v>
      </c>
      <c r="I1274">
        <v>1820</v>
      </c>
      <c r="K1274" t="s">
        <v>3759</v>
      </c>
      <c r="L1274" t="str">
        <f t="shared" si="163"/>
        <v>"id":"s1256",</v>
      </c>
      <c r="M1274" t="str">
        <v>"cate":"Resistor ",</v>
      </c>
      <c r="N1274" t="str">
        <v>"des":"RST 47K 1/8W 1%0805",</v>
      </c>
      <c r="O1274" t="str">
        <v>"mfg":"STACKPOLE ELECTRONICS INC",</v>
      </c>
      <c r="P1274" t="str">
        <v>"pn":"RMCF0805FT47K0",</v>
      </c>
      <c r="Q1274" t="str">
        <v>"qty":1856</v>
      </c>
      <c r="S1274" t="s">
        <v>2498</v>
      </c>
      <c r="T1274" t="str">
        <f t="shared" si="164"/>
        <v>"id":"s1256","cate":"Resistor ","des":"RST 47K 1/8W 1%0805","mfg":"STACKPOLE ELECTRONICS INC","pn":"RMCF0805FT47K0","qty":1856</v>
      </c>
      <c r="U1274" t="s">
        <v>2503</v>
      </c>
    </row>
    <row r="1275" spans="5:21" x14ac:dyDescent="0.25">
      <c r="E1275" t="s">
        <v>2126</v>
      </c>
      <c r="F1275" t="s">
        <v>1742</v>
      </c>
      <c r="G1275" t="s">
        <v>1743</v>
      </c>
      <c r="H1275" t="s">
        <v>1744</v>
      </c>
      <c r="I1275">
        <v>1814</v>
      </c>
      <c r="K1275" t="s">
        <v>3760</v>
      </c>
      <c r="L1275" t="str">
        <f t="shared" si="163"/>
        <v>"id":"s1257",</v>
      </c>
      <c r="M1275" t="str">
        <v>"cate":"MA-1",</v>
      </c>
      <c r="N1275" t="str">
        <v>"des":"MA-1150498STG",</v>
      </c>
      <c r="O1275" t="str">
        <v>"mfg":"KEMET",</v>
      </c>
      <c r="P1275" t="str">
        <v>"pn":"C0402C152J5GACTU",</v>
      </c>
      <c r="Q1275" t="str">
        <v>"qty":1848</v>
      </c>
      <c r="S1275" t="s">
        <v>2498</v>
      </c>
      <c r="T1275" t="str">
        <f t="shared" si="164"/>
        <v>"id":"s1257","cate":"MA-1","des":"MA-1150498STG","mfg":"KEMET","pn":"C0402C152J5GACTU","qty":1848</v>
      </c>
      <c r="U1275" t="s">
        <v>2503</v>
      </c>
    </row>
    <row r="1276" spans="5:21" x14ac:dyDescent="0.25">
      <c r="E1276" t="s">
        <v>2126</v>
      </c>
      <c r="F1276" t="s">
        <v>1742</v>
      </c>
      <c r="G1276" t="s">
        <v>507</v>
      </c>
      <c r="H1276" t="s">
        <v>1744</v>
      </c>
      <c r="I1276">
        <v>1814</v>
      </c>
      <c r="K1276" t="s">
        <v>3761</v>
      </c>
      <c r="L1276" t="str">
        <f t="shared" si="163"/>
        <v>"id":"s1258",</v>
      </c>
      <c r="M1276" t="str">
        <v>"cate":"MA-1",</v>
      </c>
      <c r="N1276" t="str">
        <v>"des":"MA-1150498STG",</v>
      </c>
      <c r="O1276" t="str">
        <v>"mfg":"MURATA MANUFACTURING",</v>
      </c>
      <c r="P1276" t="str">
        <v>"pn":"GRM1555C1H152JA01D",</v>
      </c>
      <c r="Q1276" t="str">
        <v>"qty":1848</v>
      </c>
      <c r="S1276" t="s">
        <v>2498</v>
      </c>
      <c r="T1276" t="str">
        <f t="shared" si="164"/>
        <v>"id":"s1258","cate":"MA-1","des":"MA-1150498STG","mfg":"MURATA MANUFACTURING","pn":"GRM1555C1H152JA01D","qty":1848</v>
      </c>
      <c r="U1276" t="s">
        <v>2503</v>
      </c>
    </row>
    <row r="1277" spans="5:21" x14ac:dyDescent="0.25">
      <c r="E1277" t="s">
        <v>2126</v>
      </c>
      <c r="F1277" t="s">
        <v>1742</v>
      </c>
      <c r="G1277" t="s">
        <v>1745</v>
      </c>
      <c r="H1277" t="s">
        <v>1746</v>
      </c>
      <c r="I1277">
        <v>1814</v>
      </c>
      <c r="K1277" t="s">
        <v>3762</v>
      </c>
      <c r="L1277" t="str">
        <f t="shared" si="163"/>
        <v>"id":"s1259",</v>
      </c>
      <c r="M1277" t="str">
        <v>"cate":"Opto",</v>
      </c>
      <c r="N1277" t="str">
        <v>"des":"OPT DRIVER 5KV-03",</v>
      </c>
      <c r="O1277" t="str">
        <v>"mfg":"BROADCOM",</v>
      </c>
      <c r="P1277" t="str">
        <v>"pn":"HCPL-817-30DE",</v>
      </c>
      <c r="Q1277" t="str">
        <v>"qty":1844</v>
      </c>
      <c r="S1277" t="s">
        <v>2498</v>
      </c>
      <c r="T1277" t="str">
        <f t="shared" si="164"/>
        <v>"id":"s1259","cate":"Opto","des":"OPT DRIVER 5KV-03","mfg":"BROADCOM","pn":"HCPL-817-30DE","qty":1844</v>
      </c>
      <c r="U1277" t="s">
        <v>2503</v>
      </c>
    </row>
    <row r="1278" spans="5:21" x14ac:dyDescent="0.25">
      <c r="E1278" t="s">
        <v>2194</v>
      </c>
      <c r="F1278" t="s">
        <v>2341</v>
      </c>
      <c r="G1278" t="s">
        <v>64</v>
      </c>
      <c r="H1278" t="s">
        <v>1747</v>
      </c>
      <c r="I1278">
        <v>1805</v>
      </c>
      <c r="K1278" t="s">
        <v>3763</v>
      </c>
      <c r="L1278" t="str">
        <f t="shared" si="163"/>
        <v>"id":"s1260",</v>
      </c>
      <c r="M1278" t="str">
        <v>"cate":"Opto",</v>
      </c>
      <c r="N1278" t="str">
        <v>"des":"OPT DRIVER 5KV-03",</v>
      </c>
      <c r="O1278" t="str">
        <v>"mfg":"BROADCOM",</v>
      </c>
      <c r="P1278" t="str">
        <v>"pn":"HCPL-817-36DE",</v>
      </c>
      <c r="Q1278" t="str">
        <v>"qty":1844</v>
      </c>
      <c r="S1278" t="s">
        <v>2498</v>
      </c>
      <c r="T1278" t="str">
        <f t="shared" si="164"/>
        <v>"id":"s1260","cate":"Opto","des":"OPT DRIVER 5KV-03","mfg":"BROADCOM","pn":"HCPL-817-36DE","qty":1844</v>
      </c>
      <c r="U1278" t="s">
        <v>2503</v>
      </c>
    </row>
    <row r="1279" spans="5:21" x14ac:dyDescent="0.25">
      <c r="E1279" t="s">
        <v>2194</v>
      </c>
      <c r="F1279" t="s">
        <v>2341</v>
      </c>
      <c r="G1279" t="s">
        <v>64</v>
      </c>
      <c r="H1279" t="s">
        <v>1748</v>
      </c>
      <c r="I1279">
        <v>1805</v>
      </c>
      <c r="K1279" t="s">
        <v>3764</v>
      </c>
      <c r="L1279" t="str">
        <f t="shared" si="163"/>
        <v>"id":"s1261",</v>
      </c>
      <c r="M1279" t="str">
        <v>"cate":"Opto",</v>
      </c>
      <c r="N1279" t="str">
        <v>"des":"OPT DRIVER 5KV-03",</v>
      </c>
      <c r="O1279" t="str">
        <v>"mfg":"BROADCOM",</v>
      </c>
      <c r="P1279" t="str">
        <v>"pn":"HCPL-817-50DE",</v>
      </c>
      <c r="Q1279" t="str">
        <v>"qty":1844</v>
      </c>
      <c r="S1279" t="s">
        <v>2498</v>
      </c>
      <c r="T1279" t="str">
        <f t="shared" si="164"/>
        <v>"id":"s1261","cate":"Opto","des":"OPT DRIVER 5KV-03","mfg":"BROADCOM","pn":"HCPL-817-50DE","qty":1844</v>
      </c>
      <c r="U1279" t="s">
        <v>2503</v>
      </c>
    </row>
    <row r="1280" spans="5:21" x14ac:dyDescent="0.25">
      <c r="E1280" t="s">
        <v>2193</v>
      </c>
      <c r="F1280" t="s">
        <v>1749</v>
      </c>
      <c r="G1280" t="s">
        <v>13</v>
      </c>
      <c r="H1280" t="s">
        <v>1750</v>
      </c>
      <c r="I1280">
        <v>1801</v>
      </c>
      <c r="K1280" t="s">
        <v>3765</v>
      </c>
      <c r="L1280" t="str">
        <f t="shared" si="163"/>
        <v>"id":"s1262",</v>
      </c>
      <c r="M1280" t="str">
        <v>"cate":"Opto",</v>
      </c>
      <c r="N1280" t="str">
        <v>"des":"OPT DRIVER 5KV-03",</v>
      </c>
      <c r="O1280" t="str">
        <v>"mfg":"BROADCOM",</v>
      </c>
      <c r="P1280" t="str">
        <v>"pn":"HCPL-817-56DE",</v>
      </c>
      <c r="Q1280" t="str">
        <v>"qty":1844</v>
      </c>
      <c r="S1280" t="s">
        <v>2498</v>
      </c>
      <c r="T1280" t="str">
        <f t="shared" si="164"/>
        <v>"id":"s1262","cate":"Opto","des":"OPT DRIVER 5KV-03","mfg":"BROADCOM","pn":"HCPL-817-56DE","qty":1844</v>
      </c>
      <c r="U1280" t="s">
        <v>2503</v>
      </c>
    </row>
    <row r="1281" spans="5:21" x14ac:dyDescent="0.25">
      <c r="E1281" t="s">
        <v>2193</v>
      </c>
      <c r="F1281" t="s">
        <v>1751</v>
      </c>
      <c r="G1281" t="s">
        <v>1752</v>
      </c>
      <c r="H1281" t="s">
        <v>1753</v>
      </c>
      <c r="I1281">
        <v>1800</v>
      </c>
      <c r="K1281" t="s">
        <v>3766</v>
      </c>
      <c r="L1281" t="str">
        <f t="shared" si="163"/>
        <v>"id":"s1263",</v>
      </c>
      <c r="M1281" t="str">
        <v>"cate":"Diode",</v>
      </c>
      <c r="N1281" t="str">
        <v>"des":"DiodeE 60A 600V-03",</v>
      </c>
      <c r="O1281" t="str">
        <v>"mfg":"STMICROELECTRONICS",</v>
      </c>
      <c r="P1281" t="str">
        <v>"pn":"STTH6006W",</v>
      </c>
      <c r="Q1281" t="str">
        <v>"qty":1842</v>
      </c>
      <c r="S1281" t="s">
        <v>2498</v>
      </c>
      <c r="T1281" t="str">
        <f t="shared" si="164"/>
        <v>"id":"s1263","cate":"Diode","des":"DiodeE 60A 600V-03","mfg":"STMICROELECTRONICS","pn":"STTH6006W","qty":1842</v>
      </c>
      <c r="U1281" t="s">
        <v>2503</v>
      </c>
    </row>
    <row r="1282" spans="5:21" x14ac:dyDescent="0.25">
      <c r="E1282" t="s">
        <v>2193</v>
      </c>
      <c r="F1282" t="s">
        <v>1751</v>
      </c>
      <c r="G1282" t="s">
        <v>1752</v>
      </c>
      <c r="H1282" t="s">
        <v>1754</v>
      </c>
      <c r="I1282">
        <v>1800</v>
      </c>
      <c r="K1282" t="s">
        <v>3767</v>
      </c>
      <c r="L1282" t="str">
        <f t="shared" si="163"/>
        <v>"id":"s1264",</v>
      </c>
      <c r="M1282" t="str">
        <v>"cate":"Diode",</v>
      </c>
      <c r="N1282" t="str">
        <v>"des":"DiodeE 60A 600V-03",</v>
      </c>
      <c r="O1282" t="str">
        <v>"mfg":"STMICROELECTRONICS",</v>
      </c>
      <c r="P1282" t="str">
        <v>"pn":"STTW6006W",</v>
      </c>
      <c r="Q1282" t="str">
        <v>"qty":1842</v>
      </c>
      <c r="S1282" t="s">
        <v>2498</v>
      </c>
      <c r="T1282" t="str">
        <f t="shared" si="164"/>
        <v>"id":"s1264","cate":"Diode","des":"DiodeE 60A 600V-03","mfg":"STMICROELECTRONICS","pn":"STTW6006W","qty":1842</v>
      </c>
      <c r="U1282" t="s">
        <v>2503</v>
      </c>
    </row>
    <row r="1283" spans="5:21" x14ac:dyDescent="0.25">
      <c r="E1283" t="s">
        <v>2149</v>
      </c>
      <c r="F1283" t="s">
        <v>1755</v>
      </c>
      <c r="G1283" t="s">
        <v>1151</v>
      </c>
      <c r="H1283" t="s">
        <v>1756</v>
      </c>
      <c r="I1283">
        <v>1793</v>
      </c>
      <c r="K1283" t="s">
        <v>3768</v>
      </c>
      <c r="L1283" t="str">
        <f t="shared" si="163"/>
        <v>"id":"s1265",</v>
      </c>
      <c r="M1283" t="str">
        <v>"cate":"Capacitor",</v>
      </c>
      <c r="N1283" t="str">
        <v>"des":"Capacitor 22NF/300VAC",</v>
      </c>
      <c r="O1283" t="str">
        <v>"mfg":"EPCOS/TDK",</v>
      </c>
      <c r="P1283" t="str">
        <v>"pn":"B32022A3223M",</v>
      </c>
      <c r="Q1283" t="str">
        <v>"qty":1833</v>
      </c>
      <c r="S1283" t="s">
        <v>2498</v>
      </c>
      <c r="T1283" t="str">
        <f t="shared" si="164"/>
        <v>"id":"s1265","cate":"Capacitor","des":"Capacitor 22NF/300VAC","mfg":"EPCOS/TDK","pn":"B32022A3223M","qty":1833</v>
      </c>
      <c r="U1283" t="s">
        <v>2503</v>
      </c>
    </row>
    <row r="1284" spans="5:21" x14ac:dyDescent="0.25">
      <c r="E1284" s="6" t="s">
        <v>2474</v>
      </c>
      <c r="F1284" t="s">
        <v>1757</v>
      </c>
      <c r="G1284" t="s">
        <v>28</v>
      </c>
      <c r="H1284" t="s">
        <v>1758</v>
      </c>
      <c r="I1284">
        <v>1785</v>
      </c>
      <c r="K1284" t="s">
        <v>3769</v>
      </c>
      <c r="L1284" t="str">
        <f t="shared" si="163"/>
        <v>"id":"s1266",</v>
      </c>
      <c r="M1284" t="str">
        <v>"cate":"Capacitor",</v>
      </c>
      <c r="N1284" t="str">
        <v>"des":"Capacitor 22NF/300VAC",</v>
      </c>
      <c r="O1284" t="str">
        <v>"mfg":"EPCOS/TDK",</v>
      </c>
      <c r="P1284" t="str">
        <v>"pn":"B32022A3223M Z 1",</v>
      </c>
      <c r="Q1284" t="str">
        <v>"qty":1833</v>
      </c>
      <c r="S1284" t="s">
        <v>2498</v>
      </c>
      <c r="T1284" t="str">
        <f t="shared" si="164"/>
        <v>"id":"s1266","cate":"Capacitor","des":"Capacitor 22NF/300VAC","mfg":"EPCOS/TDK","pn":"B32022A3223M Z 1","qty":1833</v>
      </c>
      <c r="U1284" t="s">
        <v>2503</v>
      </c>
    </row>
    <row r="1285" spans="5:21" x14ac:dyDescent="0.25">
      <c r="E1285" s="6" t="s">
        <v>2474</v>
      </c>
      <c r="F1285" t="s">
        <v>1757</v>
      </c>
      <c r="G1285" t="s">
        <v>28</v>
      </c>
      <c r="H1285" t="s">
        <v>1759</v>
      </c>
      <c r="I1285">
        <v>1785</v>
      </c>
      <c r="K1285" t="s">
        <v>3770</v>
      </c>
      <c r="L1285" t="str">
        <f t="shared" si="163"/>
        <v>"id":"s1267",</v>
      </c>
      <c r="M1285" t="str">
        <v>"cate":"MOSFET",</v>
      </c>
      <c r="N1285" t="str">
        <v>"des":"MOS 20V 2,4A SMD",</v>
      </c>
      <c r="O1285" t="str">
        <v>"mfg":"ON SEMICONDUCTOR",</v>
      </c>
      <c r="P1285" t="str">
        <v>"pn":"FDN304P",</v>
      </c>
      <c r="Q1285" t="str">
        <v>"qty":1832</v>
      </c>
      <c r="S1285" t="s">
        <v>2498</v>
      </c>
      <c r="T1285" t="str">
        <f t="shared" si="164"/>
        <v>"id":"s1267","cate":"MOSFET","des":"MOS 20V 2,4A SMD","mfg":"ON SEMICONDUCTOR","pn":"FDN304P","qty":1832</v>
      </c>
      <c r="U1285" t="s">
        <v>2503</v>
      </c>
    </row>
    <row r="1286" spans="5:21" x14ac:dyDescent="0.25">
      <c r="E1286" t="s">
        <v>2194</v>
      </c>
      <c r="F1286" t="s">
        <v>2342</v>
      </c>
      <c r="G1286" t="s">
        <v>45</v>
      </c>
      <c r="H1286" t="s">
        <v>1760</v>
      </c>
      <c r="I1286">
        <v>1784</v>
      </c>
      <c r="K1286" t="s">
        <v>3771</v>
      </c>
      <c r="L1286" t="str">
        <f t="shared" si="163"/>
        <v>"id":"s1268",</v>
      </c>
      <c r="M1286" t="str">
        <v>"cate":"Capacitor",</v>
      </c>
      <c r="N1286" t="str">
        <v>"des":"Capacitor 47UF/6,3V TANT",</v>
      </c>
      <c r="O1286" t="str">
        <v>"mfg":"AVX",</v>
      </c>
      <c r="P1286" t="str">
        <v>"pn":"TAJB476K006RNJ",</v>
      </c>
      <c r="Q1286" t="str">
        <v>"qty":1826</v>
      </c>
      <c r="S1286" t="s">
        <v>2498</v>
      </c>
      <c r="T1286" t="str">
        <f t="shared" si="164"/>
        <v>"id":"s1268","cate":"Capacitor","des":"Capacitor 47UF/6,3V TANT","mfg":"AVX","pn":"TAJB476K006RNJ","qty":1826</v>
      </c>
      <c r="U1286" t="s">
        <v>2503</v>
      </c>
    </row>
    <row r="1287" spans="5:21" x14ac:dyDescent="0.25">
      <c r="E1287" t="s">
        <v>2193</v>
      </c>
      <c r="F1287" t="s">
        <v>1761</v>
      </c>
      <c r="G1287" t="s">
        <v>13</v>
      </c>
      <c r="H1287" t="s">
        <v>1762</v>
      </c>
      <c r="I1287">
        <v>1783</v>
      </c>
      <c r="K1287" t="s">
        <v>3772</v>
      </c>
      <c r="L1287" t="str">
        <f t="shared" si="163"/>
        <v>"id":"s1269",</v>
      </c>
      <c r="M1287" t="str">
        <v>"cate":"Capacitor",</v>
      </c>
      <c r="N1287" t="str">
        <v>"des":"Capacitor 4,7NF/50V 0805",</v>
      </c>
      <c r="O1287" t="str">
        <v>"mfg":"KEMET",</v>
      </c>
      <c r="P1287" t="str">
        <v>"pn":"C0805C472K5RACTU",</v>
      </c>
      <c r="Q1287" t="str">
        <v>"qty":1820</v>
      </c>
      <c r="S1287" t="s">
        <v>2498</v>
      </c>
      <c r="T1287" t="str">
        <f t="shared" si="164"/>
        <v>"id":"s1269","cate":"Capacitor","des":"Capacitor 4,7NF/50V 0805","mfg":"KEMET","pn":"C0805C472K5RACTU","qty":1820</v>
      </c>
      <c r="U1287" t="s">
        <v>2503</v>
      </c>
    </row>
    <row r="1288" spans="5:21" x14ac:dyDescent="0.25">
      <c r="E1288" t="s">
        <v>2193</v>
      </c>
      <c r="F1288" t="s">
        <v>1761</v>
      </c>
      <c r="G1288" t="s">
        <v>5</v>
      </c>
      <c r="H1288" t="s">
        <v>1763</v>
      </c>
      <c r="I1288">
        <v>1783</v>
      </c>
      <c r="K1288" t="s">
        <v>3773</v>
      </c>
      <c r="L1288" t="str">
        <f t="shared" si="163"/>
        <v>"id":"s1270",</v>
      </c>
      <c r="M1288" t="str">
        <v>"cate":"FUSE",</v>
      </c>
      <c r="N1288" t="str">
        <v>"des":"FUSE 30A 500V",</v>
      </c>
      <c r="O1288" t="str">
        <v>"mfg":"COOPER BUSSMANN",</v>
      </c>
      <c r="P1288" t="str">
        <v>"pn":"FNQ-30",</v>
      </c>
      <c r="Q1288" t="str">
        <v>"qty":1814</v>
      </c>
      <c r="S1288" t="s">
        <v>2498</v>
      </c>
      <c r="T1288" t="str">
        <f t="shared" si="164"/>
        <v>"id":"s1270","cate":"FUSE","des":"FUSE 30A 500V","mfg":"COOPER BUSSMANN","pn":"FNQ-30","qty":1814</v>
      </c>
      <c r="U1288" t="s">
        <v>2503</v>
      </c>
    </row>
    <row r="1289" spans="5:21" x14ac:dyDescent="0.25">
      <c r="E1289" t="s">
        <v>2193</v>
      </c>
      <c r="F1289" t="s">
        <v>1761</v>
      </c>
      <c r="G1289" t="s">
        <v>5</v>
      </c>
      <c r="H1289" t="s">
        <v>1764</v>
      </c>
      <c r="I1289">
        <v>1783</v>
      </c>
      <c r="K1289" t="s">
        <v>3774</v>
      </c>
      <c r="L1289" t="str">
        <f t="shared" si="163"/>
        <v>"id":"s1271",</v>
      </c>
      <c r="M1289" t="str">
        <v>"cate":"FUSE",</v>
      </c>
      <c r="N1289" t="str">
        <v>"des":"FUSE 30A 500V",</v>
      </c>
      <c r="O1289" t="str">
        <v>"mfg":"EATON",</v>
      </c>
      <c r="P1289" t="str">
        <v>"pn":"FNQ-30",</v>
      </c>
      <c r="Q1289" t="str">
        <v>"qty":1814</v>
      </c>
      <c r="S1289" t="s">
        <v>2498</v>
      </c>
      <c r="T1289" t="str">
        <f t="shared" si="164"/>
        <v>"id":"s1271","cate":"FUSE","des":"FUSE 30A 500V","mfg":"EATON","pn":"FNQ-30","qty":1814</v>
      </c>
      <c r="U1289" t="s">
        <v>2503</v>
      </c>
    </row>
    <row r="1290" spans="5:21" x14ac:dyDescent="0.25">
      <c r="E1290" t="s">
        <v>2193</v>
      </c>
      <c r="F1290" t="s">
        <v>1761</v>
      </c>
      <c r="G1290" t="s">
        <v>10</v>
      </c>
      <c r="H1290" t="s">
        <v>1765</v>
      </c>
      <c r="I1290">
        <v>1783</v>
      </c>
      <c r="K1290" t="s">
        <v>3775</v>
      </c>
      <c r="L1290" t="str">
        <f t="shared" si="163"/>
        <v>"id":"s1272",</v>
      </c>
      <c r="M1290" t="str">
        <v>"cate":"FUSE",</v>
      </c>
      <c r="N1290" t="str">
        <v>"des":"FUSE 30A 500V",</v>
      </c>
      <c r="O1290" t="str">
        <v>"mfg":"MERSEN",</v>
      </c>
      <c r="P1290" t="str">
        <v>"pn":"ATQ30",</v>
      </c>
      <c r="Q1290" t="str">
        <v>"qty":1814</v>
      </c>
      <c r="S1290" t="s">
        <v>2498</v>
      </c>
      <c r="T1290" t="str">
        <f t="shared" si="164"/>
        <v>"id":"s1272","cate":"FUSE","des":"FUSE 30A 500V","mfg":"MERSEN","pn":"ATQ30","qty":1814</v>
      </c>
      <c r="U1290" t="s">
        <v>2503</v>
      </c>
    </row>
    <row r="1291" spans="5:21" x14ac:dyDescent="0.25">
      <c r="E1291" t="s">
        <v>2173</v>
      </c>
      <c r="F1291" t="s">
        <v>1766</v>
      </c>
      <c r="G1291" t="s">
        <v>1233</v>
      </c>
      <c r="H1291" t="s">
        <v>1767</v>
      </c>
      <c r="I1291">
        <v>1779</v>
      </c>
      <c r="K1291" t="s">
        <v>3776</v>
      </c>
      <c r="L1291" t="str">
        <f t="shared" si="163"/>
        <v>"id":"s1273",</v>
      </c>
      <c r="M1291" t="str">
        <v>"cate":"Capacitor",</v>
      </c>
      <c r="N1291" t="str">
        <v>"des":"Capacitor 0,1UF/100V 206",</v>
      </c>
      <c r="O1291" t="str">
        <v>"mfg":"MURATA MANUFACTURING",</v>
      </c>
      <c r="P1291" t="str">
        <v>"pn":"GRM31C5C2A104JA01K",</v>
      </c>
      <c r="Q1291" t="str">
        <v>"qty":1805</v>
      </c>
      <c r="S1291" t="s">
        <v>2498</v>
      </c>
      <c r="T1291" t="str">
        <f t="shared" si="164"/>
        <v>"id":"s1273","cate":"Capacitor","des":"Capacitor 0,1UF/100V 206","mfg":"MURATA MANUFACTURING","pn":"GRM31C5C2A104JA01K","qty":1805</v>
      </c>
      <c r="U1291" t="s">
        <v>2503</v>
      </c>
    </row>
    <row r="1292" spans="5:21" x14ac:dyDescent="0.25">
      <c r="E1292" t="s">
        <v>2194</v>
      </c>
      <c r="F1292" t="s">
        <v>2343</v>
      </c>
      <c r="G1292" t="s">
        <v>45</v>
      </c>
      <c r="H1292" t="s">
        <v>1768</v>
      </c>
      <c r="I1292">
        <v>1766</v>
      </c>
      <c r="K1292" t="s">
        <v>3777</v>
      </c>
      <c r="L1292" t="str">
        <f t="shared" si="163"/>
        <v>"id":"s1274",</v>
      </c>
      <c r="M1292" t="str">
        <v>"cate":"Capacitor",</v>
      </c>
      <c r="N1292" t="str">
        <v>"des":"Capacitor 0,1UF/100V 206",</v>
      </c>
      <c r="O1292" t="str">
        <v>"mfg":"MURATA MANUFACTURING",</v>
      </c>
      <c r="P1292" t="str">
        <v>"pn":"GRM31C5C2A104JA01L",</v>
      </c>
      <c r="Q1292" t="str">
        <v>"qty":1805</v>
      </c>
      <c r="S1292" t="s">
        <v>2498</v>
      </c>
      <c r="T1292" t="str">
        <f t="shared" si="164"/>
        <v>"id":"s1274","cate":"Capacitor","des":"Capacitor 0,1UF/100V 206","mfg":"MURATA MANUFACTURING","pn":"GRM31C5C2A104JA01L","qty":1805</v>
      </c>
      <c r="U1292" t="s">
        <v>2503</v>
      </c>
    </row>
    <row r="1293" spans="5:21" x14ac:dyDescent="0.25">
      <c r="E1293" s="6" t="s">
        <v>2382</v>
      </c>
      <c r="F1293" t="s">
        <v>1769</v>
      </c>
      <c r="G1293" t="s">
        <v>149</v>
      </c>
      <c r="H1293" t="s">
        <v>1770</v>
      </c>
      <c r="I1293">
        <v>1750</v>
      </c>
      <c r="K1293" t="s">
        <v>3778</v>
      </c>
      <c r="L1293" t="str">
        <f t="shared" si="163"/>
        <v>"id":"s1275",</v>
      </c>
      <c r="M1293" t="str">
        <v>"cate":"Resistor ",</v>
      </c>
      <c r="N1293" t="str">
        <v>"des":"RST 680 1W 5% 2512",</v>
      </c>
      <c r="O1293" t="str">
        <v>"mfg":"YAGEO",</v>
      </c>
      <c r="P1293" t="str">
        <v>"pn":"RC2512JK-07680RL",</v>
      </c>
      <c r="Q1293" t="str">
        <v>"qty":1801</v>
      </c>
      <c r="S1293" t="s">
        <v>2498</v>
      </c>
      <c r="T1293" t="str">
        <f t="shared" si="164"/>
        <v>"id":"s1275","cate":"Resistor ","des":"RST 680 1W 5% 2512","mfg":"YAGEO","pn":"RC2512JK-07680RL","qty":1801</v>
      </c>
      <c r="U1293" t="s">
        <v>2503</v>
      </c>
    </row>
    <row r="1294" spans="5:21" x14ac:dyDescent="0.25">
      <c r="E1294" s="6" t="s">
        <v>2382</v>
      </c>
      <c r="F1294" t="s">
        <v>1769</v>
      </c>
      <c r="G1294" t="s">
        <v>149</v>
      </c>
      <c r="H1294" t="s">
        <v>1771</v>
      </c>
      <c r="I1294">
        <v>1750</v>
      </c>
      <c r="K1294" t="s">
        <v>3779</v>
      </c>
      <c r="L1294" t="str">
        <f t="shared" si="163"/>
        <v>"id":"s1276",</v>
      </c>
      <c r="M1294" t="str">
        <v>"cate":"Resistor ",</v>
      </c>
      <c r="N1294" t="str">
        <v>"des":"RST 12R 3/4W5%206-T",</v>
      </c>
      <c r="O1294" t="str">
        <v>"mfg":"VIKING TECH AMERICA CORP",</v>
      </c>
      <c r="P1294" t="str">
        <v>"pn":"SWR06JTFQ0120",</v>
      </c>
      <c r="Q1294" t="str">
        <v>"qty":1800</v>
      </c>
      <c r="S1294" t="s">
        <v>2498</v>
      </c>
      <c r="T1294" t="str">
        <f t="shared" si="164"/>
        <v>"id":"s1276","cate":"Resistor ","des":"RST 12R 3/4W5%206-T","mfg":"VIKING TECH AMERICA CORP","pn":"SWR06JTFQ0120","qty":1800</v>
      </c>
      <c r="U1294" t="s">
        <v>2503</v>
      </c>
    </row>
    <row r="1295" spans="5:21" x14ac:dyDescent="0.25">
      <c r="E1295" t="s">
        <v>2193</v>
      </c>
      <c r="F1295" t="s">
        <v>1772</v>
      </c>
      <c r="G1295" t="s">
        <v>320</v>
      </c>
      <c r="H1295" t="s">
        <v>1773</v>
      </c>
      <c r="I1295">
        <v>1743</v>
      </c>
      <c r="K1295" t="s">
        <v>3780</v>
      </c>
      <c r="L1295" t="str">
        <f t="shared" si="163"/>
        <v>"id":"s1277",</v>
      </c>
      <c r="M1295" t="str">
        <v>"cate":"Resistor ",</v>
      </c>
      <c r="N1295" t="str">
        <v>"des":"RST 12R 3/4W5%206-T",</v>
      </c>
      <c r="O1295" t="str">
        <v>"mfg":"VIKING TECH AMERICA CORP",</v>
      </c>
      <c r="P1295" t="str">
        <v>"pn":"SWR06JTFQ0120A",</v>
      </c>
      <c r="Q1295" t="str">
        <v>"qty":1800</v>
      </c>
      <c r="S1295" t="s">
        <v>2498</v>
      </c>
      <c r="T1295" t="str">
        <f t="shared" si="164"/>
        <v>"id":"s1277","cate":"Resistor ","des":"RST 12R 3/4W5%206-T","mfg":"VIKING TECH AMERICA CORP","pn":"SWR06JTFQ0120A","qty":1800</v>
      </c>
      <c r="U1295" t="s">
        <v>2503</v>
      </c>
    </row>
    <row r="1296" spans="5:21" x14ac:dyDescent="0.25">
      <c r="E1296" t="s">
        <v>2175</v>
      </c>
      <c r="F1296" t="s">
        <v>1774</v>
      </c>
      <c r="G1296" t="s">
        <v>1188</v>
      </c>
      <c r="H1296" t="s">
        <v>1775</v>
      </c>
      <c r="I1296">
        <v>1739</v>
      </c>
      <c r="K1296" t="s">
        <v>3781</v>
      </c>
      <c r="L1296" t="str">
        <f t="shared" si="163"/>
        <v>"id":"s1278",</v>
      </c>
      <c r="M1296" t="str">
        <v>"cate":"XTAL",</v>
      </c>
      <c r="N1296" t="str">
        <v>"des":"XTAL 25MHZ 8PF2X1,6",</v>
      </c>
      <c r="O1296" t="str">
        <v>"mfg":"ABRACON",</v>
      </c>
      <c r="P1296" t="str">
        <v>"pn":"ABM11W-25.0000MHZ-8-K1Z-T",</v>
      </c>
      <c r="Q1296" t="str">
        <v>"qty":1793</v>
      </c>
      <c r="S1296" t="s">
        <v>2498</v>
      </c>
      <c r="T1296" t="str">
        <f t="shared" si="164"/>
        <v>"id":"s1278","cate":"XTAL","des":"XTAL 25MHZ 8PF2X1,6","mfg":"ABRACON","pn":"ABM11W-25.0000MHZ-8-K1Z-T","qty":1793</v>
      </c>
      <c r="U1296" t="s">
        <v>2503</v>
      </c>
    </row>
    <row r="1297" spans="5:21" x14ac:dyDescent="0.25">
      <c r="E1297" t="s">
        <v>2193</v>
      </c>
      <c r="F1297" t="s">
        <v>1776</v>
      </c>
      <c r="G1297" t="s">
        <v>176</v>
      </c>
      <c r="H1297" t="s">
        <v>1777</v>
      </c>
      <c r="I1297">
        <v>1730</v>
      </c>
      <c r="K1297" t="s">
        <v>3782</v>
      </c>
      <c r="L1297" t="str">
        <f t="shared" si="163"/>
        <v>"id":"s1279",</v>
      </c>
      <c r="M1297" t="str">
        <v>"cate":"MOSFET",</v>
      </c>
      <c r="N1297" t="str">
        <v>"des":"MOS 25V 0,41A DUALP",</v>
      </c>
      <c r="O1297" t="str">
        <v>"mfg":"ON SEMICONDUCTOR",</v>
      </c>
      <c r="P1297" t="str">
        <v>"pn":"FDG6304P",</v>
      </c>
      <c r="Q1297" t="str">
        <v>"qty":1785</v>
      </c>
      <c r="S1297" t="s">
        <v>2498</v>
      </c>
      <c r="T1297" t="str">
        <f t="shared" si="164"/>
        <v>"id":"s1279","cate":"MOSFET","des":"MOS 25V 0,41A DUALP","mfg":"ON SEMICONDUCTOR","pn":"FDG6304P","qty":1785</v>
      </c>
      <c r="U1297" t="s">
        <v>2503</v>
      </c>
    </row>
    <row r="1298" spans="5:21" x14ac:dyDescent="0.25">
      <c r="E1298" t="s">
        <v>2193</v>
      </c>
      <c r="F1298" t="s">
        <v>1776</v>
      </c>
      <c r="G1298" t="s">
        <v>13</v>
      </c>
      <c r="H1298" t="s">
        <v>1778</v>
      </c>
      <c r="I1298">
        <v>1730</v>
      </c>
      <c r="K1298" t="s">
        <v>3783</v>
      </c>
      <c r="L1298" t="str">
        <f t="shared" si="163"/>
        <v>"id":"s1280",</v>
      </c>
      <c r="M1298" t="str">
        <v>"cate":"MOSFET",</v>
      </c>
      <c r="N1298" t="str">
        <v>"des":"MOS 25V 0,41A DUALP",</v>
      </c>
      <c r="O1298" t="str">
        <v>"mfg":"ON SEMICONDUCTOR",</v>
      </c>
      <c r="P1298" t="str">
        <v>"pn":"NTJD4152PT1G",</v>
      </c>
      <c r="Q1298" t="str">
        <v>"qty":1785</v>
      </c>
      <c r="S1298" t="s">
        <v>2498</v>
      </c>
      <c r="T1298" t="str">
        <f t="shared" si="164"/>
        <v>"id":"s1280","cate":"MOSFET","des":"MOS 25V 0,41A DUALP","mfg":"ON SEMICONDUCTOR","pn":"NTJD4152PT1G","qty":1785</v>
      </c>
      <c r="U1298" t="s">
        <v>2503</v>
      </c>
    </row>
    <row r="1299" spans="5:21" x14ac:dyDescent="0.25">
      <c r="E1299" t="s">
        <v>2193</v>
      </c>
      <c r="F1299" t="s">
        <v>1776</v>
      </c>
      <c r="G1299" t="s">
        <v>320</v>
      </c>
      <c r="H1299" t="s">
        <v>1779</v>
      </c>
      <c r="I1299">
        <v>1730</v>
      </c>
      <c r="K1299" t="s">
        <v>3784</v>
      </c>
      <c r="L1299" t="str">
        <f t="shared" si="163"/>
        <v>"id":"s1281",</v>
      </c>
      <c r="M1299" t="str">
        <v>"cate":"Capacitor",</v>
      </c>
      <c r="N1299" t="str">
        <v>"des":"Capacitor 47NF/350V Y2",</v>
      </c>
      <c r="O1299" t="str">
        <v>"mfg":"EPCOS/TDK",</v>
      </c>
      <c r="P1299" t="str">
        <v>"pn":"B32033A4473M000",</v>
      </c>
      <c r="Q1299" t="str">
        <v>"qty":1784</v>
      </c>
      <c r="S1299" t="s">
        <v>2498</v>
      </c>
      <c r="T1299" t="str">
        <f t="shared" si="164"/>
        <v>"id":"s1281","cate":"Capacitor","des":"Capacitor 47NF/350V Y2","mfg":"EPCOS/TDK","pn":"B32033A4473M000","qty":1784</v>
      </c>
      <c r="U1299" t="s">
        <v>2503</v>
      </c>
    </row>
    <row r="1300" spans="5:21" x14ac:dyDescent="0.25">
      <c r="E1300" t="s">
        <v>2194</v>
      </c>
      <c r="F1300" t="s">
        <v>2344</v>
      </c>
      <c r="G1300" t="s">
        <v>45</v>
      </c>
      <c r="H1300" t="s">
        <v>1780</v>
      </c>
      <c r="I1300">
        <v>1729</v>
      </c>
      <c r="K1300" t="s">
        <v>3785</v>
      </c>
      <c r="L1300" t="str">
        <f t="shared" ref="L1300:L1363" si="165">_xlfn.CONCAT("""","id","""",":","""",K1300,"""",",")</f>
        <v>"id":"s1282",</v>
      </c>
      <c r="M1300" t="str">
        <v>"cate":"Resistor ",</v>
      </c>
      <c r="N1300" t="str">
        <v>"des":"RST 2,43K 0,1W1%603",</v>
      </c>
      <c r="O1300" t="str">
        <v>"mfg":"YAGEO",</v>
      </c>
      <c r="P1300" t="str">
        <v>"pn":"RC0603FR-(**) 2K43 L",</v>
      </c>
      <c r="Q1300" t="str">
        <v>"qty":1783</v>
      </c>
      <c r="S1300" t="s">
        <v>2498</v>
      </c>
      <c r="T1300" t="str">
        <f t="shared" ref="T1300:T1363" si="166">_xlfn.CONCAT(L1300:Q1300)</f>
        <v>"id":"s1282","cate":"Resistor ","des":"RST 2,43K 0,1W1%603","mfg":"YAGEO","pn":"RC0603FR-(**) 2K43 L","qty":1783</v>
      </c>
      <c r="U1300" t="s">
        <v>2503</v>
      </c>
    </row>
    <row r="1301" spans="5:21" x14ac:dyDescent="0.25">
      <c r="E1301" t="s">
        <v>2194</v>
      </c>
      <c r="F1301" t="s">
        <v>2344</v>
      </c>
      <c r="G1301" t="s">
        <v>47</v>
      </c>
      <c r="H1301" t="s">
        <v>1781</v>
      </c>
      <c r="I1301">
        <v>1729</v>
      </c>
      <c r="K1301" t="s">
        <v>3786</v>
      </c>
      <c r="L1301" t="str">
        <f t="shared" si="165"/>
        <v>"id":"s1283",</v>
      </c>
      <c r="M1301" t="str">
        <v>"cate":"Resistor ",</v>
      </c>
      <c r="N1301" t="str">
        <v>"des":"RST 2,43K 0,1W1%603",</v>
      </c>
      <c r="O1301" t="str">
        <v>"mfg":"KOA",</v>
      </c>
      <c r="P1301" t="str">
        <v>"pn":"RK73H1JT(**) 2431 F",</v>
      </c>
      <c r="Q1301" t="str">
        <v>"qty":1783</v>
      </c>
      <c r="S1301" t="s">
        <v>2498</v>
      </c>
      <c r="T1301" t="str">
        <f t="shared" si="166"/>
        <v>"id":"s1283","cate":"Resistor ","des":"RST 2,43K 0,1W1%603","mfg":"KOA","pn":"RK73H1JT(**) 2431 F","qty":1783</v>
      </c>
      <c r="U1301" t="s">
        <v>2503</v>
      </c>
    </row>
    <row r="1302" spans="5:21" x14ac:dyDescent="0.25">
      <c r="E1302" t="s">
        <v>2194</v>
      </c>
      <c r="F1302" t="s">
        <v>2344</v>
      </c>
      <c r="G1302" t="s">
        <v>37</v>
      </c>
      <c r="H1302" t="s">
        <v>1782</v>
      </c>
      <c r="I1302">
        <v>1729</v>
      </c>
      <c r="K1302" t="s">
        <v>3787</v>
      </c>
      <c r="L1302" t="str">
        <f t="shared" si="165"/>
        <v>"id":"s1284",</v>
      </c>
      <c r="M1302" t="str">
        <v>"cate":"Resistor ",</v>
      </c>
      <c r="N1302" t="str">
        <v>"des":"RST 2,43K 0,1W1%603",</v>
      </c>
      <c r="O1302" t="str">
        <v>"mfg":"KOA",</v>
      </c>
      <c r="P1302" t="str">
        <v>"pn":"RK73H1JTTD2431F",</v>
      </c>
      <c r="Q1302" t="str">
        <v>"qty":1783</v>
      </c>
      <c r="S1302" t="s">
        <v>2498</v>
      </c>
      <c r="T1302" t="str">
        <f t="shared" si="166"/>
        <v>"id":"s1284","cate":"Resistor ","des":"RST 2,43K 0,1W1%603","mfg":"KOA","pn":"RK73H1JTTD2431F","qty":1783</v>
      </c>
      <c r="U1302" t="s">
        <v>2503</v>
      </c>
    </row>
    <row r="1303" spans="5:21" x14ac:dyDescent="0.25">
      <c r="E1303" t="s">
        <v>2176</v>
      </c>
      <c r="F1303" t="s">
        <v>1783</v>
      </c>
      <c r="G1303" t="s">
        <v>1694</v>
      </c>
      <c r="H1303" t="s">
        <v>1784</v>
      </c>
      <c r="I1303">
        <v>1729</v>
      </c>
      <c r="K1303" t="s">
        <v>3788</v>
      </c>
      <c r="L1303" t="str">
        <f t="shared" si="165"/>
        <v>"id":"s1285",</v>
      </c>
      <c r="M1303" t="str">
        <v>"cate":"Resistor ",</v>
      </c>
      <c r="N1303" t="str">
        <v>"des":"RST 2,43K 0,1W1%603",</v>
      </c>
      <c r="O1303" t="str">
        <v>"mfg":"WALSIN",</v>
      </c>
      <c r="P1303" t="str">
        <v>"pn":"WR06X2431F(*)L",</v>
      </c>
      <c r="Q1303" t="str">
        <v>"qty":1783</v>
      </c>
      <c r="S1303" t="s">
        <v>2498</v>
      </c>
      <c r="T1303" t="str">
        <f t="shared" si="166"/>
        <v>"id":"s1285","cate":"Resistor ","des":"RST 2,43K 0,1W1%603","mfg":"WALSIN","pn":"WR06X2431F(*)L","qty":1783</v>
      </c>
      <c r="U1303" t="s">
        <v>2503</v>
      </c>
    </row>
    <row r="1304" spans="5:21" x14ac:dyDescent="0.25">
      <c r="E1304" t="s">
        <v>2194</v>
      </c>
      <c r="F1304" t="s">
        <v>2345</v>
      </c>
      <c r="G1304" t="s">
        <v>13</v>
      </c>
      <c r="H1304" t="s">
        <v>1785</v>
      </c>
      <c r="I1304">
        <v>1722</v>
      </c>
      <c r="K1304" t="s">
        <v>3789</v>
      </c>
      <c r="L1304" t="str">
        <f t="shared" si="165"/>
        <v>"id":"s1286",</v>
      </c>
      <c r="M1304" t="str">
        <v>"cate":"JUMP",</v>
      </c>
      <c r="N1304" t="str">
        <v>"des":"JUMPER 6,35 MM",</v>
      </c>
      <c r="O1304" t="str">
        <v>"mfg":"HARWIN",</v>
      </c>
      <c r="P1304" t="str">
        <v>"pn":"D3081-05",</v>
      </c>
      <c r="Q1304" t="str">
        <v>"qty":1779</v>
      </c>
      <c r="S1304" t="s">
        <v>2498</v>
      </c>
      <c r="T1304" t="str">
        <f t="shared" si="166"/>
        <v>"id":"s1286","cate":"JUMP","des":"JUMPER 6,35 MM","mfg":"HARWIN","pn":"D3081-05","qty":1779</v>
      </c>
      <c r="U1304" t="s">
        <v>2503</v>
      </c>
    </row>
    <row r="1305" spans="5:21" x14ac:dyDescent="0.25">
      <c r="E1305" s="6" t="s">
        <v>2382</v>
      </c>
      <c r="F1305" t="s">
        <v>1786</v>
      </c>
      <c r="G1305" t="s">
        <v>28</v>
      </c>
      <c r="H1305" t="s">
        <v>1787</v>
      </c>
      <c r="I1305">
        <v>1721</v>
      </c>
      <c r="K1305" t="s">
        <v>3790</v>
      </c>
      <c r="L1305" t="str">
        <f t="shared" si="165"/>
        <v>"id":"s1287",</v>
      </c>
      <c r="M1305" t="str">
        <v>"cate":"Capacitor",</v>
      </c>
      <c r="N1305" t="str">
        <v>"des":"Capacitor 100NF M300V Y2",</v>
      </c>
      <c r="O1305" t="str">
        <v>"mfg":"EPCOS/TDK",</v>
      </c>
      <c r="P1305" t="str">
        <v>"pn":"B32023A3104M",</v>
      </c>
      <c r="Q1305" t="str">
        <v>"qty":1766</v>
      </c>
      <c r="S1305" t="s">
        <v>2498</v>
      </c>
      <c r="T1305" t="str">
        <f t="shared" si="166"/>
        <v>"id":"s1287","cate":"Capacitor","des":"Capacitor 100NF M300V Y2","mfg":"EPCOS/TDK","pn":"B32023A3104M","qty":1766</v>
      </c>
      <c r="U1305" t="s">
        <v>2503</v>
      </c>
    </row>
    <row r="1306" spans="5:21" x14ac:dyDescent="0.25">
      <c r="E1306" s="6" t="s">
        <v>2382</v>
      </c>
      <c r="F1306" t="s">
        <v>1788</v>
      </c>
      <c r="G1306" t="s">
        <v>556</v>
      </c>
      <c r="H1306" t="s">
        <v>1789</v>
      </c>
      <c r="I1306">
        <v>1719</v>
      </c>
      <c r="K1306" t="s">
        <v>3791</v>
      </c>
      <c r="L1306" t="str">
        <f t="shared" si="165"/>
        <v>"id":"s1288",</v>
      </c>
      <c r="M1306" t="str">
        <v>"cate":"IC",</v>
      </c>
      <c r="N1306" t="str">
        <v>"des":"IC ISO7521CDW",</v>
      </c>
      <c r="O1306" t="str">
        <v>"mfg":"TEXAS INSTRUMENTS",</v>
      </c>
      <c r="P1306" t="str">
        <v>"pn":"ISO7521CDW",</v>
      </c>
      <c r="Q1306" t="str">
        <v>"qty":1750</v>
      </c>
      <c r="S1306" t="s">
        <v>2498</v>
      </c>
      <c r="T1306" t="str">
        <f t="shared" si="166"/>
        <v>"id":"s1288","cate":"IC","des":"IC ISO7521CDW","mfg":"TEXAS INSTRUMENTS","pn":"ISO7521CDW","qty":1750</v>
      </c>
      <c r="U1306" t="s">
        <v>2503</v>
      </c>
    </row>
    <row r="1307" spans="5:21" x14ac:dyDescent="0.25">
      <c r="E1307" s="6" t="s">
        <v>2382</v>
      </c>
      <c r="F1307" t="s">
        <v>1788</v>
      </c>
      <c r="G1307" t="s">
        <v>556</v>
      </c>
      <c r="H1307" t="s">
        <v>1790</v>
      </c>
      <c r="I1307">
        <v>1719</v>
      </c>
      <c r="K1307" t="s">
        <v>3792</v>
      </c>
      <c r="L1307" t="str">
        <f t="shared" si="165"/>
        <v>"id":"s1289",</v>
      </c>
      <c r="M1307" t="str">
        <v>"cate":"IC",</v>
      </c>
      <c r="N1307" t="str">
        <v>"des":"IC ISO7521CDW",</v>
      </c>
      <c r="O1307" t="str">
        <v>"mfg":"TEXAS INSTRUMENTS",</v>
      </c>
      <c r="P1307" t="str">
        <v>"pn":"ISO7521CDWR",</v>
      </c>
      <c r="Q1307" t="str">
        <v>"qty":1750</v>
      </c>
      <c r="S1307" t="s">
        <v>2498</v>
      </c>
      <c r="T1307" t="str">
        <f t="shared" si="166"/>
        <v>"id":"s1289","cate":"IC","des":"IC ISO7521CDW","mfg":"TEXAS INSTRUMENTS","pn":"ISO7521CDWR","qty":1750</v>
      </c>
      <c r="U1307" t="s">
        <v>2503</v>
      </c>
    </row>
    <row r="1308" spans="5:21" x14ac:dyDescent="0.25">
      <c r="E1308" t="s">
        <v>2382</v>
      </c>
      <c r="F1308" t="s">
        <v>2392</v>
      </c>
      <c r="G1308" t="s">
        <v>1791</v>
      </c>
      <c r="H1308" t="s">
        <v>1792</v>
      </c>
      <c r="I1308">
        <v>1709</v>
      </c>
      <c r="K1308" t="s">
        <v>3793</v>
      </c>
      <c r="L1308" t="str">
        <f t="shared" si="165"/>
        <v>"id":"s1290",</v>
      </c>
      <c r="M1308" t="str">
        <v>"cate":"Resistor ",</v>
      </c>
      <c r="N1308" t="str">
        <v>"des":"RST 0 1/4W 5% MF",</v>
      </c>
      <c r="O1308" t="str">
        <v>"mfg":"ROYAL OHM",</v>
      </c>
      <c r="P1308" t="str">
        <v>"pn":"ZOTMW400000A50",</v>
      </c>
      <c r="Q1308" t="str">
        <v>"qty":1743</v>
      </c>
      <c r="S1308" t="s">
        <v>2498</v>
      </c>
      <c r="T1308" t="str">
        <f t="shared" si="166"/>
        <v>"id":"s1290","cate":"Resistor ","des":"RST 0 1/4W 5% MF","mfg":"ROYAL OHM","pn":"ZOTMW400000A50","qty":1743</v>
      </c>
      <c r="U1308" t="s">
        <v>2503</v>
      </c>
    </row>
    <row r="1309" spans="5:21" x14ac:dyDescent="0.25">
      <c r="E1309" t="s">
        <v>2193</v>
      </c>
      <c r="F1309" t="s">
        <v>1793</v>
      </c>
      <c r="G1309" t="s">
        <v>320</v>
      </c>
      <c r="H1309" t="s">
        <v>1794</v>
      </c>
      <c r="I1309">
        <v>1703</v>
      </c>
      <c r="K1309" t="s">
        <v>3794</v>
      </c>
      <c r="L1309" t="str">
        <f t="shared" si="165"/>
        <v>"id":"s1291",</v>
      </c>
      <c r="M1309" t="str">
        <v>"cate":"GLUE",</v>
      </c>
      <c r="N1309" t="str">
        <v>"des":"GLUE 3M 8910NS",</v>
      </c>
      <c r="O1309" t="str">
        <v>"mfg":"3M",</v>
      </c>
      <c r="P1309" t="str">
        <v>"pn":"3M 8910NS",</v>
      </c>
      <c r="Q1309" t="str">
        <v>"qty":1739</v>
      </c>
      <c r="S1309" t="s">
        <v>2498</v>
      </c>
      <c r="T1309" t="str">
        <f t="shared" si="166"/>
        <v>"id":"s1291","cate":"GLUE","des":"GLUE 3M 8910NS","mfg":"3M","pn":"3M 8910NS","qty":1739</v>
      </c>
      <c r="U1309" t="s">
        <v>2503</v>
      </c>
    </row>
    <row r="1310" spans="5:21" x14ac:dyDescent="0.25">
      <c r="E1310" t="s">
        <v>2193</v>
      </c>
      <c r="F1310" t="s">
        <v>1795</v>
      </c>
      <c r="G1310" t="s">
        <v>37</v>
      </c>
      <c r="H1310" t="s">
        <v>1796</v>
      </c>
      <c r="I1310">
        <v>1700</v>
      </c>
      <c r="K1310" t="s">
        <v>3795</v>
      </c>
      <c r="L1310" t="str">
        <f t="shared" si="165"/>
        <v>"id":"s1292",</v>
      </c>
      <c r="M1310" t="str">
        <v>"cate":"Resistor ",</v>
      </c>
      <c r="N1310" t="str">
        <v>"des":"RST 7,5K 1/8W 1%805",</v>
      </c>
      <c r="O1310" t="str">
        <v>"mfg":"PANASONIC",</v>
      </c>
      <c r="P1310" t="str">
        <v>"pn":"ERJ-6ENF7501V",</v>
      </c>
      <c r="Q1310" t="str">
        <v>"qty":1730</v>
      </c>
      <c r="S1310" t="s">
        <v>2498</v>
      </c>
      <c r="T1310" t="str">
        <f t="shared" si="166"/>
        <v>"id":"s1292","cate":"Resistor ","des":"RST 7,5K 1/8W 1%805","mfg":"PANASONIC","pn":"ERJ-6ENF7501V","qty":1730</v>
      </c>
      <c r="U1310" t="s">
        <v>2503</v>
      </c>
    </row>
    <row r="1311" spans="5:21" x14ac:dyDescent="0.25">
      <c r="E1311" t="s">
        <v>2193</v>
      </c>
      <c r="F1311" t="s">
        <v>1795</v>
      </c>
      <c r="G1311" t="s">
        <v>320</v>
      </c>
      <c r="H1311" t="s">
        <v>1797</v>
      </c>
      <c r="I1311">
        <v>1700</v>
      </c>
      <c r="K1311" t="s">
        <v>3796</v>
      </c>
      <c r="L1311" t="str">
        <f t="shared" si="165"/>
        <v>"id":"s1293",</v>
      </c>
      <c r="M1311" t="str">
        <v>"cate":"Resistor ",</v>
      </c>
      <c r="N1311" t="str">
        <v>"des":"RST 7,5K 1/8W 1%805",</v>
      </c>
      <c r="O1311" t="str">
        <v>"mfg":"YAGEO",</v>
      </c>
      <c r="P1311" t="str">
        <v>"pn":"RC0805FR-077K5L",</v>
      </c>
      <c r="Q1311" t="str">
        <v>"qty":1730</v>
      </c>
      <c r="S1311" t="s">
        <v>2498</v>
      </c>
      <c r="T1311" t="str">
        <f t="shared" si="166"/>
        <v>"id":"s1293","cate":"Resistor ","des":"RST 7,5K 1/8W 1%805","mfg":"YAGEO","pn":"RC0805FR-077K5L","qty":1730</v>
      </c>
      <c r="U1311" t="s">
        <v>2503</v>
      </c>
    </row>
    <row r="1312" spans="5:21" x14ac:dyDescent="0.25">
      <c r="E1312" s="6" t="s">
        <v>2474</v>
      </c>
      <c r="F1312" t="s">
        <v>1798</v>
      </c>
      <c r="G1312" t="s">
        <v>30</v>
      </c>
      <c r="H1312" s="6" t="s">
        <v>1799</v>
      </c>
      <c r="I1312">
        <v>1689</v>
      </c>
      <c r="K1312" t="s">
        <v>3797</v>
      </c>
      <c r="L1312" t="str">
        <f t="shared" si="165"/>
        <v>"id":"s1294",</v>
      </c>
      <c r="M1312" t="str">
        <v>"cate":"Resistor ",</v>
      </c>
      <c r="N1312" t="str">
        <v>"des":"RST 7,5K 1/8W 1%805",</v>
      </c>
      <c r="O1312" t="str">
        <v>"mfg":"ROYAL OHM",</v>
      </c>
      <c r="P1312" t="str">
        <v>"pn":"0805W8F7501T5E",</v>
      </c>
      <c r="Q1312" t="str">
        <v>"qty":1730</v>
      </c>
      <c r="S1312" t="s">
        <v>2498</v>
      </c>
      <c r="T1312" t="str">
        <f t="shared" si="166"/>
        <v>"id":"s1294","cate":"Resistor ","des":"RST 7,5K 1/8W 1%805","mfg":"ROYAL OHM","pn":"0805W8F7501T5E","qty":1730</v>
      </c>
      <c r="U1312" t="s">
        <v>2503</v>
      </c>
    </row>
    <row r="1313" spans="5:21" x14ac:dyDescent="0.25">
      <c r="E1313" s="6" t="s">
        <v>2474</v>
      </c>
      <c r="F1313" t="s">
        <v>1798</v>
      </c>
      <c r="G1313" t="s">
        <v>30</v>
      </c>
      <c r="H1313" t="s">
        <v>1800</v>
      </c>
      <c r="I1313">
        <v>1689</v>
      </c>
      <c r="K1313" t="s">
        <v>3798</v>
      </c>
      <c r="L1313" t="str">
        <f t="shared" si="165"/>
        <v>"id":"s1295",</v>
      </c>
      <c r="M1313" t="str">
        <v>"cate":"Capacitor",</v>
      </c>
      <c r="N1313" t="str">
        <v>"des":"Capacitor 3,3UF 300V TH",</v>
      </c>
      <c r="O1313" t="str">
        <v>"mfg":"EPCOS/TDK",</v>
      </c>
      <c r="P1313" t="str">
        <v>"pn":"B32924-E3335M",</v>
      </c>
      <c r="Q1313" t="str">
        <v>"qty":1729</v>
      </c>
      <c r="S1313" t="s">
        <v>2498</v>
      </c>
      <c r="T1313" t="str">
        <f t="shared" si="166"/>
        <v>"id":"s1295","cate":"Capacitor","des":"Capacitor 3,3UF 300V TH","mfg":"EPCOS/TDK","pn":"B32924-E3335M","qty":1729</v>
      </c>
      <c r="U1313" t="s">
        <v>2503</v>
      </c>
    </row>
    <row r="1314" spans="5:21" x14ac:dyDescent="0.25">
      <c r="E1314" t="s">
        <v>2194</v>
      </c>
      <c r="F1314" t="s">
        <v>2346</v>
      </c>
      <c r="G1314" t="s">
        <v>13</v>
      </c>
      <c r="H1314" t="s">
        <v>1801</v>
      </c>
      <c r="I1314">
        <v>1680</v>
      </c>
      <c r="K1314" t="s">
        <v>3799</v>
      </c>
      <c r="L1314" t="str">
        <f t="shared" si="165"/>
        <v>"id":"s1296",</v>
      </c>
      <c r="M1314" t="str">
        <v>"cate":"Capacitor",</v>
      </c>
      <c r="N1314" t="str">
        <v>"des":"Capacitor 3,3UF 300V TH",</v>
      </c>
      <c r="O1314" t="str">
        <v>"mfg":"KEMET",</v>
      </c>
      <c r="P1314" t="str">
        <v>"pn":"F861FN335M310Z",</v>
      </c>
      <c r="Q1314" t="str">
        <v>"qty":1729</v>
      </c>
      <c r="S1314" t="s">
        <v>2498</v>
      </c>
      <c r="T1314" t="str">
        <f t="shared" si="166"/>
        <v>"id":"s1296","cate":"Capacitor","des":"Capacitor 3,3UF 300V TH","mfg":"KEMET","pn":"F861FN335M310Z","qty":1729</v>
      </c>
      <c r="U1314" t="s">
        <v>2503</v>
      </c>
    </row>
    <row r="1315" spans="5:21" x14ac:dyDescent="0.25">
      <c r="E1315" t="s">
        <v>2193</v>
      </c>
      <c r="F1315" t="s">
        <v>1802</v>
      </c>
      <c r="G1315" t="s">
        <v>5</v>
      </c>
      <c r="H1315" t="s">
        <v>1803</v>
      </c>
      <c r="I1315">
        <v>1678</v>
      </c>
      <c r="K1315" t="s">
        <v>3800</v>
      </c>
      <c r="L1315" t="str">
        <f t="shared" si="165"/>
        <v>"id":"s1297",</v>
      </c>
      <c r="M1315" t="str">
        <v>"cate":"Capacitor",</v>
      </c>
      <c r="N1315" t="str">
        <v>"des":"Capacitor 3,3UF 300V TH",</v>
      </c>
      <c r="O1315" t="str">
        <v>"mfg":"VISHAY",</v>
      </c>
      <c r="P1315" t="str">
        <v>"pn":"F339MX253331MKP2T1",</v>
      </c>
      <c r="Q1315" t="str">
        <v>"qty":1729</v>
      </c>
      <c r="S1315" t="s">
        <v>2498</v>
      </c>
      <c r="T1315" t="str">
        <f t="shared" si="166"/>
        <v>"id":"s1297","cate":"Capacitor","des":"Capacitor 3,3UF 300V TH","mfg":"VISHAY","pn":"F339MX253331MKP2T1","qty":1729</v>
      </c>
      <c r="U1315" t="s">
        <v>2503</v>
      </c>
    </row>
    <row r="1316" spans="5:21" x14ac:dyDescent="0.25">
      <c r="E1316" t="s">
        <v>2193</v>
      </c>
      <c r="F1316" t="s">
        <v>1802</v>
      </c>
      <c r="G1316" t="s">
        <v>320</v>
      </c>
      <c r="H1316" t="s">
        <v>1804</v>
      </c>
      <c r="I1316">
        <v>1678</v>
      </c>
      <c r="K1316" t="s">
        <v>3801</v>
      </c>
      <c r="L1316" t="str">
        <f t="shared" si="165"/>
        <v>"id":"s1298",</v>
      </c>
      <c r="M1316" t="str">
        <v>"cate":"DUST",</v>
      </c>
      <c r="N1316" t="str">
        <v>"des":"DUST  MASK",</v>
      </c>
      <c r="O1316" t="str">
        <v>"mfg":"PAM (THAILAND) CO.,LTD",</v>
      </c>
      <c r="P1316" t="str">
        <v>"pn":"MASK CARBON GREEN 5 PLY",</v>
      </c>
      <c r="Q1316" t="str">
        <v>"qty":1729</v>
      </c>
      <c r="S1316" t="s">
        <v>2498</v>
      </c>
      <c r="T1316" t="str">
        <f t="shared" si="166"/>
        <v>"id":"s1298","cate":"DUST","des":"DUST  MASK","mfg":"PAM (THAILAND) CO.,LTD","pn":"MASK CARBON GREEN 5 PLY","qty":1729</v>
      </c>
      <c r="U1316" t="s">
        <v>2503</v>
      </c>
    </row>
    <row r="1317" spans="5:21" x14ac:dyDescent="0.25">
      <c r="E1317" t="s">
        <v>2194</v>
      </c>
      <c r="F1317" t="s">
        <v>2347</v>
      </c>
      <c r="G1317" t="s">
        <v>45</v>
      </c>
      <c r="H1317" t="s">
        <v>1805</v>
      </c>
      <c r="I1317">
        <v>1668</v>
      </c>
      <c r="K1317" t="s">
        <v>3802</v>
      </c>
      <c r="L1317" t="str">
        <f t="shared" si="165"/>
        <v>"id":"s1299",</v>
      </c>
      <c r="M1317" t="str">
        <v>"cate":"Capacitor",</v>
      </c>
      <c r="N1317" t="str">
        <v>"des":"Capacitor 100NF 25V 0805",</v>
      </c>
      <c r="O1317" t="str">
        <v>"mfg":"YAGEO",</v>
      </c>
      <c r="P1317" t="str">
        <v>"pn":"CC0805JRX7R8BB104",</v>
      </c>
      <c r="Q1317" t="str">
        <v>"qty":1722</v>
      </c>
      <c r="S1317" t="s">
        <v>2498</v>
      </c>
      <c r="T1317" t="str">
        <f t="shared" si="166"/>
        <v>"id":"s1299","cate":"Capacitor","des":"Capacitor 100NF 25V 0805","mfg":"YAGEO","pn":"CC0805JRX7R8BB104","qty":1722</v>
      </c>
      <c r="U1317" t="s">
        <v>2503</v>
      </c>
    </row>
    <row r="1318" spans="5:21" x14ac:dyDescent="0.25">
      <c r="E1318" t="s">
        <v>2194</v>
      </c>
      <c r="F1318" t="s">
        <v>2347</v>
      </c>
      <c r="G1318" t="s">
        <v>37</v>
      </c>
      <c r="H1318" t="s">
        <v>1806</v>
      </c>
      <c r="I1318">
        <v>1668</v>
      </c>
      <c r="K1318" t="s">
        <v>3803</v>
      </c>
      <c r="L1318" t="str">
        <f t="shared" si="165"/>
        <v>"id":"s1300",</v>
      </c>
      <c r="M1318" t="str">
        <v>"cate":"IC",</v>
      </c>
      <c r="N1318" t="str">
        <v>"des":"IC MC74VHCT02ADR2G",</v>
      </c>
      <c r="O1318" t="str">
        <v>"mfg":"ON SEMICONDUCTOR",</v>
      </c>
      <c r="P1318" t="str">
        <v>"pn":"MC74VHCT02ADR2G",</v>
      </c>
      <c r="Q1318" t="str">
        <v>"qty":1721</v>
      </c>
      <c r="S1318" t="s">
        <v>2498</v>
      </c>
      <c r="T1318" t="str">
        <f t="shared" si="166"/>
        <v>"id":"s1300","cate":"IC","des":"IC MC74VHCT02ADR2G","mfg":"ON SEMICONDUCTOR","pn":"MC74VHCT02ADR2G","qty":1721</v>
      </c>
      <c r="U1318" t="s">
        <v>2503</v>
      </c>
    </row>
    <row r="1319" spans="5:21" x14ac:dyDescent="0.25">
      <c r="E1319" t="s">
        <v>2193</v>
      </c>
      <c r="F1319" t="s">
        <v>1807</v>
      </c>
      <c r="G1319" t="s">
        <v>13</v>
      </c>
      <c r="H1319" t="s">
        <v>1808</v>
      </c>
      <c r="I1319">
        <v>1655</v>
      </c>
      <c r="K1319" t="s">
        <v>3804</v>
      </c>
      <c r="L1319" t="str">
        <f t="shared" si="165"/>
        <v>"id":"s1301",</v>
      </c>
      <c r="M1319" t="str">
        <v>"cate":"IC",</v>
      </c>
      <c r="N1319" t="str">
        <v>"des":"IC BAS3007A",</v>
      </c>
      <c r="O1319" t="str">
        <v>"mfg":"INFINEON TECHNOLOGIES",</v>
      </c>
      <c r="P1319" t="str">
        <v>"pn":"BAS3007A",</v>
      </c>
      <c r="Q1319" t="str">
        <v>"qty":1719</v>
      </c>
      <c r="S1319" t="s">
        <v>2498</v>
      </c>
      <c r="T1319" t="str">
        <f t="shared" si="166"/>
        <v>"id":"s1301","cate":"IC","des":"IC BAS3007A","mfg":"INFINEON TECHNOLOGIES","pn":"BAS3007A","qty":1719</v>
      </c>
      <c r="U1319" t="s">
        <v>2503</v>
      </c>
    </row>
    <row r="1320" spans="5:21" x14ac:dyDescent="0.25">
      <c r="E1320" t="s">
        <v>2194</v>
      </c>
      <c r="F1320" t="s">
        <v>2348</v>
      </c>
      <c r="G1320" t="s">
        <v>184</v>
      </c>
      <c r="H1320" t="s">
        <v>1809</v>
      </c>
      <c r="I1320">
        <v>1651</v>
      </c>
      <c r="K1320" t="s">
        <v>3805</v>
      </c>
      <c r="L1320" t="str">
        <f t="shared" si="165"/>
        <v>"id":"s1302",</v>
      </c>
      <c r="M1320" t="str">
        <v>"cate":"IC",</v>
      </c>
      <c r="N1320" t="str">
        <v>"des":"IC BAS3007A",</v>
      </c>
      <c r="O1320" t="str">
        <v>"mfg":"INFINEON TECHNOLOGIES",</v>
      </c>
      <c r="P1320" t="str">
        <v>"pn":"BAS3007ARPPE6327HTSA1",</v>
      </c>
      <c r="Q1320" t="str">
        <v>"qty":1719</v>
      </c>
      <c r="S1320" t="s">
        <v>2498</v>
      </c>
      <c r="T1320" t="str">
        <f t="shared" si="166"/>
        <v>"id":"s1302","cate":"IC","des":"IC BAS3007A","mfg":"INFINEON TECHNOLOGIES","pn":"BAS3007ARPPE6327HTSA1","qty":1719</v>
      </c>
      <c r="U1320" t="s">
        <v>2503</v>
      </c>
    </row>
    <row r="1321" spans="5:21" x14ac:dyDescent="0.25">
      <c r="E1321" t="s">
        <v>2193</v>
      </c>
      <c r="F1321" t="s">
        <v>1810</v>
      </c>
      <c r="G1321" t="s">
        <v>176</v>
      </c>
      <c r="H1321" t="s">
        <v>1811</v>
      </c>
      <c r="I1321">
        <v>1644</v>
      </c>
      <c r="K1321" t="s">
        <v>3806</v>
      </c>
      <c r="L1321" t="str">
        <f t="shared" si="165"/>
        <v>"id":"s1303",</v>
      </c>
      <c r="M1321" t="str">
        <v>"cate":"IC",</v>
      </c>
      <c r="N1321" t="str">
        <v>"des":"ICX9211IULTRT",</v>
      </c>
      <c r="O1321" t="str">
        <v>"mfg":"SEMTECH",</v>
      </c>
      <c r="P1321" t="str">
        <v>"pn":"SX9211IULTRT",</v>
      </c>
      <c r="Q1321" t="str">
        <v>"qty":1709</v>
      </c>
      <c r="S1321" t="s">
        <v>2498</v>
      </c>
      <c r="T1321" t="str">
        <f t="shared" si="166"/>
        <v>"id":"s1303","cate":"IC","des":"ICX9211IULTRT","mfg":"SEMTECH","pn":"SX9211IULTRT","qty":1709</v>
      </c>
      <c r="U1321" t="s">
        <v>2503</v>
      </c>
    </row>
    <row r="1322" spans="5:21" x14ac:dyDescent="0.25">
      <c r="E1322" t="s">
        <v>2193</v>
      </c>
      <c r="F1322" t="s">
        <v>1810</v>
      </c>
      <c r="G1322" t="s">
        <v>320</v>
      </c>
      <c r="H1322" t="s">
        <v>1812</v>
      </c>
      <c r="I1322">
        <v>1644</v>
      </c>
      <c r="K1322" t="s">
        <v>3807</v>
      </c>
      <c r="L1322" t="str">
        <f t="shared" si="165"/>
        <v>"id":"s1304",</v>
      </c>
      <c r="M1322" t="str">
        <v>"cate":"Resistor ",</v>
      </c>
      <c r="N1322" t="str">
        <v>"des":"RST 62 1/16W1% 402",</v>
      </c>
      <c r="O1322" t="str">
        <v>"mfg":"ROYAL OHM",</v>
      </c>
      <c r="P1322" t="str">
        <v>"pn":"0402WGF620JTCE",</v>
      </c>
      <c r="Q1322" t="str">
        <v>"qty":1703</v>
      </c>
      <c r="S1322" t="s">
        <v>2498</v>
      </c>
      <c r="T1322" t="str">
        <f t="shared" si="166"/>
        <v>"id":"s1304","cate":"Resistor ","des":"RST 62 1/16W1% 402","mfg":"ROYAL OHM","pn":"0402WGF620JTCE","qty":1703</v>
      </c>
      <c r="U1322" t="s">
        <v>2503</v>
      </c>
    </row>
    <row r="1323" spans="5:21" x14ac:dyDescent="0.25">
      <c r="E1323" t="s">
        <v>2193</v>
      </c>
      <c r="F1323" t="s">
        <v>1810</v>
      </c>
      <c r="G1323" t="s">
        <v>207</v>
      </c>
      <c r="H1323" t="s">
        <v>1813</v>
      </c>
      <c r="I1323">
        <v>1644</v>
      </c>
      <c r="K1323" t="s">
        <v>3808</v>
      </c>
      <c r="L1323" t="str">
        <f t="shared" si="165"/>
        <v>"id":"s1305",</v>
      </c>
      <c r="M1323" t="str">
        <v>"cate":"Resistor ",</v>
      </c>
      <c r="N1323" t="str">
        <v>"des":"RST 22K 1/16W 1%402",</v>
      </c>
      <c r="O1323" t="str">
        <v>"mfg":"VISHAY",</v>
      </c>
      <c r="P1323" t="str">
        <v>"pn":"CRCW040222K0FKED",</v>
      </c>
      <c r="Q1323" t="str">
        <v>"qty":1700</v>
      </c>
      <c r="S1323" t="s">
        <v>2498</v>
      </c>
      <c r="T1323" t="str">
        <f t="shared" si="166"/>
        <v>"id":"s1305","cate":"Resistor ","des":"RST 22K 1/16W 1%402","mfg":"VISHAY","pn":"CRCW040222K0FKED","qty":1700</v>
      </c>
      <c r="U1323" t="s">
        <v>2503</v>
      </c>
    </row>
    <row r="1324" spans="5:21" x14ac:dyDescent="0.25">
      <c r="E1324" t="s">
        <v>2178</v>
      </c>
      <c r="F1324" t="s">
        <v>1814</v>
      </c>
      <c r="G1324" t="s">
        <v>45</v>
      </c>
      <c r="H1324" t="s">
        <v>1815</v>
      </c>
      <c r="I1324">
        <v>1641</v>
      </c>
      <c r="K1324" t="s">
        <v>3809</v>
      </c>
      <c r="L1324" t="str">
        <f t="shared" si="165"/>
        <v>"id":"s1306",</v>
      </c>
      <c r="M1324" t="str">
        <v>"cate":"Resistor ",</v>
      </c>
      <c r="N1324" t="str">
        <v>"des":"RST 22K 1/16W 1%402",</v>
      </c>
      <c r="O1324" t="str">
        <v>"mfg":"ROYAL OHM",</v>
      </c>
      <c r="P1324" t="str">
        <v>"pn":"0402WGF2202TCE",</v>
      </c>
      <c r="Q1324" t="str">
        <v>"qty":1700</v>
      </c>
      <c r="S1324" t="s">
        <v>2498</v>
      </c>
      <c r="T1324" t="str">
        <f t="shared" si="166"/>
        <v>"id":"s1306","cate":"Resistor ","des":"RST 22K 1/16W 1%402","mfg":"ROYAL OHM","pn":"0402WGF2202TCE","qty":1700</v>
      </c>
      <c r="U1324" t="s">
        <v>2503</v>
      </c>
    </row>
    <row r="1325" spans="5:21" x14ac:dyDescent="0.25">
      <c r="E1325" s="6" t="s">
        <v>2382</v>
      </c>
      <c r="F1325" t="s">
        <v>1816</v>
      </c>
      <c r="G1325" t="s">
        <v>26</v>
      </c>
      <c r="H1325" t="s">
        <v>1817</v>
      </c>
      <c r="I1325">
        <v>1637</v>
      </c>
      <c r="K1325" t="s">
        <v>3810</v>
      </c>
      <c r="L1325" t="str">
        <f t="shared" si="165"/>
        <v>"id":"s1307",</v>
      </c>
      <c r="M1325" t="str">
        <v>"cate":"MOSFET",</v>
      </c>
      <c r="N1325" t="str">
        <v>"des":"MOS 30V 3,4A SOT23",</v>
      </c>
      <c r="O1325" t="str">
        <v>"mfg":"NEXPERIA",</v>
      </c>
      <c r="P1325" t="str">
        <v>"pn":"PMV50XNEA",</v>
      </c>
      <c r="Q1325" t="str">
        <v>"qty":1689</v>
      </c>
      <c r="S1325" t="s">
        <v>2498</v>
      </c>
      <c r="T1325" t="str">
        <f t="shared" si="166"/>
        <v>"id":"s1307","cate":"MOSFET","des":"MOS 30V 3,4A SOT23","mfg":"NEXPERIA","pn":"PMV50XNEA","qty":1689</v>
      </c>
      <c r="U1325" t="s">
        <v>2503</v>
      </c>
    </row>
    <row r="1326" spans="5:21" x14ac:dyDescent="0.25">
      <c r="E1326" s="6" t="s">
        <v>2495</v>
      </c>
      <c r="F1326" t="s">
        <v>1818</v>
      </c>
      <c r="G1326" t="s">
        <v>678</v>
      </c>
      <c r="H1326" t="s">
        <v>1819</v>
      </c>
      <c r="I1326">
        <v>1636</v>
      </c>
      <c r="K1326" t="s">
        <v>3811</v>
      </c>
      <c r="L1326" t="str">
        <f t="shared" si="165"/>
        <v>"id":"s1308",</v>
      </c>
      <c r="M1326" t="str">
        <v>"cate":"MOSFET",</v>
      </c>
      <c r="N1326" t="str">
        <v>"des":"MOS 30V 3,4A SOT23",</v>
      </c>
      <c r="O1326" t="str">
        <v>"mfg":"NEXPERIA",</v>
      </c>
      <c r="P1326" t="str">
        <v>"pn":"PMV50XNEAR",</v>
      </c>
      <c r="Q1326" t="str">
        <v>"qty":1689</v>
      </c>
      <c r="S1326" t="s">
        <v>2498</v>
      </c>
      <c r="T1326" t="str">
        <f t="shared" si="166"/>
        <v>"id":"s1308","cate":"MOSFET","des":"MOS 30V 3,4A SOT23","mfg":"NEXPERIA","pn":"PMV50XNEAR","qty":1689</v>
      </c>
      <c r="U1326" t="s">
        <v>2503</v>
      </c>
    </row>
    <row r="1327" spans="5:21" x14ac:dyDescent="0.25">
      <c r="E1327" s="6" t="s">
        <v>2495</v>
      </c>
      <c r="F1327" t="s">
        <v>1818</v>
      </c>
      <c r="G1327" t="s">
        <v>678</v>
      </c>
      <c r="H1327" s="6" t="s">
        <v>1820</v>
      </c>
      <c r="I1327">
        <v>1636</v>
      </c>
      <c r="K1327" t="s">
        <v>3812</v>
      </c>
      <c r="L1327" t="str">
        <f t="shared" si="165"/>
        <v>"id":"s1309",</v>
      </c>
      <c r="M1327" t="str">
        <v>"cate":"Capacitor",</v>
      </c>
      <c r="N1327" t="str">
        <v>"des":"Capacitor 1UF 16V 1206",</v>
      </c>
      <c r="O1327" t="str">
        <v>"mfg":"YAGEO",</v>
      </c>
      <c r="P1327" t="str">
        <v>"pn":"CC1206KKX7R7BB105",</v>
      </c>
      <c r="Q1327" t="str">
        <v>"qty":1680</v>
      </c>
      <c r="S1327" t="s">
        <v>2498</v>
      </c>
      <c r="T1327" t="str">
        <f t="shared" si="166"/>
        <v>"id":"s1309","cate":"Capacitor","des":"Capacitor 1UF 16V 1206","mfg":"YAGEO","pn":"CC1206KKX7R7BB105","qty":1680</v>
      </c>
      <c r="U1327" t="s">
        <v>2503</v>
      </c>
    </row>
    <row r="1328" spans="5:21" x14ac:dyDescent="0.25">
      <c r="E1328" s="6" t="s">
        <v>2495</v>
      </c>
      <c r="F1328" t="s">
        <v>1818</v>
      </c>
      <c r="G1328" t="s">
        <v>678</v>
      </c>
      <c r="H1328" t="s">
        <v>1821</v>
      </c>
      <c r="I1328">
        <v>1636</v>
      </c>
      <c r="K1328" t="s">
        <v>3813</v>
      </c>
      <c r="L1328" t="str">
        <f t="shared" si="165"/>
        <v>"id":"s1310",</v>
      </c>
      <c r="M1328" t="str">
        <v>"cate":"Resistor ",</v>
      </c>
      <c r="N1328" t="str">
        <v>"des":"RST 330 1/4W 5% CF",</v>
      </c>
      <c r="O1328" t="str">
        <v>"mfg":"KOA",</v>
      </c>
      <c r="P1328" t="str">
        <v>"pn":"CF1/4CT52R(A)331J",</v>
      </c>
      <c r="Q1328" t="str">
        <v>"qty":1678</v>
      </c>
      <c r="S1328" t="s">
        <v>2498</v>
      </c>
      <c r="T1328" t="str">
        <f t="shared" si="166"/>
        <v>"id":"s1310","cate":"Resistor ","des":"RST 330 1/4W 5% CF","mfg":"KOA","pn":"CF1/4CT52R(A)331J","qty":1678</v>
      </c>
      <c r="U1328" t="s">
        <v>2503</v>
      </c>
    </row>
    <row r="1329" spans="5:21" x14ac:dyDescent="0.25">
      <c r="E1329" t="s">
        <v>2474</v>
      </c>
      <c r="F1329" t="s">
        <v>2481</v>
      </c>
      <c r="G1329" t="s">
        <v>556</v>
      </c>
      <c r="H1329" t="s">
        <v>1822</v>
      </c>
      <c r="I1329">
        <v>1636</v>
      </c>
      <c r="K1329" t="s">
        <v>3814</v>
      </c>
      <c r="L1329" t="str">
        <f t="shared" si="165"/>
        <v>"id":"s1311",</v>
      </c>
      <c r="M1329" t="str">
        <v>"cate":"Resistor ",</v>
      </c>
      <c r="N1329" t="str">
        <v>"des":"RST 330 1/4W 5% CF",</v>
      </c>
      <c r="O1329" t="str">
        <v>"mfg":"ROYAL OHM",</v>
      </c>
      <c r="P1329" t="str">
        <v>"pn":"CFR0W4J0331A50",</v>
      </c>
      <c r="Q1329" t="str">
        <v>"qty":1678</v>
      </c>
      <c r="S1329" t="s">
        <v>2498</v>
      </c>
      <c r="T1329" t="str">
        <f t="shared" si="166"/>
        <v>"id":"s1311","cate":"Resistor ","des":"RST 330 1/4W 5% CF","mfg":"ROYAL OHM","pn":"CFR0W4J0331A50","qty":1678</v>
      </c>
      <c r="U1329" t="s">
        <v>2503</v>
      </c>
    </row>
    <row r="1330" spans="5:21" x14ac:dyDescent="0.25">
      <c r="E1330" t="s">
        <v>2474</v>
      </c>
      <c r="F1330" t="s">
        <v>2481</v>
      </c>
      <c r="G1330" t="s">
        <v>556</v>
      </c>
      <c r="H1330" t="s">
        <v>1823</v>
      </c>
      <c r="I1330">
        <v>1636</v>
      </c>
      <c r="K1330" t="s">
        <v>3815</v>
      </c>
      <c r="L1330" t="str">
        <f t="shared" si="165"/>
        <v>"id":"s1312",</v>
      </c>
      <c r="M1330" t="str">
        <v>"cate":"Capacitor",</v>
      </c>
      <c r="N1330" t="str">
        <v>"des":"Capacitor 2,2NF 63V TH",</v>
      </c>
      <c r="O1330" t="str">
        <v>"mfg":"EPCOS/TDK",</v>
      </c>
      <c r="P1330" t="str">
        <v>"pn":"B32521C0225K189",</v>
      </c>
      <c r="Q1330" t="str">
        <v>"qty":1668</v>
      </c>
      <c r="S1330" t="s">
        <v>2498</v>
      </c>
      <c r="T1330" t="str">
        <f t="shared" si="166"/>
        <v>"id":"s1312","cate":"Capacitor","des":"Capacitor 2,2NF 63V TH","mfg":"EPCOS/TDK","pn":"B32521C0225K189","qty":1668</v>
      </c>
      <c r="U1330" t="s">
        <v>2503</v>
      </c>
    </row>
    <row r="1331" spans="5:21" x14ac:dyDescent="0.25">
      <c r="E1331" t="s">
        <v>2194</v>
      </c>
      <c r="F1331" t="s">
        <v>2349</v>
      </c>
      <c r="G1331" t="s">
        <v>13</v>
      </c>
      <c r="H1331" t="s">
        <v>1824</v>
      </c>
      <c r="I1331">
        <v>1634</v>
      </c>
      <c r="K1331" t="s">
        <v>3816</v>
      </c>
      <c r="L1331" t="str">
        <f t="shared" si="165"/>
        <v>"id":"s1313",</v>
      </c>
      <c r="M1331" t="str">
        <v>"cate":"Capacitor",</v>
      </c>
      <c r="N1331" t="str">
        <v>"des":"Capacitor 2,2NF 63V TH",</v>
      </c>
      <c r="O1331" t="str">
        <v>"mfg":"VISHAY",</v>
      </c>
      <c r="P1331" t="str">
        <v>"pn":"MKT1820522065",</v>
      </c>
      <c r="Q1331" t="str">
        <v>"qty":1668</v>
      </c>
      <c r="S1331" t="s">
        <v>2498</v>
      </c>
      <c r="T1331" t="str">
        <f t="shared" si="166"/>
        <v>"id":"s1313","cate":"Capacitor","des":"Capacitor 2,2NF 63V TH","mfg":"VISHAY","pn":"MKT1820522065","qty":1668</v>
      </c>
      <c r="U1331" t="s">
        <v>2503</v>
      </c>
    </row>
    <row r="1332" spans="5:21" x14ac:dyDescent="0.25">
      <c r="E1332" t="s">
        <v>2194</v>
      </c>
      <c r="F1332" t="s">
        <v>2349</v>
      </c>
      <c r="G1332" t="s">
        <v>47</v>
      </c>
      <c r="H1332" t="s">
        <v>1825</v>
      </c>
      <c r="I1332">
        <v>1634</v>
      </c>
      <c r="K1332" t="s">
        <v>3817</v>
      </c>
      <c r="L1332" t="str">
        <f t="shared" si="165"/>
        <v>"id":"s1314",</v>
      </c>
      <c r="M1332" t="str">
        <v>"cate":"Resistor ",</v>
      </c>
      <c r="N1332" t="str">
        <v>"des":"RST 2K74 0,1W1%0603",</v>
      </c>
      <c r="O1332" t="str">
        <v>"mfg":"YAGEO",</v>
      </c>
      <c r="P1332" t="str">
        <v>"pn":"RC0603FR-072K74L",</v>
      </c>
      <c r="Q1332" t="str">
        <v>"qty":1655</v>
      </c>
      <c r="S1332" t="s">
        <v>2498</v>
      </c>
      <c r="T1332" t="str">
        <f t="shared" si="166"/>
        <v>"id":"s1314","cate":"Resistor ","des":"RST 2K74 0,1W1%0603","mfg":"YAGEO","pn":"RC0603FR-072K74L","qty":1655</v>
      </c>
      <c r="U1332" t="s">
        <v>2503</v>
      </c>
    </row>
    <row r="1333" spans="5:21" x14ac:dyDescent="0.25">
      <c r="E1333" t="s">
        <v>2194</v>
      </c>
      <c r="F1333" t="s">
        <v>2349</v>
      </c>
      <c r="G1333" t="s">
        <v>49</v>
      </c>
      <c r="H1333" t="s">
        <v>700</v>
      </c>
      <c r="I1333">
        <v>1634</v>
      </c>
      <c r="K1333" t="s">
        <v>3818</v>
      </c>
      <c r="L1333" t="str">
        <f t="shared" si="165"/>
        <v>"id":"s1315",</v>
      </c>
      <c r="M1333" t="str">
        <v>"cate":"Capacitor",</v>
      </c>
      <c r="N1333" t="str">
        <v>"des":"Capacitor 33PF 25V 0805",</v>
      </c>
      <c r="O1333" t="str">
        <v>"mfg":"WURTH ELEKTRONIK",</v>
      </c>
      <c r="P1333" t="str">
        <v>"pn":"885012007031",</v>
      </c>
      <c r="Q1333" t="str">
        <v>"qty":1651</v>
      </c>
      <c r="S1333" t="s">
        <v>2498</v>
      </c>
      <c r="T1333" t="str">
        <f t="shared" si="166"/>
        <v>"id":"s1315","cate":"Capacitor","des":"Capacitor 33PF 25V 0805","mfg":"WURTH ELEKTRONIK","pn":"885012007031","qty":1651</v>
      </c>
      <c r="U1333" t="s">
        <v>2503</v>
      </c>
    </row>
    <row r="1334" spans="5:21" x14ac:dyDescent="0.25">
      <c r="E1334" t="s">
        <v>2194</v>
      </c>
      <c r="F1334" t="s">
        <v>2349</v>
      </c>
      <c r="G1334" t="s">
        <v>8</v>
      </c>
      <c r="H1334" t="s">
        <v>1826</v>
      </c>
      <c r="I1334">
        <v>1634</v>
      </c>
      <c r="K1334" t="s">
        <v>3819</v>
      </c>
      <c r="L1334" t="str">
        <f t="shared" si="165"/>
        <v>"id":"s1316",</v>
      </c>
      <c r="M1334" t="str">
        <v>"cate":"Resistor ",</v>
      </c>
      <c r="N1334" t="str">
        <v>"des":"RST 47K 0,1W 1% 603",</v>
      </c>
      <c r="O1334" t="str">
        <v>"mfg":"PANASONIC",</v>
      </c>
      <c r="P1334" t="str">
        <v>"pn":"ERJ-3EKF4702V",</v>
      </c>
      <c r="Q1334" t="str">
        <v>"qty":1644</v>
      </c>
      <c r="S1334" t="s">
        <v>2498</v>
      </c>
      <c r="T1334" t="str">
        <f t="shared" si="166"/>
        <v>"id":"s1316","cate":"Resistor ","des":"RST 47K 0,1W 1% 603","mfg":"PANASONIC","pn":"ERJ-3EKF4702V","qty":1644</v>
      </c>
      <c r="U1334" t="s">
        <v>2503</v>
      </c>
    </row>
    <row r="1335" spans="5:21" x14ac:dyDescent="0.25">
      <c r="E1335" t="s">
        <v>2194</v>
      </c>
      <c r="F1335" t="s">
        <v>2350</v>
      </c>
      <c r="G1335" t="s">
        <v>249</v>
      </c>
      <c r="H1335" t="s">
        <v>1827</v>
      </c>
      <c r="I1335">
        <v>1632</v>
      </c>
      <c r="K1335" t="s">
        <v>3820</v>
      </c>
      <c r="L1335" t="str">
        <f t="shared" si="165"/>
        <v>"id":"s1317",</v>
      </c>
      <c r="M1335" t="str">
        <v>"cate":"Resistor ",</v>
      </c>
      <c r="N1335" t="str">
        <v>"des":"RST 47K 0,1W 1% 603",</v>
      </c>
      <c r="O1335" t="str">
        <v>"mfg":"ROYAL OHM",</v>
      </c>
      <c r="P1335" t="str">
        <v>"pn":"0603WAF4702T5E",</v>
      </c>
      <c r="Q1335" t="str">
        <v>"qty":1644</v>
      </c>
      <c r="S1335" t="s">
        <v>2498</v>
      </c>
      <c r="T1335" t="str">
        <f t="shared" si="166"/>
        <v>"id":"s1317","cate":"Resistor ","des":"RST 47K 0,1W 1% 603","mfg":"ROYAL OHM","pn":"0603WAF4702T5E","qty":1644</v>
      </c>
      <c r="U1335" t="s">
        <v>2503</v>
      </c>
    </row>
    <row r="1336" spans="5:21" x14ac:dyDescent="0.25">
      <c r="E1336" t="s">
        <v>2194</v>
      </c>
      <c r="F1336" t="s">
        <v>2350</v>
      </c>
      <c r="G1336" t="s">
        <v>249</v>
      </c>
      <c r="H1336" t="s">
        <v>1828</v>
      </c>
      <c r="I1336">
        <v>1632</v>
      </c>
      <c r="K1336" t="s">
        <v>3821</v>
      </c>
      <c r="L1336" t="str">
        <f t="shared" si="165"/>
        <v>"id":"s1318",</v>
      </c>
      <c r="M1336" t="str">
        <v>"cate":"Resistor ",</v>
      </c>
      <c r="N1336" t="str">
        <v>"des":"RST 47K 0,1W 1% 603",</v>
      </c>
      <c r="O1336" t="str">
        <v>"mfg":"STACKPOLE ELECTRONICS INC",</v>
      </c>
      <c r="P1336" t="str">
        <v>"pn":"RMCF0603FT47K0",</v>
      </c>
      <c r="Q1336" t="str">
        <v>"qty":1644</v>
      </c>
      <c r="S1336" t="s">
        <v>2498</v>
      </c>
      <c r="T1336" t="str">
        <f t="shared" si="166"/>
        <v>"id":"s1318","cate":"Resistor ","des":"RST 47K 0,1W 1% 603","mfg":"STACKPOLE ELECTRONICS INC","pn":"RMCF0603FT47K0","qty":1644</v>
      </c>
      <c r="U1336" t="s">
        <v>2503</v>
      </c>
    </row>
    <row r="1337" spans="5:21" x14ac:dyDescent="0.25">
      <c r="E1337" t="s">
        <v>2194</v>
      </c>
      <c r="F1337" t="s">
        <v>2350</v>
      </c>
      <c r="G1337" t="s">
        <v>1205</v>
      </c>
      <c r="H1337" t="s">
        <v>1829</v>
      </c>
      <c r="I1337">
        <v>1632</v>
      </c>
      <c r="K1337" t="s">
        <v>3822</v>
      </c>
      <c r="L1337" t="str">
        <f t="shared" si="165"/>
        <v>"id":"s1319",</v>
      </c>
      <c r="M1337" t="str">
        <v>"cate":"RM5/",</v>
      </c>
      <c r="N1337" t="str">
        <v>"des":"RM5/I N87 A63",</v>
      </c>
      <c r="O1337" t="str">
        <v>"mfg":"EPCOS/TDK",</v>
      </c>
      <c r="P1337" t="str">
        <v>"pn":"B65805J0063A087",</v>
      </c>
      <c r="Q1337" t="str">
        <v>"qty":1641</v>
      </c>
      <c r="S1337" t="s">
        <v>2498</v>
      </c>
      <c r="T1337" t="str">
        <f t="shared" si="166"/>
        <v>"id":"s1319","cate":"RM5/","des":"RM5/I N87 A63","mfg":"EPCOS/TDK","pn":"B65805J0063A087","qty":1641</v>
      </c>
      <c r="U1337" t="s">
        <v>2503</v>
      </c>
    </row>
    <row r="1338" spans="5:21" x14ac:dyDescent="0.25">
      <c r="E1338" t="s">
        <v>2194</v>
      </c>
      <c r="F1338" t="s">
        <v>2350</v>
      </c>
      <c r="G1338" t="s">
        <v>204</v>
      </c>
      <c r="H1338" t="s">
        <v>1830</v>
      </c>
      <c r="I1338">
        <v>1632</v>
      </c>
      <c r="K1338" t="s">
        <v>3823</v>
      </c>
      <c r="L1338" t="str">
        <f t="shared" si="165"/>
        <v>"id":"s1320",</v>
      </c>
      <c r="M1338" t="str">
        <v>"cate":"IC",</v>
      </c>
      <c r="N1338" t="str">
        <v>"des":"IC IP4220CZ6,125",</v>
      </c>
      <c r="O1338" t="str">
        <v>"mfg":"NXP SEMICONDUCTORS",</v>
      </c>
      <c r="P1338" t="str">
        <v>"pn":"IP4220CZ6,125",</v>
      </c>
      <c r="Q1338" t="str">
        <v>"qty":1637</v>
      </c>
      <c r="S1338" t="s">
        <v>2498</v>
      </c>
      <c r="T1338" t="str">
        <f t="shared" si="166"/>
        <v>"id":"s1320","cate":"IC","des":"IC IP4220CZ6,125","mfg":"NXP SEMICONDUCTORS","pn":"IP4220CZ6,125","qty":1637</v>
      </c>
      <c r="U1338" t="s">
        <v>2503</v>
      </c>
    </row>
    <row r="1339" spans="5:21" x14ac:dyDescent="0.25">
      <c r="E1339" t="s">
        <v>2194</v>
      </c>
      <c r="F1339" t="s">
        <v>2350</v>
      </c>
      <c r="G1339" t="s">
        <v>1593</v>
      </c>
      <c r="H1339" t="s">
        <v>1831</v>
      </c>
      <c r="I1339">
        <v>1632</v>
      </c>
      <c r="K1339" t="s">
        <v>3824</v>
      </c>
      <c r="L1339" t="str">
        <f t="shared" si="165"/>
        <v>"id":"s1321",</v>
      </c>
      <c r="M1339" t="str">
        <v>"cate":"Terminal",</v>
      </c>
      <c r="N1339" t="str">
        <v>"des":"CNT 1729144",</v>
      </c>
      <c r="O1339" t="str">
        <v>"mfg":"PHOENIX CONTACT",</v>
      </c>
      <c r="P1339" t="str">
        <v>"pn":"MKDSN 1,5/ 4-5,08",</v>
      </c>
      <c r="Q1339" t="str">
        <v>"qty":1636</v>
      </c>
      <c r="S1339" t="s">
        <v>2498</v>
      </c>
      <c r="T1339" t="str">
        <f t="shared" si="166"/>
        <v>"id":"s1321","cate":"Terminal","des":"CNT 1729144","mfg":"PHOENIX CONTACT","pn":"MKDSN 1,5/ 4-5,08","qty":1636</v>
      </c>
      <c r="U1339" t="s">
        <v>2503</v>
      </c>
    </row>
    <row r="1340" spans="5:21" x14ac:dyDescent="0.25">
      <c r="E1340" t="s">
        <v>2194</v>
      </c>
      <c r="F1340" t="s">
        <v>2350</v>
      </c>
      <c r="G1340" t="s">
        <v>1208</v>
      </c>
      <c r="H1340" t="s">
        <v>1829</v>
      </c>
      <c r="I1340">
        <v>1632</v>
      </c>
      <c r="K1340" t="s">
        <v>3825</v>
      </c>
      <c r="L1340" t="str">
        <f t="shared" si="165"/>
        <v>"id":"s1322",</v>
      </c>
      <c r="M1340" t="str">
        <v>"cate":"Terminal",</v>
      </c>
      <c r="N1340" t="str">
        <v>"des":"CNT 1729144",</v>
      </c>
      <c r="O1340" t="str">
        <v>"mfg":"PHOENIX CONTACT",</v>
      </c>
      <c r="P1340" t="str">
        <v>"pn":"MKDSN 1,5/4-5,08",</v>
      </c>
      <c r="Q1340" t="str">
        <v>"qty":1636</v>
      </c>
      <c r="S1340" t="s">
        <v>2498</v>
      </c>
      <c r="T1340" t="str">
        <f t="shared" si="166"/>
        <v>"id":"s1322","cate":"Terminal","des":"CNT 1729144","mfg":"PHOENIX CONTACT","pn":"MKDSN 1,5/4-5,08","qty":1636</v>
      </c>
      <c r="U1340" t="s">
        <v>2503</v>
      </c>
    </row>
    <row r="1341" spans="5:21" x14ac:dyDescent="0.25">
      <c r="E1341" t="s">
        <v>2194</v>
      </c>
      <c r="F1341" t="s">
        <v>2351</v>
      </c>
      <c r="G1341" t="s">
        <v>13</v>
      </c>
      <c r="H1341" t="s">
        <v>1832</v>
      </c>
      <c r="I1341">
        <v>1624</v>
      </c>
      <c r="K1341" t="s">
        <v>3826</v>
      </c>
      <c r="L1341" t="str">
        <f t="shared" si="165"/>
        <v>"id":"s1323",</v>
      </c>
      <c r="M1341" t="str">
        <v>"cate":"Terminal",</v>
      </c>
      <c r="N1341" t="str">
        <v>"des":"CNT 1729144",</v>
      </c>
      <c r="O1341" t="str">
        <v>"mfg":"PHOENIX CONTACT",</v>
      </c>
      <c r="P1341" t="str">
        <v>"pn":"1729144",</v>
      </c>
      <c r="Q1341" t="str">
        <v>"qty":1636</v>
      </c>
      <c r="S1341" t="s">
        <v>2498</v>
      </c>
      <c r="T1341" t="str">
        <f t="shared" si="166"/>
        <v>"id":"s1323","cate":"Terminal","des":"CNT 1729144","mfg":"PHOENIX CONTACT","pn":"1729144","qty":1636</v>
      </c>
      <c r="U1341" t="s">
        <v>2503</v>
      </c>
    </row>
    <row r="1342" spans="5:21" x14ac:dyDescent="0.25">
      <c r="E1342" t="s">
        <v>2193</v>
      </c>
      <c r="F1342" t="s">
        <v>1833</v>
      </c>
      <c r="G1342" t="s">
        <v>176</v>
      </c>
      <c r="H1342" t="s">
        <v>1834</v>
      </c>
      <c r="I1342">
        <v>1611</v>
      </c>
      <c r="K1342" t="s">
        <v>3827</v>
      </c>
      <c r="L1342" t="str">
        <f t="shared" si="165"/>
        <v>"id":"s1324",</v>
      </c>
      <c r="M1342" t="str">
        <v>"cate":"MOSFET",</v>
      </c>
      <c r="N1342" t="str">
        <v>"des":"MOSFETET 12,6A 30V",</v>
      </c>
      <c r="O1342" t="str">
        <v>"mfg":"INFINEON TECHNOLOGIES",</v>
      </c>
      <c r="P1342" t="str">
        <v>"pn":"BSO080P03SHXUMA1",</v>
      </c>
      <c r="Q1342" t="str">
        <v>"qty":1636</v>
      </c>
      <c r="S1342" t="s">
        <v>2498</v>
      </c>
      <c r="T1342" t="str">
        <f t="shared" si="166"/>
        <v>"id":"s1324","cate":"MOSFET","des":"MOSFETET 12,6A 30V","mfg":"INFINEON TECHNOLOGIES","pn":"BSO080P03SHXUMA1","qty":1636</v>
      </c>
      <c r="U1342" t="s">
        <v>2503</v>
      </c>
    </row>
    <row r="1343" spans="5:21" x14ac:dyDescent="0.25">
      <c r="E1343" t="s">
        <v>2193</v>
      </c>
      <c r="F1343" t="s">
        <v>1833</v>
      </c>
      <c r="G1343" t="s">
        <v>13</v>
      </c>
      <c r="H1343" t="s">
        <v>1835</v>
      </c>
      <c r="I1343">
        <v>1611</v>
      </c>
      <c r="K1343" t="s">
        <v>3828</v>
      </c>
      <c r="L1343" t="str">
        <f t="shared" si="165"/>
        <v>"id":"s1325",</v>
      </c>
      <c r="M1343" t="str">
        <v>"cate":"MOSFET",</v>
      </c>
      <c r="N1343" t="str">
        <v>"des":"MOSFETET 12,6A 30V",</v>
      </c>
      <c r="O1343" t="str">
        <v>"mfg":"INFINEON TECHNOLOGIES",</v>
      </c>
      <c r="P1343" t="str">
        <v>"pn":"IRF9321TRPBF",</v>
      </c>
      <c r="Q1343" t="str">
        <v>"qty":1636</v>
      </c>
      <c r="S1343" t="s">
        <v>2498</v>
      </c>
      <c r="T1343" t="str">
        <f t="shared" si="166"/>
        <v>"id":"s1325","cate":"MOSFET","des":"MOSFETET 12,6A 30V","mfg":"INFINEON TECHNOLOGIES","pn":"IRF9321TRPBF","qty":1636</v>
      </c>
      <c r="U1343" t="s">
        <v>2503</v>
      </c>
    </row>
    <row r="1344" spans="5:21" x14ac:dyDescent="0.25">
      <c r="E1344" t="s">
        <v>2405</v>
      </c>
      <c r="F1344" t="s">
        <v>2458</v>
      </c>
      <c r="G1344" t="s">
        <v>510</v>
      </c>
      <c r="H1344" t="s">
        <v>1836</v>
      </c>
      <c r="I1344">
        <v>1603</v>
      </c>
      <c r="K1344" t="s">
        <v>3829</v>
      </c>
      <c r="L1344" t="str">
        <f t="shared" si="165"/>
        <v>"id":"s1326",</v>
      </c>
      <c r="M1344" t="str">
        <v>"cate":"Capacitor",</v>
      </c>
      <c r="N1344" t="str">
        <v>"des":"Capacitor 1NF/25V20% 603",</v>
      </c>
      <c r="O1344" t="str">
        <v>"mfg":"YAGEO",</v>
      </c>
      <c r="P1344" t="str">
        <v>"pn":"CC0603KRX7R9BB102",</v>
      </c>
      <c r="Q1344" t="str">
        <v>"qty":1634</v>
      </c>
      <c r="S1344" t="s">
        <v>2498</v>
      </c>
      <c r="T1344" t="str">
        <f t="shared" si="166"/>
        <v>"id":"s1326","cate":"Capacitor","des":"Capacitor 1NF/25V20% 603","mfg":"YAGEO","pn":"CC0603KRX7R9BB102","qty":1634</v>
      </c>
      <c r="U1344" t="s">
        <v>2503</v>
      </c>
    </row>
    <row r="1345" spans="5:21" x14ac:dyDescent="0.25">
      <c r="E1345" t="s">
        <v>2193</v>
      </c>
      <c r="F1345" t="s">
        <v>1837</v>
      </c>
      <c r="G1345" t="s">
        <v>5</v>
      </c>
      <c r="H1345" t="s">
        <v>1838</v>
      </c>
      <c r="I1345">
        <v>1599</v>
      </c>
      <c r="K1345" t="s">
        <v>3830</v>
      </c>
      <c r="L1345" t="str">
        <f t="shared" si="165"/>
        <v>"id":"s1327",</v>
      </c>
      <c r="M1345" t="str">
        <v>"cate":"Capacitor",</v>
      </c>
      <c r="N1345" t="str">
        <v>"des":"Capacitor 1NF/25V20% 603",</v>
      </c>
      <c r="O1345" t="str">
        <v>"mfg":"KEMET",</v>
      </c>
      <c r="P1345" t="str">
        <v>"pn":"C0603C102K5RAC",</v>
      </c>
      <c r="Q1345" t="str">
        <v>"qty":1634</v>
      </c>
      <c r="S1345" t="s">
        <v>2498</v>
      </c>
      <c r="T1345" t="str">
        <f t="shared" si="166"/>
        <v>"id":"s1327","cate":"Capacitor","des":"Capacitor 1NF/25V20% 603","mfg":"KEMET","pn":"C0603C102K5RAC","qty":1634</v>
      </c>
      <c r="U1345" t="s">
        <v>2503</v>
      </c>
    </row>
    <row r="1346" spans="5:21" x14ac:dyDescent="0.25">
      <c r="E1346" t="s">
        <v>2193</v>
      </c>
      <c r="F1346" t="s">
        <v>1837</v>
      </c>
      <c r="G1346" t="s">
        <v>320</v>
      </c>
      <c r="H1346" t="s">
        <v>1839</v>
      </c>
      <c r="I1346">
        <v>1599</v>
      </c>
      <c r="K1346" t="s">
        <v>3831</v>
      </c>
      <c r="L1346" t="str">
        <f t="shared" si="165"/>
        <v>"id":"s1328",</v>
      </c>
      <c r="M1346" t="str">
        <v>"cate":"Capacitor",</v>
      </c>
      <c r="N1346" t="str">
        <v>"des":"Capacitor 1NF/25V20% 603",</v>
      </c>
      <c r="O1346" t="str">
        <v>"mfg":"AVX",</v>
      </c>
      <c r="P1346" t="str">
        <v>"pn":"06035C102KAT2A",</v>
      </c>
      <c r="Q1346" t="str">
        <v>"qty":1634</v>
      </c>
      <c r="S1346" t="s">
        <v>2498</v>
      </c>
      <c r="T1346" t="str">
        <f t="shared" si="166"/>
        <v>"id":"s1328","cate":"Capacitor","des":"Capacitor 1NF/25V20% 603","mfg":"AVX","pn":"06035C102KAT2A","qty":1634</v>
      </c>
      <c r="U1346" t="s">
        <v>2503</v>
      </c>
    </row>
    <row r="1347" spans="5:21" x14ac:dyDescent="0.25">
      <c r="E1347" t="s">
        <v>2193</v>
      </c>
      <c r="F1347" t="s">
        <v>1840</v>
      </c>
      <c r="G1347" t="s">
        <v>37</v>
      </c>
      <c r="H1347" t="s">
        <v>1841</v>
      </c>
      <c r="I1347">
        <v>1599</v>
      </c>
      <c r="K1347" t="s">
        <v>3832</v>
      </c>
      <c r="L1347" t="str">
        <f t="shared" si="165"/>
        <v>"id":"s1329",</v>
      </c>
      <c r="M1347" t="str">
        <v>"cate":"Capacitor",</v>
      </c>
      <c r="N1347" t="str">
        <v>"des":"Capacitor 1NF/25V20% 603",</v>
      </c>
      <c r="O1347" t="str">
        <v>"mfg":"SAMSUNG",</v>
      </c>
      <c r="P1347" t="str">
        <v>"pn":"CL10B102KB8NNNC",</v>
      </c>
      <c r="Q1347" t="str">
        <v>"qty":1634</v>
      </c>
      <c r="S1347" t="s">
        <v>2498</v>
      </c>
      <c r="T1347" t="str">
        <f t="shared" si="166"/>
        <v>"id":"s1329","cate":"Capacitor","des":"Capacitor 1NF/25V20% 603","mfg":"SAMSUNG","pn":"CL10B102KB8NNNC","qty":1634</v>
      </c>
      <c r="U1347" t="s">
        <v>2503</v>
      </c>
    </row>
    <row r="1348" spans="5:21" x14ac:dyDescent="0.25">
      <c r="E1348" t="s">
        <v>2193</v>
      </c>
      <c r="F1348" t="s">
        <v>1840</v>
      </c>
      <c r="G1348" t="s">
        <v>5</v>
      </c>
      <c r="H1348" t="s">
        <v>1842</v>
      </c>
      <c r="I1348">
        <v>1599</v>
      </c>
      <c r="K1348" t="s">
        <v>3833</v>
      </c>
      <c r="L1348" t="str">
        <f t="shared" si="165"/>
        <v>"id":"s1330",</v>
      </c>
      <c r="M1348" t="str">
        <v>"cate":"Capacitor",</v>
      </c>
      <c r="N1348" t="str">
        <v>"des":"Capacitor 120UF 200V TH",</v>
      </c>
      <c r="O1348" t="str">
        <v>"mfg":"NICHICON",</v>
      </c>
      <c r="P1348" t="str">
        <v>"pn":"UCY2D121MHD12,5X31,5",</v>
      </c>
      <c r="Q1348" t="str">
        <v>"qty":1632</v>
      </c>
      <c r="S1348" t="s">
        <v>2498</v>
      </c>
      <c r="T1348" t="str">
        <f t="shared" si="166"/>
        <v>"id":"s1330","cate":"Capacitor","des":"Capacitor 120UF 200V TH","mfg":"NICHICON","pn":"UCY2D121MHD12,5X31,5","qty":1632</v>
      </c>
      <c r="U1348" t="s">
        <v>2503</v>
      </c>
    </row>
    <row r="1349" spans="5:21" x14ac:dyDescent="0.25">
      <c r="E1349" t="s">
        <v>2193</v>
      </c>
      <c r="F1349" t="s">
        <v>1840</v>
      </c>
      <c r="G1349" t="s">
        <v>320</v>
      </c>
      <c r="H1349" t="s">
        <v>1843</v>
      </c>
      <c r="I1349">
        <v>1599</v>
      </c>
      <c r="K1349" t="s">
        <v>3834</v>
      </c>
      <c r="L1349" t="str">
        <f t="shared" si="165"/>
        <v>"id":"s1331",</v>
      </c>
      <c r="M1349" t="str">
        <v>"cate":"Capacitor",</v>
      </c>
      <c r="N1349" t="str">
        <v>"des":"Capacitor 120UF 200V TH",</v>
      </c>
      <c r="O1349" t="str">
        <v>"mfg":"NICHICON",</v>
      </c>
      <c r="P1349" t="str">
        <v>"pn":"UCY2D121MHD6",</v>
      </c>
      <c r="Q1349" t="str">
        <v>"qty":1632</v>
      </c>
      <c r="S1349" t="s">
        <v>2498</v>
      </c>
      <c r="T1349" t="str">
        <f t="shared" si="166"/>
        <v>"id":"s1331","cate":"Capacitor","des":"Capacitor 120UF 200V TH","mfg":"NICHICON","pn":"UCY2D121MHD6","qty":1632</v>
      </c>
      <c r="U1349" t="s">
        <v>2503</v>
      </c>
    </row>
    <row r="1350" spans="5:21" x14ac:dyDescent="0.25">
      <c r="E1350" t="s">
        <v>2166</v>
      </c>
      <c r="F1350" t="s">
        <v>1844</v>
      </c>
      <c r="G1350" t="s">
        <v>1378</v>
      </c>
      <c r="H1350" t="s">
        <v>1844</v>
      </c>
      <c r="I1350">
        <v>1598</v>
      </c>
      <c r="K1350" t="s">
        <v>3835</v>
      </c>
      <c r="L1350" t="str">
        <f t="shared" si="165"/>
        <v>"id":"s1332",</v>
      </c>
      <c r="M1350" t="str">
        <v>"cate":"Capacitor",</v>
      </c>
      <c r="N1350" t="str">
        <v>"des":"Capacitor 120UF 200V TH",</v>
      </c>
      <c r="O1350" t="str">
        <v>"mfg":"NIPPON CHEMI-CON",</v>
      </c>
      <c r="P1350" t="str">
        <v>"pn":"EKXJ201ELL121MK30S",</v>
      </c>
      <c r="Q1350" t="str">
        <v>"qty":1632</v>
      </c>
      <c r="S1350" t="s">
        <v>2498</v>
      </c>
      <c r="T1350" t="str">
        <f t="shared" si="166"/>
        <v>"id":"s1332","cate":"Capacitor","des":"Capacitor 120UF 200V TH","mfg":"NIPPON CHEMI-CON","pn":"EKXJ201ELL121MK30S","qty":1632</v>
      </c>
      <c r="U1350" t="s">
        <v>2503</v>
      </c>
    </row>
    <row r="1351" spans="5:21" x14ac:dyDescent="0.25">
      <c r="E1351" t="s">
        <v>2193</v>
      </c>
      <c r="F1351" t="s">
        <v>1845</v>
      </c>
      <c r="G1351" t="s">
        <v>10</v>
      </c>
      <c r="H1351" t="s">
        <v>1846</v>
      </c>
      <c r="I1351">
        <v>1590</v>
      </c>
      <c r="K1351" t="s">
        <v>3836</v>
      </c>
      <c r="L1351" t="str">
        <f t="shared" si="165"/>
        <v>"id":"s1333",</v>
      </c>
      <c r="M1351" t="str">
        <v>"cate":"Capacitor",</v>
      </c>
      <c r="N1351" t="str">
        <v>"des":"Capacitor 120UF 200V TH",</v>
      </c>
      <c r="O1351" t="str">
        <v>"mfg":"SAMWHA",</v>
      </c>
      <c r="P1351" t="str">
        <v>"pn":"BL2D127M12030BB",</v>
      </c>
      <c r="Q1351" t="str">
        <v>"qty":1632</v>
      </c>
      <c r="S1351" t="s">
        <v>2498</v>
      </c>
      <c r="T1351" t="str">
        <f t="shared" si="166"/>
        <v>"id":"s1333","cate":"Capacitor","des":"Capacitor 120UF 200V TH","mfg":"SAMWHA","pn":"BL2D127M12030BB","qty":1632</v>
      </c>
      <c r="U1351" t="s">
        <v>2503</v>
      </c>
    </row>
    <row r="1352" spans="5:21" x14ac:dyDescent="0.25">
      <c r="E1352" t="s">
        <v>2193</v>
      </c>
      <c r="F1352" t="s">
        <v>1847</v>
      </c>
      <c r="G1352" t="s">
        <v>13</v>
      </c>
      <c r="H1352" t="s">
        <v>1848</v>
      </c>
      <c r="I1352">
        <v>1582</v>
      </c>
      <c r="K1352" t="s">
        <v>3837</v>
      </c>
      <c r="L1352" t="str">
        <f t="shared" si="165"/>
        <v>"id":"s1334",</v>
      </c>
      <c r="M1352" t="str">
        <v>"cate":"Capacitor",</v>
      </c>
      <c r="N1352" t="str">
        <v>"des":"Capacitor 120UF 200V TH",</v>
      </c>
      <c r="O1352" t="str">
        <v>"mfg":"RUBYCON",</v>
      </c>
      <c r="P1352" t="str">
        <v>"pn":"200BXW120MEFR12.5X25",</v>
      </c>
      <c r="Q1352" t="str">
        <v>"qty":1632</v>
      </c>
      <c r="S1352" t="s">
        <v>2498</v>
      </c>
      <c r="T1352" t="str">
        <f t="shared" si="166"/>
        <v>"id":"s1334","cate":"Capacitor","des":"Capacitor 120UF 200V TH","mfg":"RUBYCON","pn":"200BXW120MEFR12.5X25","qty":1632</v>
      </c>
      <c r="U1352" t="s">
        <v>2503</v>
      </c>
    </row>
    <row r="1353" spans="5:21" x14ac:dyDescent="0.25">
      <c r="E1353" t="s">
        <v>2193</v>
      </c>
      <c r="F1353" t="s">
        <v>1847</v>
      </c>
      <c r="G1353" t="s">
        <v>320</v>
      </c>
      <c r="H1353" t="s">
        <v>1849</v>
      </c>
      <c r="I1353">
        <v>1582</v>
      </c>
      <c r="K1353" t="s">
        <v>3838</v>
      </c>
      <c r="L1353" t="str">
        <f t="shared" si="165"/>
        <v>"id":"s1335",</v>
      </c>
      <c r="M1353" t="str">
        <v>"cate":"Capacitor",</v>
      </c>
      <c r="N1353" t="str">
        <v>"des":"Capacitor 120UF 200V TH",</v>
      </c>
      <c r="O1353" t="str">
        <v>"mfg":"UNITED CHEMI-CON",</v>
      </c>
      <c r="P1353" t="str">
        <v>"pn":"EKXJ201ELL121MK30S",</v>
      </c>
      <c r="Q1353" t="str">
        <v>"qty":1632</v>
      </c>
      <c r="S1353" t="s">
        <v>2498</v>
      </c>
      <c r="T1353" t="str">
        <f t="shared" si="166"/>
        <v>"id":"s1335","cate":"Capacitor","des":"Capacitor 120UF 200V TH","mfg":"UNITED CHEMI-CON","pn":"EKXJ201ELL121MK30S","qty":1632</v>
      </c>
      <c r="U1353" t="s">
        <v>2503</v>
      </c>
    </row>
    <row r="1354" spans="5:21" x14ac:dyDescent="0.25">
      <c r="E1354" t="s">
        <v>2193</v>
      </c>
      <c r="F1354" t="s">
        <v>1850</v>
      </c>
      <c r="G1354" t="s">
        <v>13</v>
      </c>
      <c r="H1354" t="s">
        <v>318</v>
      </c>
      <c r="I1354">
        <v>1575</v>
      </c>
      <c r="K1354" t="s">
        <v>3839</v>
      </c>
      <c r="L1354" t="str">
        <f t="shared" si="165"/>
        <v>"id":"s1336",</v>
      </c>
      <c r="M1354" t="str">
        <v>"cate":"Capacitor",</v>
      </c>
      <c r="N1354" t="str">
        <v>"des":"Capacitor 100NF 100V1206",</v>
      </c>
      <c r="O1354" t="str">
        <v>"mfg":"YAGEO",</v>
      </c>
      <c r="P1354" t="str">
        <v>"pn":"CC1206KKX7R0BB104",</v>
      </c>
      <c r="Q1354" t="str">
        <v>"qty":1624</v>
      </c>
      <c r="S1354" t="s">
        <v>2498</v>
      </c>
      <c r="T1354" t="str">
        <f t="shared" si="166"/>
        <v>"id":"s1336","cate":"Capacitor","des":"Capacitor 100NF 100V1206","mfg":"YAGEO","pn":"CC1206KKX7R0BB104","qty":1624</v>
      </c>
      <c r="U1354" t="s">
        <v>2503</v>
      </c>
    </row>
    <row r="1355" spans="5:21" x14ac:dyDescent="0.25">
      <c r="E1355" t="s">
        <v>2193</v>
      </c>
      <c r="F1355" t="s">
        <v>1850</v>
      </c>
      <c r="G1355" t="s">
        <v>37</v>
      </c>
      <c r="H1355" t="s">
        <v>1851</v>
      </c>
      <c r="I1355">
        <v>1575</v>
      </c>
      <c r="K1355" t="s">
        <v>3840</v>
      </c>
      <c r="L1355" t="str">
        <f t="shared" si="165"/>
        <v>"id":"s1337",</v>
      </c>
      <c r="M1355" t="str">
        <v>"cate":"Resistor ",</v>
      </c>
      <c r="N1355" t="str">
        <v>"des":"RST 20K 1W 5% 2512",</v>
      </c>
      <c r="O1355" t="str">
        <v>"mfg":"PANASONIC",</v>
      </c>
      <c r="P1355" t="str">
        <v>"pn":"ERJ-1TYJ203U",</v>
      </c>
      <c r="Q1355" t="str">
        <v>"qty":1611</v>
      </c>
      <c r="S1355" t="s">
        <v>2498</v>
      </c>
      <c r="T1355" t="str">
        <f t="shared" si="166"/>
        <v>"id":"s1337","cate":"Resistor ","des":"RST 20K 1W 5% 2512","mfg":"PANASONIC","pn":"ERJ-1TYJ203U","qty":1611</v>
      </c>
      <c r="U1355" t="s">
        <v>2503</v>
      </c>
    </row>
    <row r="1356" spans="5:21" x14ac:dyDescent="0.25">
      <c r="E1356" t="s">
        <v>2193</v>
      </c>
      <c r="F1356" t="s">
        <v>1850</v>
      </c>
      <c r="G1356" t="s">
        <v>89</v>
      </c>
      <c r="H1356" t="s">
        <v>1852</v>
      </c>
      <c r="I1356">
        <v>1575</v>
      </c>
      <c r="K1356" t="s">
        <v>3841</v>
      </c>
      <c r="L1356" t="str">
        <f t="shared" si="165"/>
        <v>"id":"s1338",</v>
      </c>
      <c r="M1356" t="str">
        <v>"cate":"Resistor ",</v>
      </c>
      <c r="N1356" t="str">
        <v>"des":"RST 20K 1W 5% 2512",</v>
      </c>
      <c r="O1356" t="str">
        <v>"mfg":"YAGEO",</v>
      </c>
      <c r="P1356" t="str">
        <v>"pn":"RC2512JK-0720KL",</v>
      </c>
      <c r="Q1356" t="str">
        <v>"qty":1611</v>
      </c>
      <c r="S1356" t="s">
        <v>2498</v>
      </c>
      <c r="T1356" t="str">
        <f t="shared" si="166"/>
        <v>"id":"s1338","cate":"Resistor ","des":"RST 20K 1W 5% 2512","mfg":"YAGEO","pn":"RC2512JK-0720KL","qty":1611</v>
      </c>
      <c r="U1356" t="s">
        <v>2503</v>
      </c>
    </row>
    <row r="1357" spans="5:21" x14ac:dyDescent="0.25">
      <c r="E1357" s="6" t="s">
        <v>2382</v>
      </c>
      <c r="F1357" t="s">
        <v>1853</v>
      </c>
      <c r="G1357" t="s">
        <v>28</v>
      </c>
      <c r="H1357" t="s">
        <v>1854</v>
      </c>
      <c r="I1357">
        <v>1568</v>
      </c>
      <c r="K1357" t="s">
        <v>3842</v>
      </c>
      <c r="L1357" t="str">
        <f t="shared" si="165"/>
        <v>"id":"s1339",</v>
      </c>
      <c r="M1357" t="str">
        <v>"cate":"Diode",</v>
      </c>
      <c r="N1357" t="str">
        <v>"des":"DiodeE ZE 20V SMD",</v>
      </c>
      <c r="O1357" t="str">
        <v>"mfg":"ROHM SEMICONDUCTOR",</v>
      </c>
      <c r="P1357" t="str">
        <v>"pn":"PTZTE2520A",</v>
      </c>
      <c r="Q1357" t="str">
        <v>"qty":1603</v>
      </c>
      <c r="S1357" t="s">
        <v>2498</v>
      </c>
      <c r="T1357" t="str">
        <f t="shared" si="166"/>
        <v>"id":"s1339","cate":"Diode","des":"DiodeE ZE 20V SMD","mfg":"ROHM SEMICONDUCTOR","pn":"PTZTE2520A","qty":1603</v>
      </c>
      <c r="U1357" t="s">
        <v>2503</v>
      </c>
    </row>
    <row r="1358" spans="5:21" x14ac:dyDescent="0.25">
      <c r="E1358" s="6" t="s">
        <v>2382</v>
      </c>
      <c r="F1358" t="s">
        <v>1853</v>
      </c>
      <c r="G1358" t="s">
        <v>61</v>
      </c>
      <c r="H1358" t="s">
        <v>1855</v>
      </c>
      <c r="I1358">
        <v>1568</v>
      </c>
      <c r="K1358" t="s">
        <v>3843</v>
      </c>
      <c r="L1358" t="str">
        <f t="shared" si="165"/>
        <v>"id":"s1340",</v>
      </c>
      <c r="M1358" t="str">
        <v>"cate":"Resistor ",</v>
      </c>
      <c r="N1358" t="str">
        <v>"des":"RST 221K 1/4W1%1206",</v>
      </c>
      <c r="O1358" t="str">
        <v>"mfg":"KOA",</v>
      </c>
      <c r="P1358" t="str">
        <v>"pn":"RK73H2BTTD2213F",</v>
      </c>
      <c r="Q1358" t="str">
        <v>"qty":1599</v>
      </c>
      <c r="S1358" t="s">
        <v>2498</v>
      </c>
      <c r="T1358" t="str">
        <f t="shared" si="166"/>
        <v>"id":"s1340","cate":"Resistor ","des":"RST 221K 1/4W1%1206","mfg":"KOA","pn":"RK73H2BTTD2213F","qty":1599</v>
      </c>
      <c r="U1358" t="s">
        <v>2503</v>
      </c>
    </row>
    <row r="1359" spans="5:21" x14ac:dyDescent="0.25">
      <c r="E1359" t="s">
        <v>2193</v>
      </c>
      <c r="F1359" t="s">
        <v>1856</v>
      </c>
      <c r="G1359" t="s">
        <v>13</v>
      </c>
      <c r="H1359" t="s">
        <v>1857</v>
      </c>
      <c r="I1359">
        <v>1561</v>
      </c>
      <c r="K1359" t="s">
        <v>3844</v>
      </c>
      <c r="L1359" t="str">
        <f t="shared" si="165"/>
        <v>"id":"s1341",</v>
      </c>
      <c r="M1359" t="str">
        <v>"cate":"Resistor ",</v>
      </c>
      <c r="N1359" t="str">
        <v>"des":"RST 221K 1/4W1%1206",</v>
      </c>
      <c r="O1359" t="str">
        <v>"mfg":"ROYAL OHM",</v>
      </c>
      <c r="P1359" t="str">
        <v>"pn":"1206W4F2213T5E",</v>
      </c>
      <c r="Q1359" t="str">
        <v>"qty":1599</v>
      </c>
      <c r="S1359" t="s">
        <v>2498</v>
      </c>
      <c r="T1359" t="str">
        <f t="shared" si="166"/>
        <v>"id":"s1341","cate":"Resistor ","des":"RST 221K 1/4W1%1206","mfg":"ROYAL OHM","pn":"1206W4F2213T5E","qty":1599</v>
      </c>
      <c r="U1359" t="s">
        <v>2503</v>
      </c>
    </row>
    <row r="1360" spans="5:21" x14ac:dyDescent="0.25">
      <c r="E1360" t="s">
        <v>2193</v>
      </c>
      <c r="F1360" t="s">
        <v>1856</v>
      </c>
      <c r="G1360" t="s">
        <v>89</v>
      </c>
      <c r="H1360" t="s">
        <v>1858</v>
      </c>
      <c r="I1360">
        <v>1561</v>
      </c>
      <c r="K1360" t="s">
        <v>3845</v>
      </c>
      <c r="L1360" t="str">
        <f t="shared" si="165"/>
        <v>"id":"s1342",</v>
      </c>
      <c r="M1360" t="str">
        <v>"cate":"Resistor ",</v>
      </c>
      <c r="N1360" t="str">
        <v>"des":"RST 560 1/2W 5% CF",</v>
      </c>
      <c r="O1360" t="str">
        <v>"mfg":"VISHAY",</v>
      </c>
      <c r="P1360" t="str">
        <v>"pn":"SFR16S0005600JA500",</v>
      </c>
      <c r="Q1360" t="str">
        <v>"qty":1599</v>
      </c>
      <c r="S1360" t="s">
        <v>2498</v>
      </c>
      <c r="T1360" t="str">
        <f t="shared" si="166"/>
        <v>"id":"s1342","cate":"Resistor ","des":"RST 560 1/2W 5% CF","mfg":"VISHAY","pn":"SFR16S0005600JA500","qty":1599</v>
      </c>
      <c r="U1360" t="s">
        <v>2503</v>
      </c>
    </row>
    <row r="1361" spans="5:21" x14ac:dyDescent="0.25">
      <c r="E1361" s="6" t="s">
        <v>2495</v>
      </c>
      <c r="F1361" t="s">
        <v>1859</v>
      </c>
      <c r="G1361" t="s">
        <v>1860</v>
      </c>
      <c r="H1361" t="s">
        <v>1861</v>
      </c>
      <c r="I1361">
        <v>1546</v>
      </c>
      <c r="K1361" t="s">
        <v>3846</v>
      </c>
      <c r="L1361" t="str">
        <f t="shared" si="165"/>
        <v>"id":"s1343",</v>
      </c>
      <c r="M1361" t="str">
        <v>"cate":"Resistor ",</v>
      </c>
      <c r="N1361" t="str">
        <v>"des":"RST 560 1/2W 5% CF",</v>
      </c>
      <c r="O1361" t="str">
        <v>"mfg":"KOA",</v>
      </c>
      <c r="P1361" t="str">
        <v>"pn":"CF1/2CT52R(A)561J",</v>
      </c>
      <c r="Q1361" t="str">
        <v>"qty":1599</v>
      </c>
      <c r="S1361" t="s">
        <v>2498</v>
      </c>
      <c r="T1361" t="str">
        <f t="shared" si="166"/>
        <v>"id":"s1343","cate":"Resistor ","des":"RST 560 1/2W 5% CF","mfg":"KOA","pn":"CF1/2CT52R(A)561J","qty":1599</v>
      </c>
      <c r="U1361" t="s">
        <v>2503</v>
      </c>
    </row>
    <row r="1362" spans="5:21" x14ac:dyDescent="0.25">
      <c r="E1362" s="6" t="s">
        <v>2495</v>
      </c>
      <c r="F1362" t="s">
        <v>1859</v>
      </c>
      <c r="G1362" t="s">
        <v>202</v>
      </c>
      <c r="H1362" t="s">
        <v>1862</v>
      </c>
      <c r="I1362">
        <v>1546</v>
      </c>
      <c r="K1362" t="s">
        <v>3847</v>
      </c>
      <c r="L1362" t="str">
        <f t="shared" si="165"/>
        <v>"id":"s1344",</v>
      </c>
      <c r="M1362" t="str">
        <v>"cate":"Resistor ",</v>
      </c>
      <c r="N1362" t="str">
        <v>"des":"RST 560 1/2W 5% CF",</v>
      </c>
      <c r="O1362" t="str">
        <v>"mfg":"ROYAL OHM",</v>
      </c>
      <c r="P1362" t="str">
        <v>"pn":"CFRFU2J0561A50",</v>
      </c>
      <c r="Q1362" t="str">
        <v>"qty":1599</v>
      </c>
      <c r="S1362" t="s">
        <v>2498</v>
      </c>
      <c r="T1362" t="str">
        <f t="shared" si="166"/>
        <v>"id":"s1344","cate":"Resistor ","des":"RST 560 1/2W 5% CF","mfg":"ROYAL OHM","pn":"CFRFU2J0561A50","qty":1599</v>
      </c>
      <c r="U1362" t="s">
        <v>2503</v>
      </c>
    </row>
    <row r="1363" spans="5:21" x14ac:dyDescent="0.25">
      <c r="E1363" t="s">
        <v>2126</v>
      </c>
      <c r="F1363" t="s">
        <v>1863</v>
      </c>
      <c r="G1363" t="s">
        <v>507</v>
      </c>
      <c r="H1363" t="s">
        <v>1864</v>
      </c>
      <c r="I1363">
        <v>1545</v>
      </c>
      <c r="K1363" t="s">
        <v>3848</v>
      </c>
      <c r="L1363" t="str">
        <f t="shared" si="165"/>
        <v>"id":"s1345",</v>
      </c>
      <c r="M1363" t="str">
        <v>"cate":"SPAC",</v>
      </c>
      <c r="N1363" t="str">
        <v>"des":"SPACER 18 MM",</v>
      </c>
      <c r="O1363" t="str">
        <v>"mfg":"INTER KAPPA CORPORATION",</v>
      </c>
      <c r="P1363" t="str">
        <v>"pn":"SPACER 18 MM",</v>
      </c>
      <c r="Q1363" t="str">
        <v>"qty":1598</v>
      </c>
      <c r="S1363" t="s">
        <v>2498</v>
      </c>
      <c r="T1363" t="str">
        <f t="shared" si="166"/>
        <v>"id":"s1345","cate":"SPAC","des":"SPACER 18 MM","mfg":"INTER KAPPA CORPORATION","pn":"SPACER 18 MM","qty":1598</v>
      </c>
      <c r="U1363" t="s">
        <v>2503</v>
      </c>
    </row>
    <row r="1364" spans="5:21" x14ac:dyDescent="0.25">
      <c r="E1364" t="s">
        <v>2126</v>
      </c>
      <c r="F1364" t="s">
        <v>1863</v>
      </c>
      <c r="G1364" t="s">
        <v>1865</v>
      </c>
      <c r="H1364" t="s">
        <v>1866</v>
      </c>
      <c r="I1364">
        <v>1545</v>
      </c>
      <c r="K1364" t="s">
        <v>3849</v>
      </c>
      <c r="L1364" t="str">
        <f t="shared" ref="L1364:L1427" si="167">_xlfn.CONCAT("""","id","""",":","""",K1364,"""",",")</f>
        <v>"id":"s1346",</v>
      </c>
      <c r="M1364" t="str">
        <v>"cate":"Resistor ",</v>
      </c>
      <c r="N1364" t="str">
        <v>"des":"RST 56K2 1/8W1%805A",</v>
      </c>
      <c r="O1364" t="str">
        <v>"mfg":"WALSIN",</v>
      </c>
      <c r="P1364" t="str">
        <v>"pn":"WR08X5622FTL",</v>
      </c>
      <c r="Q1364" t="str">
        <v>"qty":1590</v>
      </c>
      <c r="S1364" t="s">
        <v>2498</v>
      </c>
      <c r="T1364" t="str">
        <f t="shared" ref="T1364:T1427" si="168">_xlfn.CONCAT(L1364:Q1364)</f>
        <v>"id":"s1346","cate":"Resistor ","des":"RST 56K2 1/8W1%805A","mfg":"WALSIN","pn":"WR08X5622FTL","qty":1590</v>
      </c>
      <c r="U1364" t="s">
        <v>2503</v>
      </c>
    </row>
    <row r="1365" spans="5:21" x14ac:dyDescent="0.25">
      <c r="E1365" t="s">
        <v>2140</v>
      </c>
      <c r="F1365" t="s">
        <v>1867</v>
      </c>
      <c r="G1365" t="s">
        <v>57</v>
      </c>
      <c r="H1365" t="s">
        <v>1868</v>
      </c>
      <c r="I1365">
        <v>1538</v>
      </c>
      <c r="K1365" t="s">
        <v>3850</v>
      </c>
      <c r="L1365" t="str">
        <f t="shared" si="167"/>
        <v>"id":"s1347",</v>
      </c>
      <c r="M1365" t="str">
        <v>"cate":"Resistor ",</v>
      </c>
      <c r="N1365" t="str">
        <v>"des":"RST 30,1K 1/4W1%805",</v>
      </c>
      <c r="O1365" t="str">
        <v>"mfg":"YAGEO",</v>
      </c>
      <c r="P1365" t="str">
        <v>"pn":"RC0805FR-0730K1L",</v>
      </c>
      <c r="Q1365" t="str">
        <v>"qty":1582</v>
      </c>
      <c r="S1365" t="s">
        <v>2498</v>
      </c>
      <c r="T1365" t="str">
        <f t="shared" si="168"/>
        <v>"id":"s1347","cate":"Resistor ","des":"RST 30,1K 1/4W1%805","mfg":"YAGEO","pn":"RC0805FR-0730K1L","qty":1582</v>
      </c>
      <c r="U1365" t="s">
        <v>2503</v>
      </c>
    </row>
    <row r="1366" spans="5:21" x14ac:dyDescent="0.25">
      <c r="E1366" t="s">
        <v>2140</v>
      </c>
      <c r="F1366" t="s">
        <v>1867</v>
      </c>
      <c r="G1366" t="s">
        <v>202</v>
      </c>
      <c r="H1366" t="s">
        <v>1869</v>
      </c>
      <c r="I1366">
        <v>1538</v>
      </c>
      <c r="K1366" t="s">
        <v>3851</v>
      </c>
      <c r="L1366" t="str">
        <f t="shared" si="167"/>
        <v>"id":"s1348",</v>
      </c>
      <c r="M1366" t="str">
        <v>"cate":"Resistor ",</v>
      </c>
      <c r="N1366" t="str">
        <v>"des":"RST 30,1K 1/4W1%805",</v>
      </c>
      <c r="O1366" t="str">
        <v>"mfg":"ROYAL OHM",</v>
      </c>
      <c r="P1366" t="str">
        <v>"pn":"0805W8F3012T5E",</v>
      </c>
      <c r="Q1366" t="str">
        <v>"qty":1582</v>
      </c>
      <c r="S1366" t="s">
        <v>2498</v>
      </c>
      <c r="T1366" t="str">
        <f t="shared" si="168"/>
        <v>"id":"s1348","cate":"Resistor ","des":"RST 30,1K 1/4W1%805","mfg":"ROYAL OHM","pn":"0805W8F3012T5E","qty":1582</v>
      </c>
      <c r="U1366" t="s">
        <v>2503</v>
      </c>
    </row>
    <row r="1367" spans="5:21" x14ac:dyDescent="0.25">
      <c r="E1367" s="6" t="s">
        <v>2382</v>
      </c>
      <c r="F1367" t="s">
        <v>1870</v>
      </c>
      <c r="G1367" t="s">
        <v>2467</v>
      </c>
      <c r="H1367" t="s">
        <v>1871</v>
      </c>
      <c r="I1367">
        <v>1519</v>
      </c>
      <c r="K1367" t="s">
        <v>3852</v>
      </c>
      <c r="L1367" t="str">
        <f t="shared" si="167"/>
        <v>"id":"s1349",</v>
      </c>
      <c r="M1367" t="str">
        <v>"cate":"Resistor ",</v>
      </c>
      <c r="N1367" t="str">
        <v>"des":"RST 10K 0,1W1% 603A",</v>
      </c>
      <c r="O1367" t="str">
        <v>"mfg":"YAGEO",</v>
      </c>
      <c r="P1367" t="str">
        <v>"pn":"RC0603FR-0710KL",</v>
      </c>
      <c r="Q1367" t="str">
        <v>"qty":1575</v>
      </c>
      <c r="S1367" t="s">
        <v>2498</v>
      </c>
      <c r="T1367" t="str">
        <f t="shared" si="168"/>
        <v>"id":"s1349","cate":"Resistor ","des":"RST 10K 0,1W1% 603A","mfg":"YAGEO","pn":"RC0603FR-0710KL","qty":1575</v>
      </c>
      <c r="U1367" t="s">
        <v>2503</v>
      </c>
    </row>
    <row r="1368" spans="5:21" x14ac:dyDescent="0.25">
      <c r="E1368" s="6" t="s">
        <v>2382</v>
      </c>
      <c r="F1368" t="s">
        <v>1870</v>
      </c>
      <c r="G1368" t="s">
        <v>257</v>
      </c>
      <c r="H1368" t="s">
        <v>1872</v>
      </c>
      <c r="I1368">
        <v>1519</v>
      </c>
      <c r="K1368" t="s">
        <v>3853</v>
      </c>
      <c r="L1368" t="str">
        <f t="shared" si="167"/>
        <v>"id":"s1350",</v>
      </c>
      <c r="M1368" t="str">
        <v>"cate":"Resistor ",</v>
      </c>
      <c r="N1368" t="str">
        <v>"des":"RST 10K 0,1W1% 603A",</v>
      </c>
      <c r="O1368" t="str">
        <v>"mfg":"VISHAY",</v>
      </c>
      <c r="P1368" t="str">
        <v>"pn":"MCT06030C1002FP500",</v>
      </c>
      <c r="Q1368" t="str">
        <v>"qty":1575</v>
      </c>
      <c r="S1368" t="s">
        <v>2498</v>
      </c>
      <c r="T1368" t="str">
        <f t="shared" si="168"/>
        <v>"id":"s1350","cate":"Resistor ","des":"RST 10K 0,1W1% 603A","mfg":"VISHAY","pn":"MCT06030C1002FP500","qty":1575</v>
      </c>
      <c r="U1368" t="s">
        <v>2503</v>
      </c>
    </row>
    <row r="1369" spans="5:21" x14ac:dyDescent="0.25">
      <c r="E1369" s="6" t="s">
        <v>2382</v>
      </c>
      <c r="F1369" t="s">
        <v>1870</v>
      </c>
      <c r="G1369" t="s">
        <v>61</v>
      </c>
      <c r="H1369" t="s">
        <v>1873</v>
      </c>
      <c r="I1369">
        <v>1519</v>
      </c>
      <c r="K1369" t="s">
        <v>3854</v>
      </c>
      <c r="L1369" t="str">
        <f t="shared" si="167"/>
        <v>"id":"s1351",</v>
      </c>
      <c r="M1369" t="str">
        <v>"cate":"Resistor ",</v>
      </c>
      <c r="N1369" t="str">
        <v>"des":"RST 10K 0,1W1% 603A",</v>
      </c>
      <c r="O1369" t="str">
        <v>"mfg":"BOURNS",</v>
      </c>
      <c r="P1369" t="str">
        <v>"pn":"CR0603FX-1002ELF",</v>
      </c>
      <c r="Q1369" t="str">
        <v>"qty":1575</v>
      </c>
      <c r="S1369" t="s">
        <v>2498</v>
      </c>
      <c r="T1369" t="str">
        <f t="shared" si="168"/>
        <v>"id":"s1351","cate":"Resistor ","des":"RST 10K 0,1W1% 603A","mfg":"BOURNS","pn":"CR0603FX-1002ELF","qty":1575</v>
      </c>
      <c r="U1369" t="s">
        <v>2503</v>
      </c>
    </row>
    <row r="1370" spans="5:21" x14ac:dyDescent="0.25">
      <c r="E1370" t="s">
        <v>2405</v>
      </c>
      <c r="F1370" t="s">
        <v>2459</v>
      </c>
      <c r="G1370" t="s">
        <v>28</v>
      </c>
      <c r="H1370" t="s">
        <v>1874</v>
      </c>
      <c r="I1370">
        <v>1517</v>
      </c>
      <c r="K1370" t="s">
        <v>3855</v>
      </c>
      <c r="L1370" t="str">
        <f t="shared" si="167"/>
        <v>"id":"s1352",</v>
      </c>
      <c r="M1370" t="str">
        <v>"cate":"IC",</v>
      </c>
      <c r="N1370" t="str">
        <v>"des":"IC LM2902DR2G",</v>
      </c>
      <c r="O1370" t="str">
        <v>"mfg":"ON SEMICONDUCTOR",</v>
      </c>
      <c r="P1370" t="str">
        <v>"pn":"LM2902DR2G",</v>
      </c>
      <c r="Q1370" t="str">
        <v>"qty":1568</v>
      </c>
      <c r="S1370" t="s">
        <v>2498</v>
      </c>
      <c r="T1370" t="str">
        <f t="shared" si="168"/>
        <v>"id":"s1352","cate":"IC","des":"IC LM2902DR2G","mfg":"ON SEMICONDUCTOR","pn":"LM2902DR2G","qty":1568</v>
      </c>
      <c r="U1370" t="s">
        <v>2503</v>
      </c>
    </row>
    <row r="1371" spans="5:21" x14ac:dyDescent="0.25">
      <c r="E1371" t="s">
        <v>2194</v>
      </c>
      <c r="F1371" t="s">
        <v>2352</v>
      </c>
      <c r="G1371" t="s">
        <v>13</v>
      </c>
      <c r="H1371" t="s">
        <v>1875</v>
      </c>
      <c r="I1371">
        <v>1512</v>
      </c>
      <c r="K1371" t="s">
        <v>3856</v>
      </c>
      <c r="L1371" t="str">
        <f t="shared" si="167"/>
        <v>"id":"s1353",</v>
      </c>
      <c r="M1371" t="str">
        <v>"cate":"IC",</v>
      </c>
      <c r="N1371" t="str">
        <v>"des":"IC LM2902DR2G",</v>
      </c>
      <c r="O1371" t="str">
        <v>"mfg":"STMICROELECTRONICS",</v>
      </c>
      <c r="P1371" t="str">
        <v>"pn":"LM2902DT",</v>
      </c>
      <c r="Q1371" t="str">
        <v>"qty":1568</v>
      </c>
      <c r="S1371" t="s">
        <v>2498</v>
      </c>
      <c r="T1371" t="str">
        <f t="shared" si="168"/>
        <v>"id":"s1353","cate":"IC","des":"IC LM2902DR2G","mfg":"STMICROELECTRONICS","pn":"LM2902DT","qty":1568</v>
      </c>
      <c r="U1371" t="s">
        <v>2503</v>
      </c>
    </row>
    <row r="1372" spans="5:21" x14ac:dyDescent="0.25">
      <c r="E1372" t="s">
        <v>2194</v>
      </c>
      <c r="F1372" t="s">
        <v>2352</v>
      </c>
      <c r="G1372" t="s">
        <v>8</v>
      </c>
      <c r="H1372" t="s">
        <v>1876</v>
      </c>
      <c r="I1372">
        <v>1512</v>
      </c>
      <c r="K1372" t="s">
        <v>3857</v>
      </c>
      <c r="L1372" t="str">
        <f t="shared" si="167"/>
        <v>"id":"s1354",</v>
      </c>
      <c r="M1372" t="str">
        <v>"cate":"Resistor ",</v>
      </c>
      <c r="N1372" t="str">
        <v>"des":"RST 147K0,1W 1%603A",</v>
      </c>
      <c r="O1372" t="str">
        <v>"mfg":"YAGEO",</v>
      </c>
      <c r="P1372" t="str">
        <v>"pn":"RC0603FR-07147KL",</v>
      </c>
      <c r="Q1372" t="str">
        <v>"qty":1561</v>
      </c>
      <c r="S1372" t="s">
        <v>2498</v>
      </c>
      <c r="T1372" t="str">
        <f t="shared" si="168"/>
        <v>"id":"s1354","cate":"Resistor ","des":"RST 147K0,1W 1%603A","mfg":"YAGEO","pn":"RC0603FR-07147KL","qty":1561</v>
      </c>
      <c r="U1372" t="s">
        <v>2503</v>
      </c>
    </row>
    <row r="1373" spans="5:21" x14ac:dyDescent="0.25">
      <c r="E1373" t="s">
        <v>2194</v>
      </c>
      <c r="F1373" t="s">
        <v>2352</v>
      </c>
      <c r="G1373" t="s">
        <v>62</v>
      </c>
      <c r="H1373" t="s">
        <v>1877</v>
      </c>
      <c r="I1373">
        <v>1512</v>
      </c>
      <c r="K1373" t="s">
        <v>3858</v>
      </c>
      <c r="L1373" t="str">
        <f t="shared" si="167"/>
        <v>"id":"s1355",</v>
      </c>
      <c r="M1373" t="str">
        <v>"cate":"Resistor ",</v>
      </c>
      <c r="N1373" t="str">
        <v>"des":"RST 147K0,1W 1%603A",</v>
      </c>
      <c r="O1373" t="str">
        <v>"mfg":"BOURNS",</v>
      </c>
      <c r="P1373" t="str">
        <v>"pn":"CR0603FX1473ELF",</v>
      </c>
      <c r="Q1373" t="str">
        <v>"qty":1561</v>
      </c>
      <c r="S1373" t="s">
        <v>2498</v>
      </c>
      <c r="T1373" t="str">
        <f t="shared" si="168"/>
        <v>"id":"s1355","cate":"Resistor ","des":"RST 147K0,1W 1%603A","mfg":"BOURNS","pn":"CR0603FX1473ELF","qty":1561</v>
      </c>
      <c r="U1373" t="s">
        <v>2503</v>
      </c>
    </row>
    <row r="1374" spans="5:21" x14ac:dyDescent="0.25">
      <c r="E1374" t="s">
        <v>2194</v>
      </c>
      <c r="F1374" t="s">
        <v>2352</v>
      </c>
      <c r="G1374" t="s">
        <v>10</v>
      </c>
      <c r="H1374" t="s">
        <v>1878</v>
      </c>
      <c r="I1374">
        <v>1512</v>
      </c>
      <c r="K1374" t="s">
        <v>3859</v>
      </c>
      <c r="L1374" t="str">
        <f t="shared" si="167"/>
        <v>"id":"s1356",</v>
      </c>
      <c r="M1374" t="str">
        <v>"cate":"Terminal",</v>
      </c>
      <c r="N1374" t="str">
        <v>"des":"CNT 6450851-1",</v>
      </c>
      <c r="O1374" t="str">
        <v>"mfg":"FCI",</v>
      </c>
      <c r="P1374" t="str">
        <v>"pn":"10106130-E008001LF",</v>
      </c>
      <c r="Q1374" t="str">
        <v>"qty":1546</v>
      </c>
      <c r="S1374" t="s">
        <v>2498</v>
      </c>
      <c r="T1374" t="str">
        <f t="shared" si="168"/>
        <v>"id":"s1356","cate":"Terminal","des":"CNT 6450851-1","mfg":"FCI","pn":"10106130-E008001LF","qty":1546</v>
      </c>
      <c r="U1374" t="s">
        <v>2503</v>
      </c>
    </row>
    <row r="1375" spans="5:21" x14ac:dyDescent="0.25">
      <c r="E1375" t="s">
        <v>2405</v>
      </c>
      <c r="F1375" t="s">
        <v>2460</v>
      </c>
      <c r="G1375" t="s">
        <v>521</v>
      </c>
      <c r="H1375" t="s">
        <v>1879</v>
      </c>
      <c r="I1375">
        <v>1507</v>
      </c>
      <c r="K1375" t="s">
        <v>3860</v>
      </c>
      <c r="L1375" t="str">
        <f t="shared" si="167"/>
        <v>"id":"s1357",</v>
      </c>
      <c r="M1375" t="str">
        <v>"cate":"Terminal",</v>
      </c>
      <c r="N1375" t="str">
        <v>"des":"CNT 6450851-1",</v>
      </c>
      <c r="O1375" t="str">
        <v>"mfg":"TE CONNECTIVITY",</v>
      </c>
      <c r="P1375" t="str">
        <v>"pn":"6450851-1",</v>
      </c>
      <c r="Q1375" t="str">
        <v>"qty":1546</v>
      </c>
      <c r="S1375" t="s">
        <v>2498</v>
      </c>
      <c r="T1375" t="str">
        <f t="shared" si="168"/>
        <v>"id":"s1357","cate":"Terminal","des":"CNT 6450851-1","mfg":"TE CONNECTIVITY","pn":"6450851-1","qty":1546</v>
      </c>
      <c r="U1375" t="s">
        <v>2503</v>
      </c>
    </row>
    <row r="1376" spans="5:21" x14ac:dyDescent="0.25">
      <c r="E1376" t="s">
        <v>2405</v>
      </c>
      <c r="F1376" t="s">
        <v>2460</v>
      </c>
      <c r="G1376" t="s">
        <v>61</v>
      </c>
      <c r="H1376" t="s">
        <v>1880</v>
      </c>
      <c r="I1376">
        <v>1507</v>
      </c>
      <c r="K1376" t="s">
        <v>3861</v>
      </c>
      <c r="L1376" t="str">
        <f t="shared" si="167"/>
        <v>"id":"s1358",</v>
      </c>
      <c r="M1376" t="str">
        <v>"cate":"FUSE",</v>
      </c>
      <c r="N1376" t="str">
        <v>"des":"FUSE 40A 500V",</v>
      </c>
      <c r="O1376" t="str">
        <v>"mfg":"EATON",</v>
      </c>
      <c r="P1376" t="str">
        <v>"pn":"C14M40",</v>
      </c>
      <c r="Q1376" t="str">
        <v>"qty":1545</v>
      </c>
      <c r="S1376" t="s">
        <v>2498</v>
      </c>
      <c r="T1376" t="str">
        <f t="shared" si="168"/>
        <v>"id":"s1358","cate":"FUSE","des":"FUSE 40A 500V","mfg":"EATON","pn":"C14M40","qty":1545</v>
      </c>
      <c r="U1376" t="s">
        <v>2503</v>
      </c>
    </row>
    <row r="1377" spans="5:21" x14ac:dyDescent="0.25">
      <c r="E1377" t="s">
        <v>2194</v>
      </c>
      <c r="F1377" t="s">
        <v>2353</v>
      </c>
      <c r="G1377" t="s">
        <v>45</v>
      </c>
      <c r="H1377" t="s">
        <v>1881</v>
      </c>
      <c r="I1377">
        <v>1495</v>
      </c>
      <c r="K1377" t="s">
        <v>3862</v>
      </c>
      <c r="L1377" t="str">
        <f t="shared" si="167"/>
        <v>"id":"s1359",</v>
      </c>
      <c r="M1377" t="str">
        <v>"cate":"FUSE",</v>
      </c>
      <c r="N1377" t="str">
        <v>"des":"FUSE 40A 500V",</v>
      </c>
      <c r="O1377" t="str">
        <v>"mfg":"LEGRAND",</v>
      </c>
      <c r="P1377" t="str">
        <v>"pn":"14040",</v>
      </c>
      <c r="Q1377" t="str">
        <v>"qty":1545</v>
      </c>
      <c r="S1377" t="s">
        <v>2498</v>
      </c>
      <c r="T1377" t="str">
        <f t="shared" si="168"/>
        <v>"id":"s1359","cate":"FUSE","des":"FUSE 40A 500V","mfg":"LEGRAND","pn":"14040","qty":1545</v>
      </c>
      <c r="U1377" t="s">
        <v>2503</v>
      </c>
    </row>
    <row r="1378" spans="5:21" x14ac:dyDescent="0.25">
      <c r="E1378" t="s">
        <v>2194</v>
      </c>
      <c r="F1378" t="s">
        <v>2353</v>
      </c>
      <c r="G1378" t="s">
        <v>45</v>
      </c>
      <c r="H1378" t="s">
        <v>1882</v>
      </c>
      <c r="I1378">
        <v>1495</v>
      </c>
      <c r="K1378" t="s">
        <v>3863</v>
      </c>
      <c r="L1378" t="str">
        <f t="shared" si="167"/>
        <v>"id":"s1360",</v>
      </c>
      <c r="M1378" t="str">
        <v>"cate":"POLY",</v>
      </c>
      <c r="N1378" t="str">
        <v>"des":"POLYSWITCH LVR016S",</v>
      </c>
      <c r="O1378" t="str">
        <v>"mfg":"LITTELFUSE",</v>
      </c>
      <c r="P1378" t="str">
        <v>"pn":"224962-000£L",</v>
      </c>
      <c r="Q1378" t="str">
        <v>"qty":1538</v>
      </c>
      <c r="S1378" t="s">
        <v>2498</v>
      </c>
      <c r="T1378" t="str">
        <f t="shared" si="168"/>
        <v>"id":"s1360","cate":"POLY","des":"POLYSWITCH LVR016S","mfg":"LITTELFUSE","pn":"224962-000£L","qty":1538</v>
      </c>
      <c r="U1378" t="s">
        <v>2503</v>
      </c>
    </row>
    <row r="1379" spans="5:21" x14ac:dyDescent="0.25">
      <c r="E1379" t="s">
        <v>2194</v>
      </c>
      <c r="F1379" t="s">
        <v>2353</v>
      </c>
      <c r="G1379" t="s">
        <v>290</v>
      </c>
      <c r="H1379" t="s">
        <v>1883</v>
      </c>
      <c r="I1379">
        <v>1495</v>
      </c>
      <c r="K1379" t="s">
        <v>3864</v>
      </c>
      <c r="L1379" t="str">
        <f t="shared" si="167"/>
        <v>"id":"s1361",</v>
      </c>
      <c r="M1379" t="str">
        <v>"cate":"POLY",</v>
      </c>
      <c r="N1379" t="str">
        <v>"des":"POLYSWITCH LVR016S",</v>
      </c>
      <c r="O1379" t="str">
        <v>"mfg":"TE CONNECTIVITY",</v>
      </c>
      <c r="P1379" t="str">
        <v>"pn":"LVR016S",</v>
      </c>
      <c r="Q1379" t="str">
        <v>"qty":1538</v>
      </c>
      <c r="S1379" t="s">
        <v>2498</v>
      </c>
      <c r="T1379" t="str">
        <f t="shared" si="168"/>
        <v>"id":"s1361","cate":"POLY","des":"POLYSWITCH LVR016S","mfg":"TE CONNECTIVITY","pn":"LVR016S","qty":1538</v>
      </c>
      <c r="U1379" t="s">
        <v>2503</v>
      </c>
    </row>
    <row r="1380" spans="5:21" x14ac:dyDescent="0.25">
      <c r="E1380" t="s">
        <v>2194</v>
      </c>
      <c r="F1380" t="s">
        <v>2353</v>
      </c>
      <c r="G1380" t="s">
        <v>290</v>
      </c>
      <c r="H1380" t="s">
        <v>1884</v>
      </c>
      <c r="I1380">
        <v>1495</v>
      </c>
      <c r="K1380" t="s">
        <v>3865</v>
      </c>
      <c r="L1380" t="str">
        <f t="shared" si="167"/>
        <v>"id":"s1362",</v>
      </c>
      <c r="M1380" t="str">
        <v>"cate":"IC",</v>
      </c>
      <c r="N1380" t="str">
        <v>"des":"IC TS2431AILT",</v>
      </c>
      <c r="O1380" t="str">
        <v>"mfg":"DiodeES INC.",</v>
      </c>
      <c r="P1380" t="str">
        <v>"pn":"ZTL431AFTA",</v>
      </c>
      <c r="Q1380" t="str">
        <v>"qty":1519</v>
      </c>
      <c r="S1380" t="s">
        <v>2498</v>
      </c>
      <c r="T1380" t="str">
        <f t="shared" si="168"/>
        <v>"id":"s1362","cate":"IC","des":"IC TS2431AILT","mfg":"DiodeES INC.","pn":"ZTL431AFTA","qty":1519</v>
      </c>
      <c r="U1380" t="s">
        <v>2503</v>
      </c>
    </row>
    <row r="1381" spans="5:21" x14ac:dyDescent="0.25">
      <c r="E1381" t="s">
        <v>2474</v>
      </c>
      <c r="F1381" t="s">
        <v>2482</v>
      </c>
      <c r="G1381" t="s">
        <v>37</v>
      </c>
      <c r="H1381" t="s">
        <v>1885</v>
      </c>
      <c r="I1381">
        <v>1487</v>
      </c>
      <c r="K1381" t="s">
        <v>3866</v>
      </c>
      <c r="L1381" t="str">
        <f t="shared" si="167"/>
        <v>"id":"s1363",</v>
      </c>
      <c r="M1381" t="str">
        <v>"cate":"IC",</v>
      </c>
      <c r="N1381" t="str">
        <v>"des":"IC TS2431AILT",</v>
      </c>
      <c r="O1381" t="str">
        <v>"mfg":"FAIRCHILD SEMICONDUCTOR",</v>
      </c>
      <c r="P1381" t="str">
        <v>"pn":"LM431SBCM3X",</v>
      </c>
      <c r="Q1381" t="str">
        <v>"qty":1519</v>
      </c>
      <c r="S1381" t="s">
        <v>2498</v>
      </c>
      <c r="T1381" t="str">
        <f t="shared" si="168"/>
        <v>"id":"s1363","cate":"IC","des":"IC TS2431AILT","mfg":"FAIRCHILD SEMICONDUCTOR","pn":"LM431SBCM3X","qty":1519</v>
      </c>
      <c r="U1381" t="s">
        <v>2503</v>
      </c>
    </row>
    <row r="1382" spans="5:21" x14ac:dyDescent="0.25">
      <c r="E1382" t="s">
        <v>2474</v>
      </c>
      <c r="F1382" t="s">
        <v>2482</v>
      </c>
      <c r="G1382" t="s">
        <v>2467</v>
      </c>
      <c r="H1382" t="s">
        <v>1886</v>
      </c>
      <c r="I1382">
        <v>1487</v>
      </c>
      <c r="K1382" t="s">
        <v>3867</v>
      </c>
      <c r="L1382" t="str">
        <f t="shared" si="167"/>
        <v>"id":"s1364",</v>
      </c>
      <c r="M1382" t="str">
        <v>"cate":"IC",</v>
      </c>
      <c r="N1382" t="str">
        <v>"des":"IC TS2431AILT",</v>
      </c>
      <c r="O1382" t="str">
        <v>"mfg":"STMICROELECTRONICS",</v>
      </c>
      <c r="P1382" t="str">
        <v>"pn":"TS2431AILT",</v>
      </c>
      <c r="Q1382" t="str">
        <v>"qty":1519</v>
      </c>
      <c r="S1382" t="s">
        <v>2498</v>
      </c>
      <c r="T1382" t="str">
        <f t="shared" si="168"/>
        <v>"id":"s1364","cate":"IC","des":"IC TS2431AILT","mfg":"STMICROELECTRONICS","pn":"TS2431AILT","qty":1519</v>
      </c>
      <c r="U1382" t="s">
        <v>2503</v>
      </c>
    </row>
    <row r="1383" spans="5:21" x14ac:dyDescent="0.25">
      <c r="E1383" t="s">
        <v>2193</v>
      </c>
      <c r="F1383" t="s">
        <v>1887</v>
      </c>
      <c r="G1383" t="s">
        <v>13</v>
      </c>
      <c r="H1383" t="s">
        <v>1888</v>
      </c>
      <c r="I1383">
        <v>1481</v>
      </c>
      <c r="K1383" t="s">
        <v>3868</v>
      </c>
      <c r="L1383" t="str">
        <f t="shared" si="167"/>
        <v>"id":"s1365",</v>
      </c>
      <c r="M1383" t="str">
        <v>"cate":"Diode",</v>
      </c>
      <c r="N1383" t="str">
        <v>"des":"DiodeE BAT54ALT1G",</v>
      </c>
      <c r="O1383" t="str">
        <v>"mfg":"ON SEMICONDUCTOR",</v>
      </c>
      <c r="P1383" t="str">
        <v>"pn":"BAT54ALT1G",</v>
      </c>
      <c r="Q1383" t="str">
        <v>"qty":1517</v>
      </c>
      <c r="S1383" t="s">
        <v>2498</v>
      </c>
      <c r="T1383" t="str">
        <f t="shared" si="168"/>
        <v>"id":"s1365","cate":"Diode","des":"DiodeE BAT54ALT1G","mfg":"ON SEMICONDUCTOR","pn":"BAT54ALT1G","qty":1517</v>
      </c>
      <c r="U1383" t="s">
        <v>2503</v>
      </c>
    </row>
    <row r="1384" spans="5:21" x14ac:dyDescent="0.25">
      <c r="E1384" t="s">
        <v>2194</v>
      </c>
      <c r="F1384" t="s">
        <v>2354</v>
      </c>
      <c r="G1384" t="s">
        <v>249</v>
      </c>
      <c r="H1384" t="s">
        <v>1889</v>
      </c>
      <c r="I1384">
        <v>1452</v>
      </c>
      <c r="K1384" t="s">
        <v>3869</v>
      </c>
      <c r="L1384" t="str">
        <f t="shared" si="167"/>
        <v>"id":"s1366",</v>
      </c>
      <c r="M1384" t="str">
        <v>"cate":"Capacitor",</v>
      </c>
      <c r="N1384" t="str">
        <v>"des":"Capacitor 10UF/16V 10%",</v>
      </c>
      <c r="O1384" t="str">
        <v>"mfg":"YAGEO",</v>
      </c>
      <c r="P1384" t="str">
        <v>"pn":"CC1206KKX7R7BB106",</v>
      </c>
      <c r="Q1384" t="str">
        <v>"qty":1512</v>
      </c>
      <c r="S1384" t="s">
        <v>2498</v>
      </c>
      <c r="T1384" t="str">
        <f t="shared" si="168"/>
        <v>"id":"s1366","cate":"Capacitor","des":"Capacitor 10UF/16V 10%","mfg":"YAGEO","pn":"CC1206KKX7R7BB106","qty":1512</v>
      </c>
      <c r="U1384" t="s">
        <v>2503</v>
      </c>
    </row>
    <row r="1385" spans="5:21" x14ac:dyDescent="0.25">
      <c r="E1385" t="s">
        <v>2194</v>
      </c>
      <c r="F1385" t="s">
        <v>2354</v>
      </c>
      <c r="G1385" t="s">
        <v>1205</v>
      </c>
      <c r="H1385" t="s">
        <v>1890</v>
      </c>
      <c r="I1385">
        <v>1452</v>
      </c>
      <c r="K1385" t="s">
        <v>3870</v>
      </c>
      <c r="L1385" t="str">
        <f t="shared" si="167"/>
        <v>"id":"s1367",</v>
      </c>
      <c r="M1385" t="str">
        <v>"cate":"Capacitor",</v>
      </c>
      <c r="N1385" t="str">
        <v>"des":"Capacitor 10UF/16V 10%",</v>
      </c>
      <c r="O1385" t="str">
        <v>"mfg":"SAMSUNG",</v>
      </c>
      <c r="P1385" t="str">
        <v>"pn":"CL31B106KOHNNNE",</v>
      </c>
      <c r="Q1385" t="str">
        <v>"qty":1512</v>
      </c>
      <c r="S1385" t="s">
        <v>2498</v>
      </c>
      <c r="T1385" t="str">
        <f t="shared" si="168"/>
        <v>"id":"s1367","cate":"Capacitor","des":"Capacitor 10UF/16V 10%","mfg":"SAMSUNG","pn":"CL31B106KOHNNNE","qty":1512</v>
      </c>
      <c r="U1385" t="s">
        <v>2503</v>
      </c>
    </row>
    <row r="1386" spans="5:21" x14ac:dyDescent="0.25">
      <c r="E1386" t="s">
        <v>2194</v>
      </c>
      <c r="F1386" t="s">
        <v>2354</v>
      </c>
      <c r="G1386" t="s">
        <v>1593</v>
      </c>
      <c r="H1386" t="s">
        <v>1891</v>
      </c>
      <c r="I1386">
        <v>1452</v>
      </c>
      <c r="K1386" t="s">
        <v>3871</v>
      </c>
      <c r="L1386" t="str">
        <f t="shared" si="167"/>
        <v>"id":"s1368",</v>
      </c>
      <c r="M1386" t="str">
        <v>"cate":"Capacitor",</v>
      </c>
      <c r="N1386" t="str">
        <v>"des":"Capacitor 10UF/16V 10%",</v>
      </c>
      <c r="O1386" t="str">
        <v>"mfg":"TDK",</v>
      </c>
      <c r="P1386" t="str">
        <v>"pn":"CGA5L1X7R1C106K160AC",</v>
      </c>
      <c r="Q1386" t="str">
        <v>"qty":1512</v>
      </c>
      <c r="S1386" t="s">
        <v>2498</v>
      </c>
      <c r="T1386" t="str">
        <f t="shared" si="168"/>
        <v>"id":"s1368","cate":"Capacitor","des":"Capacitor 10UF/16V 10%","mfg":"TDK","pn":"CGA5L1X7R1C106K160AC","qty":1512</v>
      </c>
      <c r="U1386" t="s">
        <v>2503</v>
      </c>
    </row>
    <row r="1387" spans="5:21" x14ac:dyDescent="0.25">
      <c r="E1387" t="s">
        <v>2194</v>
      </c>
      <c r="F1387" t="s">
        <v>2355</v>
      </c>
      <c r="G1387" t="s">
        <v>123</v>
      </c>
      <c r="H1387" t="s">
        <v>1892</v>
      </c>
      <c r="I1387">
        <v>1446</v>
      </c>
      <c r="K1387" t="s">
        <v>3872</v>
      </c>
      <c r="L1387" t="str">
        <f t="shared" si="167"/>
        <v>"id":"s1369",</v>
      </c>
      <c r="M1387" t="str">
        <v>"cate":"Capacitor",</v>
      </c>
      <c r="N1387" t="str">
        <v>"des":"Capacitor 10UF/16V 10%",</v>
      </c>
      <c r="O1387" t="str">
        <v>"mfg":"WALSIN",</v>
      </c>
      <c r="P1387" t="str">
        <v>"pn":"1206B106K160LT",</v>
      </c>
      <c r="Q1387" t="str">
        <v>"qty":1512</v>
      </c>
      <c r="S1387" t="s">
        <v>2498</v>
      </c>
      <c r="T1387" t="str">
        <f t="shared" si="168"/>
        <v>"id":"s1369","cate":"Capacitor","des":"Capacitor 10UF/16V 10%","mfg":"WALSIN","pn":"1206B106K160LT","qty":1512</v>
      </c>
      <c r="U1387" t="s">
        <v>2503</v>
      </c>
    </row>
    <row r="1388" spans="5:21" x14ac:dyDescent="0.25">
      <c r="E1388" t="s">
        <v>2123</v>
      </c>
      <c r="F1388" t="s">
        <v>1893</v>
      </c>
      <c r="G1388" t="s">
        <v>184</v>
      </c>
      <c r="H1388" t="s">
        <v>1894</v>
      </c>
      <c r="I1388">
        <v>1432</v>
      </c>
      <c r="K1388" t="s">
        <v>3873</v>
      </c>
      <c r="L1388" t="str">
        <f t="shared" si="167"/>
        <v>"id":"s1370",</v>
      </c>
      <c r="M1388" t="str">
        <v>"cate":"Diode",</v>
      </c>
      <c r="N1388" t="str">
        <v>"des":"DiodeE 30A 600V TH",</v>
      </c>
      <c r="O1388" t="str">
        <v>"mfg":"IXYS",</v>
      </c>
      <c r="P1388" t="str">
        <v>"pn":"DSEC30-06B",</v>
      </c>
      <c r="Q1388" t="str">
        <v>"qty":1507</v>
      </c>
      <c r="S1388" t="s">
        <v>2498</v>
      </c>
      <c r="T1388" t="str">
        <f t="shared" si="168"/>
        <v>"id":"s1370","cate":"Diode","des":"DiodeE 30A 600V TH","mfg":"IXYS","pn":"DSEC30-06B","qty":1507</v>
      </c>
      <c r="U1388" t="s">
        <v>2503</v>
      </c>
    </row>
    <row r="1389" spans="5:21" x14ac:dyDescent="0.25">
      <c r="E1389" t="s">
        <v>2194</v>
      </c>
      <c r="F1389" t="s">
        <v>2356</v>
      </c>
      <c r="G1389" t="s">
        <v>13</v>
      </c>
      <c r="H1389" t="s">
        <v>1895</v>
      </c>
      <c r="I1389">
        <v>1419</v>
      </c>
      <c r="K1389" t="s">
        <v>3874</v>
      </c>
      <c r="L1389" t="str">
        <f t="shared" si="167"/>
        <v>"id":"s1371",</v>
      </c>
      <c r="M1389" t="str">
        <v>"cate":"Diode",</v>
      </c>
      <c r="N1389" t="str">
        <v>"des":"DiodeE 30A 600V TH",</v>
      </c>
      <c r="O1389" t="str">
        <v>"mfg":"STMICROELECTRONICS",</v>
      </c>
      <c r="P1389" t="str">
        <v>"pn":"STTH30R06CW",</v>
      </c>
      <c r="Q1389" t="str">
        <v>"qty":1507</v>
      </c>
      <c r="S1389" t="s">
        <v>2498</v>
      </c>
      <c r="T1389" t="str">
        <f t="shared" si="168"/>
        <v>"id":"s1371","cate":"Diode","des":"DiodeE 30A 600V TH","mfg":"STMICROELECTRONICS","pn":"STTH30R06CW","qty":1507</v>
      </c>
      <c r="U1389" t="s">
        <v>2503</v>
      </c>
    </row>
    <row r="1390" spans="5:21" x14ac:dyDescent="0.25">
      <c r="E1390" s="6" t="s">
        <v>2149</v>
      </c>
      <c r="F1390" t="s">
        <v>1896</v>
      </c>
      <c r="G1390" t="s">
        <v>64</v>
      </c>
      <c r="H1390" t="s">
        <v>1897</v>
      </c>
      <c r="I1390">
        <v>1417</v>
      </c>
      <c r="K1390" t="s">
        <v>3875</v>
      </c>
      <c r="L1390" t="str">
        <f t="shared" si="167"/>
        <v>"id":"s1372",</v>
      </c>
      <c r="M1390" t="str">
        <v>"cate":"Capacitor",</v>
      </c>
      <c r="N1390" t="str">
        <v>"des":"Capacitor 220NF/3000V-2",</v>
      </c>
      <c r="O1390" t="str">
        <v>"mfg":"EPCOS/TDK",</v>
      </c>
      <c r="P1390" t="str">
        <v>"pn":"B32023A3224M",</v>
      </c>
      <c r="Q1390" t="str">
        <v>"qty":1495</v>
      </c>
      <c r="S1390" t="s">
        <v>2498</v>
      </c>
      <c r="T1390" t="str">
        <f t="shared" si="168"/>
        <v>"id":"s1372","cate":"Capacitor","des":"Capacitor 220NF/3000V-2","mfg":"EPCOS/TDK","pn":"B32023A3224M","qty":1495</v>
      </c>
      <c r="U1390" t="s">
        <v>2503</v>
      </c>
    </row>
    <row r="1391" spans="5:21" x14ac:dyDescent="0.25">
      <c r="E1391" s="6" t="s">
        <v>2149</v>
      </c>
      <c r="F1391" t="s">
        <v>1896</v>
      </c>
      <c r="G1391" t="s">
        <v>64</v>
      </c>
      <c r="H1391" t="s">
        <v>1898</v>
      </c>
      <c r="I1391">
        <v>1417</v>
      </c>
      <c r="K1391" t="s">
        <v>3876</v>
      </c>
      <c r="L1391" t="str">
        <f t="shared" si="167"/>
        <v>"id":"s1373",</v>
      </c>
      <c r="M1391" t="str">
        <v>"cate":"Capacitor",</v>
      </c>
      <c r="N1391" t="str">
        <v>"des":"Capacitor 220NF/3000V-2",</v>
      </c>
      <c r="O1391" t="str">
        <v>"mfg":"EPCOS/TDK",</v>
      </c>
      <c r="P1391" t="str">
        <v>"pn":"B32023A3224M000",</v>
      </c>
      <c r="Q1391" t="str">
        <v>"qty":1495</v>
      </c>
      <c r="S1391" t="s">
        <v>2498</v>
      </c>
      <c r="T1391" t="str">
        <f t="shared" si="168"/>
        <v>"id":"s1373","cate":"Capacitor","des":"Capacitor 220NF/3000V-2","mfg":"EPCOS/TDK","pn":"B32023A3224M000","qty":1495</v>
      </c>
      <c r="U1391" t="s">
        <v>2503</v>
      </c>
    </row>
    <row r="1392" spans="5:21" x14ac:dyDescent="0.25">
      <c r="E1392" s="6" t="s">
        <v>2149</v>
      </c>
      <c r="F1392" t="s">
        <v>1896</v>
      </c>
      <c r="G1392" t="s">
        <v>64</v>
      </c>
      <c r="H1392" t="s">
        <v>1899</v>
      </c>
      <c r="I1392">
        <v>1417</v>
      </c>
      <c r="K1392" t="s">
        <v>3877</v>
      </c>
      <c r="L1392" t="str">
        <f t="shared" si="167"/>
        <v>"id":"s1374",</v>
      </c>
      <c r="M1392" t="str">
        <v>"cate":"Capacitor",</v>
      </c>
      <c r="N1392" t="str">
        <v>"des":"Capacitor 220NF/3000V-2",</v>
      </c>
      <c r="O1392" t="str">
        <v>"mfg":"FARATRONIC",</v>
      </c>
      <c r="P1392" t="str">
        <v>"pn":"C43Q1224M9SC000",</v>
      </c>
      <c r="Q1392" t="str">
        <v>"qty":1495</v>
      </c>
      <c r="S1392" t="s">
        <v>2498</v>
      </c>
      <c r="T1392" t="str">
        <f t="shared" si="168"/>
        <v>"id":"s1374","cate":"Capacitor","des":"Capacitor 220NF/3000V-2","mfg":"FARATRONIC","pn":"C43Q1224M9SC000","qty":1495</v>
      </c>
      <c r="U1392" t="s">
        <v>2503</v>
      </c>
    </row>
    <row r="1393" spans="5:21" x14ac:dyDescent="0.25">
      <c r="E1393" t="s">
        <v>2193</v>
      </c>
      <c r="F1393" t="s">
        <v>1900</v>
      </c>
      <c r="G1393" t="s">
        <v>320</v>
      </c>
      <c r="H1393" t="s">
        <v>1901</v>
      </c>
      <c r="I1393">
        <v>1414</v>
      </c>
      <c r="K1393" t="s">
        <v>3878</v>
      </c>
      <c r="L1393" t="str">
        <f t="shared" si="167"/>
        <v>"id":"s1375",</v>
      </c>
      <c r="M1393" t="str">
        <v>"cate":"Capacitor",</v>
      </c>
      <c r="N1393" t="str">
        <v>"des":"Capacitor 220NF/3000V-2",</v>
      </c>
      <c r="O1393" t="str">
        <v>"mfg":"FARATRONIC",</v>
      </c>
      <c r="P1393" t="str">
        <v>"pn":"C43Q1224M9S000",</v>
      </c>
      <c r="Q1393" t="str">
        <v>"qty":1495</v>
      </c>
      <c r="S1393" t="s">
        <v>2498</v>
      </c>
      <c r="T1393" t="str">
        <f t="shared" si="168"/>
        <v>"id":"s1375","cate":"Capacitor","des":"Capacitor 220NF/3000V-2","mfg":"FARATRONIC","pn":"C43Q1224M9S000","qty":1495</v>
      </c>
      <c r="U1393" t="s">
        <v>2503</v>
      </c>
    </row>
    <row r="1394" spans="5:21" x14ac:dyDescent="0.25">
      <c r="E1394" s="6" t="s">
        <v>2495</v>
      </c>
      <c r="F1394" t="s">
        <v>1902</v>
      </c>
      <c r="G1394" t="s">
        <v>160</v>
      </c>
      <c r="H1394" t="s">
        <v>1903</v>
      </c>
      <c r="I1394">
        <v>1413</v>
      </c>
      <c r="K1394" t="s">
        <v>3879</v>
      </c>
      <c r="L1394" t="str">
        <f t="shared" si="167"/>
        <v>"id":"s1376",</v>
      </c>
      <c r="M1394" t="str">
        <v>"cate":"MOSFET",</v>
      </c>
      <c r="N1394" t="str">
        <v>"des":"MOSFETET 60V 0,3A SMD",</v>
      </c>
      <c r="O1394" t="str">
        <v>"mfg":"VISHAY",</v>
      </c>
      <c r="P1394" t="str">
        <v>"pn":"2N7002K-T1-E3",</v>
      </c>
      <c r="Q1394" t="str">
        <v>"qty":1487</v>
      </c>
      <c r="S1394" t="s">
        <v>2498</v>
      </c>
      <c r="T1394" t="str">
        <f t="shared" si="168"/>
        <v>"id":"s1376","cate":"MOSFET","des":"MOSFETET 60V 0,3A SMD","mfg":"VISHAY","pn":"2N7002K-T1-E3","qty":1487</v>
      </c>
      <c r="U1394" t="s">
        <v>2503</v>
      </c>
    </row>
    <row r="1395" spans="5:21" x14ac:dyDescent="0.25">
      <c r="E1395" t="s">
        <v>2179</v>
      </c>
      <c r="F1395" t="s">
        <v>1904</v>
      </c>
      <c r="G1395" t="s">
        <v>1905</v>
      </c>
      <c r="H1395" t="s">
        <v>1906</v>
      </c>
      <c r="I1395">
        <v>1412</v>
      </c>
      <c r="K1395" t="s">
        <v>3880</v>
      </c>
      <c r="L1395" t="str">
        <f t="shared" si="167"/>
        <v>"id":"s1377",</v>
      </c>
      <c r="M1395" t="str">
        <v>"cate":"MOSFET",</v>
      </c>
      <c r="N1395" t="str">
        <v>"des":"MOSFETET 60V 0,3A SMD",</v>
      </c>
      <c r="O1395" t="str">
        <v>"mfg":"DiodeES INC.",</v>
      </c>
      <c r="P1395" t="str">
        <v>"pn":"2N7002-7-F",</v>
      </c>
      <c r="Q1395" t="str">
        <v>"qty":1487</v>
      </c>
      <c r="S1395" t="s">
        <v>2498</v>
      </c>
      <c r="T1395" t="str">
        <f t="shared" si="168"/>
        <v>"id":"s1377","cate":"MOSFET","des":"MOSFETET 60V 0,3A SMD","mfg":"DiodeES INC.","pn":"2N7002-7-F","qty":1487</v>
      </c>
      <c r="U1395" t="s">
        <v>2503</v>
      </c>
    </row>
    <row r="1396" spans="5:21" x14ac:dyDescent="0.25">
      <c r="E1396" t="s">
        <v>2179</v>
      </c>
      <c r="F1396" t="s">
        <v>1904</v>
      </c>
      <c r="G1396" t="s">
        <v>1171</v>
      </c>
      <c r="H1396" t="s">
        <v>1907</v>
      </c>
      <c r="I1396">
        <v>1412</v>
      </c>
      <c r="K1396" t="s">
        <v>3881</v>
      </c>
      <c r="L1396" t="str">
        <f t="shared" si="167"/>
        <v>"id":"s1378",</v>
      </c>
      <c r="M1396" t="str">
        <v>"cate":"Resistor ",</v>
      </c>
      <c r="N1396" t="str">
        <v>"des":"RST 1K2 0,1W 1%603",</v>
      </c>
      <c r="O1396" t="str">
        <v>"mfg":"YAGEO",</v>
      </c>
      <c r="P1396" t="str">
        <v>"pn":"RC0603FR-071K2L",</v>
      </c>
      <c r="Q1396" t="str">
        <v>"qty":1481</v>
      </c>
      <c r="S1396" t="s">
        <v>2498</v>
      </c>
      <c r="T1396" t="str">
        <f t="shared" si="168"/>
        <v>"id":"s1378","cate":"Resistor ","des":"RST 1K2 0,1W 1%603","mfg":"YAGEO","pn":"RC0603FR-071K2L","qty":1481</v>
      </c>
      <c r="U1396" t="s">
        <v>2503</v>
      </c>
    </row>
    <row r="1397" spans="5:21" x14ac:dyDescent="0.25">
      <c r="E1397" t="s">
        <v>2179</v>
      </c>
      <c r="F1397" t="s">
        <v>1904</v>
      </c>
      <c r="G1397" t="s">
        <v>1908</v>
      </c>
      <c r="H1397" t="s">
        <v>1909</v>
      </c>
      <c r="I1397">
        <v>1412</v>
      </c>
      <c r="K1397" t="s">
        <v>3882</v>
      </c>
      <c r="L1397" t="str">
        <f t="shared" si="167"/>
        <v>"id":"s1379",</v>
      </c>
      <c r="M1397" t="str">
        <v>"cate":"Capacitor",</v>
      </c>
      <c r="N1397" t="str">
        <v>"des":"Capacitor 470UF 25V TH",</v>
      </c>
      <c r="O1397" t="str">
        <v>"mfg":"NICHICON",</v>
      </c>
      <c r="P1397" t="str">
        <v>"pn":"UHE1E471MPD",</v>
      </c>
      <c r="Q1397" t="str">
        <v>"qty":1452</v>
      </c>
      <c r="S1397" t="s">
        <v>2498</v>
      </c>
      <c r="T1397" t="str">
        <f t="shared" si="168"/>
        <v>"id":"s1379","cate":"Capacitor","des":"Capacitor 470UF 25V TH","mfg":"NICHICON","pn":"UHE1E471MPD","qty":1452</v>
      </c>
      <c r="U1397" t="s">
        <v>2503</v>
      </c>
    </row>
    <row r="1398" spans="5:21" x14ac:dyDescent="0.25">
      <c r="E1398" t="s">
        <v>2180</v>
      </c>
      <c r="F1398" t="s">
        <v>1910</v>
      </c>
      <c r="G1398" t="s">
        <v>1911</v>
      </c>
      <c r="H1398" t="s">
        <v>1910</v>
      </c>
      <c r="I1398">
        <v>1406</v>
      </c>
      <c r="K1398" t="s">
        <v>3883</v>
      </c>
      <c r="L1398" t="str">
        <f t="shared" si="167"/>
        <v>"id":"s1380",</v>
      </c>
      <c r="M1398" t="str">
        <v>"cate":"Capacitor",</v>
      </c>
      <c r="N1398" t="str">
        <v>"des":"Capacitor 470UF 25V TH",</v>
      </c>
      <c r="O1398" t="str">
        <v>"mfg":"NIPPON CHEMI-CON",</v>
      </c>
      <c r="P1398" t="str">
        <v>"pn":"EKY-250E 471MH20D",</v>
      </c>
      <c r="Q1398" t="str">
        <v>"qty":1452</v>
      </c>
      <c r="S1398" t="s">
        <v>2498</v>
      </c>
      <c r="T1398" t="str">
        <f t="shared" si="168"/>
        <v>"id":"s1380","cate":"Capacitor","des":"Capacitor 470UF 25V TH","mfg":"NIPPON CHEMI-CON","pn":"EKY-250E 471MH20D","qty":1452</v>
      </c>
      <c r="U1398" t="s">
        <v>2503</v>
      </c>
    </row>
    <row r="1399" spans="5:21" x14ac:dyDescent="0.25">
      <c r="E1399" t="s">
        <v>2180</v>
      </c>
      <c r="F1399" t="s">
        <v>1910</v>
      </c>
      <c r="G1399" t="s">
        <v>1911</v>
      </c>
      <c r="H1399" t="s">
        <v>1912</v>
      </c>
      <c r="I1399">
        <v>1406</v>
      </c>
      <c r="K1399" t="s">
        <v>3884</v>
      </c>
      <c r="L1399" t="str">
        <f t="shared" si="167"/>
        <v>"id":"s1381",</v>
      </c>
      <c r="M1399" t="str">
        <v>"cate":"Capacitor",</v>
      </c>
      <c r="N1399" t="str">
        <v>"des":"Capacitor 470UF 25V TH",</v>
      </c>
      <c r="O1399" t="str">
        <v>"mfg":"RUBYCON",</v>
      </c>
      <c r="P1399" t="str">
        <v>"pn":"25YXH470MEFCT78X20",</v>
      </c>
      <c r="Q1399" t="str">
        <v>"qty":1452</v>
      </c>
      <c r="S1399" t="s">
        <v>2498</v>
      </c>
      <c r="T1399" t="str">
        <f t="shared" si="168"/>
        <v>"id":"s1381","cate":"Capacitor","des":"Capacitor 470UF 25V TH","mfg":"RUBYCON","pn":"25YXH470MEFCT78X20","qty":1452</v>
      </c>
      <c r="U1399" t="s">
        <v>2503</v>
      </c>
    </row>
    <row r="1400" spans="5:21" x14ac:dyDescent="0.25">
      <c r="E1400" t="s">
        <v>2180</v>
      </c>
      <c r="F1400" t="s">
        <v>1910</v>
      </c>
      <c r="G1400" t="s">
        <v>1911</v>
      </c>
      <c r="H1400" t="s">
        <v>1913</v>
      </c>
      <c r="I1400">
        <v>1406</v>
      </c>
      <c r="K1400" t="s">
        <v>3885</v>
      </c>
      <c r="L1400" t="str">
        <f t="shared" si="167"/>
        <v>"id":"s1382",</v>
      </c>
      <c r="M1400" t="str">
        <v>"cate":"Capacitor",</v>
      </c>
      <c r="N1400" t="str">
        <v>"des":"Capacitor 330PF/1600VDC",</v>
      </c>
      <c r="O1400" t="str">
        <v>"mfg":"WIMA",</v>
      </c>
      <c r="P1400" t="str">
        <v>"pn":"FKP1T003304B00KSSD",</v>
      </c>
      <c r="Q1400" t="str">
        <v>"qty":1446</v>
      </c>
      <c r="S1400" t="s">
        <v>2498</v>
      </c>
      <c r="T1400" t="str">
        <f t="shared" si="168"/>
        <v>"id":"s1382","cate":"Capacitor","des":"Capacitor 330PF/1600VDC","mfg":"WIMA","pn":"FKP1T003304B00KSSD","qty":1446</v>
      </c>
      <c r="U1400" t="s">
        <v>2503</v>
      </c>
    </row>
    <row r="1401" spans="5:21" x14ac:dyDescent="0.25">
      <c r="E1401" t="s">
        <v>2123</v>
      </c>
      <c r="F1401" t="s">
        <v>1914</v>
      </c>
      <c r="G1401" t="s">
        <v>130</v>
      </c>
      <c r="H1401" t="s">
        <v>1915</v>
      </c>
      <c r="I1401">
        <v>1406</v>
      </c>
      <c r="K1401" t="s">
        <v>3886</v>
      </c>
      <c r="L1401" t="str">
        <f t="shared" si="167"/>
        <v>"id":"s1383",</v>
      </c>
      <c r="M1401" t="str">
        <v>"cate":"LED ",</v>
      </c>
      <c r="N1401" t="str">
        <v>"des":"LED GREEN 0805",</v>
      </c>
      <c r="O1401" t="str">
        <v>"mfg":"WURTH ELEKTRONIK",</v>
      </c>
      <c r="P1401" t="str">
        <v>"pn":"150080GS75000",</v>
      </c>
      <c r="Q1401" t="str">
        <v>"qty":1432</v>
      </c>
      <c r="S1401" t="s">
        <v>2498</v>
      </c>
      <c r="T1401" t="str">
        <f t="shared" si="168"/>
        <v>"id":"s1383","cate":"LED ","des":"LED GREEN 0805","mfg":"WURTH ELEKTRONIK","pn":"150080GS75000","qty":1432</v>
      </c>
      <c r="U1401" t="s">
        <v>2503</v>
      </c>
    </row>
    <row r="1402" spans="5:21" x14ac:dyDescent="0.25">
      <c r="E1402" t="s">
        <v>2123</v>
      </c>
      <c r="F1402" t="s">
        <v>1914</v>
      </c>
      <c r="G1402" t="s">
        <v>130</v>
      </c>
      <c r="H1402" t="s">
        <v>1916</v>
      </c>
      <c r="I1402">
        <v>1406</v>
      </c>
      <c r="K1402" t="s">
        <v>3887</v>
      </c>
      <c r="L1402" t="str">
        <f t="shared" si="167"/>
        <v>"id":"s1384",</v>
      </c>
      <c r="M1402" t="str">
        <v>"cate":"Capacitor",</v>
      </c>
      <c r="N1402" t="str">
        <v>"des":"Capacitor 100NF/16V 0402",</v>
      </c>
      <c r="O1402" t="str">
        <v>"mfg":"YAGEO",</v>
      </c>
      <c r="P1402" t="str">
        <v>"pn":"CC0402KRX7R7BB104",</v>
      </c>
      <c r="Q1402" t="str">
        <v>"qty":1419</v>
      </c>
      <c r="S1402" t="s">
        <v>2498</v>
      </c>
      <c r="T1402" t="str">
        <f t="shared" si="168"/>
        <v>"id":"s1384","cate":"Capacitor","des":"Capacitor 100NF/16V 0402","mfg":"YAGEO","pn":"CC0402KRX7R7BB104","qty":1419</v>
      </c>
      <c r="U1402" t="s">
        <v>2503</v>
      </c>
    </row>
    <row r="1403" spans="5:21" x14ac:dyDescent="0.25">
      <c r="E1403" t="s">
        <v>2123</v>
      </c>
      <c r="F1403" t="s">
        <v>1914</v>
      </c>
      <c r="G1403" t="s">
        <v>130</v>
      </c>
      <c r="H1403" t="s">
        <v>1917</v>
      </c>
      <c r="I1403">
        <v>1406</v>
      </c>
      <c r="K1403" t="s">
        <v>3888</v>
      </c>
      <c r="L1403" t="str">
        <f t="shared" si="167"/>
        <v>"id":"s1385",</v>
      </c>
      <c r="M1403" t="str">
        <v>"cate":"XTAL",</v>
      </c>
      <c r="N1403" t="str">
        <v>"des":"CRYSTAL 32MHZ 6PF",</v>
      </c>
      <c r="O1403" t="str">
        <v>"mfg":"MURATA MANUFACTURING",</v>
      </c>
      <c r="P1403" t="str">
        <v>"pn":"XRCGB32M000F1H19R0",</v>
      </c>
      <c r="Q1403" t="str">
        <v>"qty":1417</v>
      </c>
      <c r="S1403" t="s">
        <v>2498</v>
      </c>
      <c r="T1403" t="str">
        <f t="shared" si="168"/>
        <v>"id":"s1385","cate":"XTAL","des":"CRYSTAL 32MHZ 6PF","mfg":"MURATA MANUFACTURING","pn":"XRCGB32M000F1H19R0","qty":1417</v>
      </c>
      <c r="U1403" t="s">
        <v>2503</v>
      </c>
    </row>
    <row r="1404" spans="5:21" x14ac:dyDescent="0.25">
      <c r="E1404" t="s">
        <v>2123</v>
      </c>
      <c r="F1404" t="s">
        <v>1914</v>
      </c>
      <c r="G1404" t="s">
        <v>132</v>
      </c>
      <c r="H1404" t="s">
        <v>1918</v>
      </c>
      <c r="I1404">
        <v>1406</v>
      </c>
      <c r="K1404" t="s">
        <v>3889</v>
      </c>
      <c r="L1404" t="str">
        <f t="shared" si="167"/>
        <v>"id":"s1386",</v>
      </c>
      <c r="M1404" t="str">
        <v>"cate":"XTAL",</v>
      </c>
      <c r="N1404" t="str">
        <v>"des":"CRYSTAL 32MHZ 6PF",</v>
      </c>
      <c r="O1404" t="str">
        <v>"mfg":"MURATA MANUFACTURING",</v>
      </c>
      <c r="P1404" t="str">
        <v>"pn":"XRCGB32M000F1SBAR0",</v>
      </c>
      <c r="Q1404" t="str">
        <v>"qty":1417</v>
      </c>
      <c r="S1404" t="s">
        <v>2498</v>
      </c>
      <c r="T1404" t="str">
        <f t="shared" si="168"/>
        <v>"id":"s1386","cate":"XTAL","des":"CRYSTAL 32MHZ 6PF","mfg":"MURATA MANUFACTURING","pn":"XRCGB32M000F1SBAR0","qty":1417</v>
      </c>
      <c r="U1404" t="s">
        <v>2503</v>
      </c>
    </row>
    <row r="1405" spans="5:21" x14ac:dyDescent="0.25">
      <c r="E1405" t="s">
        <v>2193</v>
      </c>
      <c r="F1405" t="s">
        <v>1919</v>
      </c>
      <c r="G1405" t="s">
        <v>10</v>
      </c>
      <c r="H1405" t="s">
        <v>1920</v>
      </c>
      <c r="I1405">
        <v>1395</v>
      </c>
      <c r="K1405" t="s">
        <v>3890</v>
      </c>
      <c r="L1405" t="str">
        <f t="shared" si="167"/>
        <v>"id":"s1387",</v>
      </c>
      <c r="M1405" t="str">
        <v>"cate":"XTAL",</v>
      </c>
      <c r="N1405" t="str">
        <v>"des":"CRYSTAL 32MHZ 6PF",</v>
      </c>
      <c r="O1405" t="str">
        <v>"mfg":"MURATA MANUFACTURING",</v>
      </c>
      <c r="P1405" t="str">
        <v>"pn":"XRCGB32M000F1S1AR0",</v>
      </c>
      <c r="Q1405" t="str">
        <v>"qty":1417</v>
      </c>
      <c r="S1405" t="s">
        <v>2498</v>
      </c>
      <c r="T1405" t="str">
        <f t="shared" si="168"/>
        <v>"id":"s1387","cate":"XTAL","des":"CRYSTAL 32MHZ 6PF","mfg":"MURATA MANUFACTURING","pn":"XRCGB32M000F1S1AR0","qty":1417</v>
      </c>
      <c r="U1405" t="s">
        <v>2503</v>
      </c>
    </row>
    <row r="1406" spans="5:21" x14ac:dyDescent="0.25">
      <c r="E1406" t="s">
        <v>2193</v>
      </c>
      <c r="F1406" t="s">
        <v>1921</v>
      </c>
      <c r="G1406" t="s">
        <v>207</v>
      </c>
      <c r="H1406" t="s">
        <v>1922</v>
      </c>
      <c r="I1406">
        <v>1389</v>
      </c>
      <c r="K1406" t="s">
        <v>3891</v>
      </c>
      <c r="L1406" t="str">
        <f t="shared" si="167"/>
        <v>"id":"s1388",</v>
      </c>
      <c r="M1406" t="str">
        <v>"cate":"Resistor ",</v>
      </c>
      <c r="N1406" t="str">
        <v>"des":"RST 1,8K 0,1W 1%603",</v>
      </c>
      <c r="O1406" t="str">
        <v>"mfg":"ROYAL OHM",</v>
      </c>
      <c r="P1406" t="str">
        <v>"pn":"0603WAF1801T5E",</v>
      </c>
      <c r="Q1406" t="str">
        <v>"qty":1414</v>
      </c>
      <c r="S1406" t="s">
        <v>2498</v>
      </c>
      <c r="T1406" t="str">
        <f t="shared" si="168"/>
        <v>"id":"s1388","cate":"Resistor ","des":"RST 1,8K 0,1W 1%603","mfg":"ROYAL OHM","pn":"0603WAF1801T5E","qty":1414</v>
      </c>
      <c r="U1406" t="s">
        <v>2503</v>
      </c>
    </row>
    <row r="1407" spans="5:21" x14ac:dyDescent="0.25">
      <c r="E1407" s="6" t="s">
        <v>2488</v>
      </c>
      <c r="F1407" t="s">
        <v>1923</v>
      </c>
      <c r="G1407" t="s">
        <v>2467</v>
      </c>
      <c r="H1407" t="s">
        <v>1924</v>
      </c>
      <c r="I1407">
        <v>1387</v>
      </c>
      <c r="K1407" t="s">
        <v>3892</v>
      </c>
      <c r="L1407" t="str">
        <f t="shared" si="167"/>
        <v>"id":"s1389",</v>
      </c>
      <c r="M1407" t="str">
        <v>"cate":"Terminal",</v>
      </c>
      <c r="N1407" t="str">
        <v>"des":"CNT 85513-5114",</v>
      </c>
      <c r="O1407" t="str">
        <v>"mfg":"MOLEX",</v>
      </c>
      <c r="P1407" t="str">
        <v>"pn":"85513-5114",</v>
      </c>
      <c r="Q1407" t="str">
        <v>"qty":1413</v>
      </c>
      <c r="S1407" t="s">
        <v>2498</v>
      </c>
      <c r="T1407" t="str">
        <f t="shared" si="168"/>
        <v>"id":"s1389","cate":"Terminal","des":"CNT 85513-5114","mfg":"MOLEX","pn":"85513-5114","qty":1413</v>
      </c>
      <c r="U1407" t="s">
        <v>2503</v>
      </c>
    </row>
    <row r="1408" spans="5:21" x14ac:dyDescent="0.25">
      <c r="E1408" s="6" t="s">
        <v>2492</v>
      </c>
      <c r="F1408" t="s">
        <v>1925</v>
      </c>
      <c r="G1408" t="s">
        <v>1926</v>
      </c>
      <c r="H1408" s="6" t="s">
        <v>1927</v>
      </c>
      <c r="I1408">
        <v>1385</v>
      </c>
      <c r="K1408" t="s">
        <v>3893</v>
      </c>
      <c r="L1408" t="str">
        <f t="shared" si="167"/>
        <v>"id":"s1390",</v>
      </c>
      <c r="M1408" t="str">
        <v>"cate":"RELA",</v>
      </c>
      <c r="N1408" t="str">
        <v>"des":"RELAY 12V HF152 TH",</v>
      </c>
      <c r="O1408" t="str">
        <v>"mfg":"HONGFA",</v>
      </c>
      <c r="P1408" t="str">
        <v>"pn":"HF152FD/12-1HST",</v>
      </c>
      <c r="Q1408" t="str">
        <v>"qty":1412</v>
      </c>
      <c r="S1408" t="s">
        <v>2498</v>
      </c>
      <c r="T1408" t="str">
        <f t="shared" si="168"/>
        <v>"id":"s1390","cate":"RELA","des":"RELAY 12V HF152 TH","mfg":"HONGFA","pn":"HF152FD/12-1HST","qty":1412</v>
      </c>
      <c r="U1408" t="s">
        <v>2503</v>
      </c>
    </row>
    <row r="1409" spans="5:21" x14ac:dyDescent="0.25">
      <c r="E1409" t="s">
        <v>2405</v>
      </c>
      <c r="F1409" t="s">
        <v>2461</v>
      </c>
      <c r="G1409" t="s">
        <v>57</v>
      </c>
      <c r="H1409" t="s">
        <v>1928</v>
      </c>
      <c r="I1409">
        <v>1384</v>
      </c>
      <c r="K1409" t="s">
        <v>3894</v>
      </c>
      <c r="L1409" t="str">
        <f t="shared" si="167"/>
        <v>"id":"s1391",</v>
      </c>
      <c r="M1409" t="str">
        <v>"cate":"RELA",</v>
      </c>
      <c r="N1409" t="str">
        <v>"des":"RELAY 12V HF152 TH",</v>
      </c>
      <c r="O1409" t="str">
        <v>"mfg":"OMRON",</v>
      </c>
      <c r="P1409" t="str">
        <v>"pn":"G5LE -1A-4- ASI-CF-36-E-S",</v>
      </c>
      <c r="Q1409" t="str">
        <v>"qty":1412</v>
      </c>
      <c r="S1409" t="s">
        <v>2498</v>
      </c>
      <c r="T1409" t="str">
        <f t="shared" si="168"/>
        <v>"id":"s1391","cate":"RELA","des":"RELAY 12V HF152 TH","mfg":"OMRON","pn":"G5LE -1A-4- ASI-CF-36-E-S","qty":1412</v>
      </c>
      <c r="U1409" t="s">
        <v>2503</v>
      </c>
    </row>
    <row r="1410" spans="5:21" x14ac:dyDescent="0.25">
      <c r="E1410" t="s">
        <v>2405</v>
      </c>
      <c r="F1410" t="s">
        <v>2461</v>
      </c>
      <c r="G1410" t="s">
        <v>37</v>
      </c>
      <c r="H1410" t="s">
        <v>1929</v>
      </c>
      <c r="I1410">
        <v>1384</v>
      </c>
      <c r="K1410" t="s">
        <v>3895</v>
      </c>
      <c r="L1410" t="str">
        <f t="shared" si="167"/>
        <v>"id":"s1392",</v>
      </c>
      <c r="M1410" t="str">
        <v>"cate":"RELA",</v>
      </c>
      <c r="N1410" t="str">
        <v>"des":"RELAY 12V HF152 TH",</v>
      </c>
      <c r="O1410" t="str">
        <v>"mfg":"ZETTLER ELECTRON",</v>
      </c>
      <c r="P1410" t="str">
        <v>"pn":"AZ943-1AH-12DE",</v>
      </c>
      <c r="Q1410" t="str">
        <v>"qty":1412</v>
      </c>
      <c r="S1410" t="s">
        <v>2498</v>
      </c>
      <c r="T1410" t="str">
        <f t="shared" si="168"/>
        <v>"id":"s1392","cate":"RELA","des":"RELAY 12V HF152 TH","mfg":"ZETTLER ELECTRON","pn":"AZ943-1AH-12DE","qty":1412</v>
      </c>
      <c r="U1410" t="s">
        <v>2503</v>
      </c>
    </row>
    <row r="1411" spans="5:21" x14ac:dyDescent="0.25">
      <c r="E1411" t="s">
        <v>2194</v>
      </c>
      <c r="F1411" t="s">
        <v>2357</v>
      </c>
      <c r="G1411" t="s">
        <v>1208</v>
      </c>
      <c r="H1411" t="s">
        <v>1930</v>
      </c>
      <c r="I1411">
        <v>1367</v>
      </c>
      <c r="K1411" t="s">
        <v>3896</v>
      </c>
      <c r="L1411" t="str">
        <f t="shared" si="167"/>
        <v>"id":"s1393",</v>
      </c>
      <c r="M1411" t="str">
        <v>"cate":"CH-1",</v>
      </c>
      <c r="N1411" t="str">
        <v>"des":"CH-15X50-48",</v>
      </c>
      <c r="O1411" t="str">
        <v>"mfg":"ESSENTRA",</v>
      </c>
      <c r="P1411" t="str">
        <v>"pn":"CH-15X50-48",</v>
      </c>
      <c r="Q1411" t="str">
        <v>"qty":1406</v>
      </c>
      <c r="S1411" t="s">
        <v>2498</v>
      </c>
      <c r="T1411" t="str">
        <f t="shared" si="168"/>
        <v>"id":"s1393","cate":"CH-1","des":"CH-15X50-48","mfg":"ESSENTRA","pn":"CH-15X50-48","qty":1406</v>
      </c>
      <c r="U1411" t="s">
        <v>2503</v>
      </c>
    </row>
    <row r="1412" spans="5:21" x14ac:dyDescent="0.25">
      <c r="E1412" t="s">
        <v>2139</v>
      </c>
      <c r="F1412" t="s">
        <v>1931</v>
      </c>
      <c r="G1412" t="s">
        <v>37</v>
      </c>
      <c r="H1412" t="s">
        <v>1932</v>
      </c>
      <c r="I1412">
        <v>1357</v>
      </c>
      <c r="K1412" t="s">
        <v>3897</v>
      </c>
      <c r="L1412" t="str">
        <f t="shared" si="167"/>
        <v>"id":"s1394",</v>
      </c>
      <c r="M1412" t="str">
        <v>"cate":"CH-1",</v>
      </c>
      <c r="N1412" t="str">
        <v>"des":"CH-15X50-48",</v>
      </c>
      <c r="O1412" t="str">
        <v>"mfg":"ESSENTRA",</v>
      </c>
      <c r="P1412" t="str">
        <v>"pn":"CH-15X50-48 RICHCO",</v>
      </c>
      <c r="Q1412" t="str">
        <v>"qty":1406</v>
      </c>
      <c r="S1412" t="s">
        <v>2498</v>
      </c>
      <c r="T1412" t="str">
        <f t="shared" si="168"/>
        <v>"id":"s1394","cate":"CH-1","des":"CH-15X50-48","mfg":"ESSENTRA","pn":"CH-15X50-48 RICHCO","qty":1406</v>
      </c>
      <c r="U1412" t="s">
        <v>2503</v>
      </c>
    </row>
    <row r="1413" spans="5:21" x14ac:dyDescent="0.25">
      <c r="E1413" t="s">
        <v>2139</v>
      </c>
      <c r="F1413" t="s">
        <v>1931</v>
      </c>
      <c r="G1413" t="s">
        <v>2467</v>
      </c>
      <c r="H1413" t="s">
        <v>1570</v>
      </c>
      <c r="I1413">
        <v>1357</v>
      </c>
      <c r="K1413" t="s">
        <v>3898</v>
      </c>
      <c r="L1413" t="str">
        <f t="shared" si="167"/>
        <v>"id":"s1395",</v>
      </c>
      <c r="M1413" t="str">
        <v>"cate":"CH-1",</v>
      </c>
      <c r="N1413" t="str">
        <v>"des":"CH-15X50-48",</v>
      </c>
      <c r="O1413" t="str">
        <v>"mfg":"ESSENTRA",</v>
      </c>
      <c r="P1413" t="str">
        <v>"pn":"CH15X50-48",</v>
      </c>
      <c r="Q1413" t="str">
        <v>"qty":1406</v>
      </c>
      <c r="S1413" t="s">
        <v>2498</v>
      </c>
      <c r="T1413" t="str">
        <f t="shared" si="168"/>
        <v>"id":"s1395","cate":"CH-1","des":"CH-15X50-48","mfg":"ESSENTRA","pn":"CH15X50-48","qty":1406</v>
      </c>
      <c r="U1413" t="s">
        <v>2503</v>
      </c>
    </row>
    <row r="1414" spans="5:21" x14ac:dyDescent="0.25">
      <c r="E1414" t="s">
        <v>2139</v>
      </c>
      <c r="F1414" t="s">
        <v>1931</v>
      </c>
      <c r="G1414" t="s">
        <v>28</v>
      </c>
      <c r="H1414" t="s">
        <v>1569</v>
      </c>
      <c r="I1414">
        <v>1357</v>
      </c>
      <c r="K1414" t="s">
        <v>3899</v>
      </c>
      <c r="L1414" t="str">
        <f t="shared" si="167"/>
        <v>"id":"s1396",</v>
      </c>
      <c r="M1414" t="str">
        <v>"cate":"LED ",</v>
      </c>
      <c r="N1414" t="str">
        <v>"des":"LED SMD CL-GR 0603",</v>
      </c>
      <c r="O1414" t="str">
        <v>"mfg":"EVERLIGHT",</v>
      </c>
      <c r="P1414" t="str">
        <v>"pn":"19-217/GHC-YN1P2B18",</v>
      </c>
      <c r="Q1414" t="str">
        <v>"qty":1406</v>
      </c>
      <c r="S1414" t="s">
        <v>2498</v>
      </c>
      <c r="T1414" t="str">
        <f t="shared" si="168"/>
        <v>"id":"s1396","cate":"LED ","des":"LED SMD CL-GR 0603","mfg":"EVERLIGHT","pn":"19-217/GHC-YN1P2B18","qty":1406</v>
      </c>
      <c r="U1414" t="s">
        <v>2503</v>
      </c>
    </row>
    <row r="1415" spans="5:21" x14ac:dyDescent="0.25">
      <c r="E1415" t="s">
        <v>2139</v>
      </c>
      <c r="F1415" t="s">
        <v>1931</v>
      </c>
      <c r="G1415" t="s">
        <v>297</v>
      </c>
      <c r="H1415" t="s">
        <v>1569</v>
      </c>
      <c r="I1415">
        <v>1357</v>
      </c>
      <c r="K1415" t="s">
        <v>3900</v>
      </c>
      <c r="L1415" t="str">
        <f t="shared" si="167"/>
        <v>"id":"s1397",</v>
      </c>
      <c r="M1415" t="str">
        <v>"cate":"LED ",</v>
      </c>
      <c r="N1415" t="str">
        <v>"des":"LED SMD CL-GR 0603",</v>
      </c>
      <c r="O1415" t="str">
        <v>"mfg":"EVERLIGHT",</v>
      </c>
      <c r="P1415" t="str">
        <v>"pn":"19-217/GHC-YN1P2B18X/3T",</v>
      </c>
      <c r="Q1415" t="str">
        <v>"qty":1406</v>
      </c>
      <c r="S1415" t="s">
        <v>2498</v>
      </c>
      <c r="T1415" t="str">
        <f t="shared" si="168"/>
        <v>"id":"s1397","cate":"LED ","des":"LED SMD CL-GR 0603","mfg":"EVERLIGHT","pn":"19-217/GHC-YN1P2B18X/3T","qty":1406</v>
      </c>
      <c r="U1415" t="s">
        <v>2503</v>
      </c>
    </row>
    <row r="1416" spans="5:21" x14ac:dyDescent="0.25">
      <c r="E1416" t="s">
        <v>2139</v>
      </c>
      <c r="F1416" t="s">
        <v>1933</v>
      </c>
      <c r="G1416" t="s">
        <v>64</v>
      </c>
      <c r="H1416" t="s">
        <v>1934</v>
      </c>
      <c r="I1416">
        <v>1351</v>
      </c>
      <c r="K1416" t="s">
        <v>3901</v>
      </c>
      <c r="L1416" t="str">
        <f t="shared" si="167"/>
        <v>"id":"s1398",</v>
      </c>
      <c r="M1416" t="str">
        <v>"cate":"LED ",</v>
      </c>
      <c r="N1416" t="str">
        <v>"des":"LED SMD CL-GR 0603",</v>
      </c>
      <c r="O1416" t="str">
        <v>"mfg":"EVERLIGHT",</v>
      </c>
      <c r="P1416" t="str">
        <v>"pn":"19-217/GHC-YN1P2B18X/6T",</v>
      </c>
      <c r="Q1416" t="str">
        <v>"qty":1406</v>
      </c>
      <c r="S1416" t="s">
        <v>2498</v>
      </c>
      <c r="T1416" t="str">
        <f t="shared" si="168"/>
        <v>"id":"s1398","cate":"LED ","des":"LED SMD CL-GR 0603","mfg":"EVERLIGHT","pn":"19-217/GHC-YN1P2B18X/6T","qty":1406</v>
      </c>
      <c r="U1416" t="s">
        <v>2503</v>
      </c>
    </row>
    <row r="1417" spans="5:21" x14ac:dyDescent="0.25">
      <c r="E1417" t="s">
        <v>2139</v>
      </c>
      <c r="F1417" t="s">
        <v>1935</v>
      </c>
      <c r="G1417" t="s">
        <v>28</v>
      </c>
      <c r="H1417" t="s">
        <v>1936</v>
      </c>
      <c r="I1417">
        <v>1351</v>
      </c>
      <c r="K1417" t="s">
        <v>3902</v>
      </c>
      <c r="L1417" t="str">
        <f t="shared" si="167"/>
        <v>"id":"s1399",</v>
      </c>
      <c r="M1417" t="str">
        <v>"cate":"LED ",</v>
      </c>
      <c r="N1417" t="str">
        <v>"des":"LED SMD CL-GR 0603",</v>
      </c>
      <c r="O1417" t="str">
        <v>"mfg":"KINGBRIGHT",</v>
      </c>
      <c r="P1417" t="str">
        <v>"pn":"KPHM-1608CGCK",</v>
      </c>
      <c r="Q1417" t="str">
        <v>"qty":1406</v>
      </c>
      <c r="S1417" t="s">
        <v>2498</v>
      </c>
      <c r="T1417" t="str">
        <f t="shared" si="168"/>
        <v>"id":"s1399","cate":"LED ","des":"LED SMD CL-GR 0603","mfg":"KINGBRIGHT","pn":"KPHM-1608CGCK","qty":1406</v>
      </c>
      <c r="U1417" t="s">
        <v>2503</v>
      </c>
    </row>
    <row r="1418" spans="5:21" x14ac:dyDescent="0.25">
      <c r="E1418" t="s">
        <v>2139</v>
      </c>
      <c r="F1418" t="s">
        <v>1935</v>
      </c>
      <c r="G1418" t="s">
        <v>28</v>
      </c>
      <c r="H1418" t="s">
        <v>1451</v>
      </c>
      <c r="I1418">
        <v>1351</v>
      </c>
      <c r="K1418" t="s">
        <v>3903</v>
      </c>
      <c r="L1418" t="str">
        <f t="shared" si="167"/>
        <v>"id":"s1400",</v>
      </c>
      <c r="M1418" t="str">
        <v>"cate":"Resistor ",</v>
      </c>
      <c r="N1418" t="str">
        <v>"des":"RST 82 1/8W 5% 1206",</v>
      </c>
      <c r="O1418" t="str">
        <v>"mfg":"WALSIN",</v>
      </c>
      <c r="P1418" t="str">
        <v>"pn":"WR12X820JTL",</v>
      </c>
      <c r="Q1418" t="str">
        <v>"qty":1395</v>
      </c>
      <c r="S1418" t="s">
        <v>2498</v>
      </c>
      <c r="T1418" t="str">
        <f t="shared" si="168"/>
        <v>"id":"s1400","cate":"Resistor ","des":"RST 82 1/8W 5% 1206","mfg":"WALSIN","pn":"WR12X820JTL","qty":1395</v>
      </c>
      <c r="U1418" t="s">
        <v>2503</v>
      </c>
    </row>
    <row r="1419" spans="5:21" x14ac:dyDescent="0.25">
      <c r="E1419" s="6" t="s">
        <v>2489</v>
      </c>
      <c r="F1419" t="s">
        <v>1937</v>
      </c>
      <c r="G1419" t="s">
        <v>57</v>
      </c>
      <c r="H1419" t="s">
        <v>1938</v>
      </c>
      <c r="I1419">
        <v>1342</v>
      </c>
      <c r="K1419" t="s">
        <v>3904</v>
      </c>
      <c r="L1419" t="str">
        <f t="shared" si="167"/>
        <v>"id":"s1401",</v>
      </c>
      <c r="M1419" t="str">
        <v>"cate":"Resistor ",</v>
      </c>
      <c r="N1419" t="str">
        <v>"des":"RST 8,25K 1/8W1%805",</v>
      </c>
      <c r="O1419" t="str">
        <v>"mfg":"STACKPOLE ELECTRONICS INC",</v>
      </c>
      <c r="P1419" t="str">
        <v>"pn":"RMCF0805FT8K25",</v>
      </c>
      <c r="Q1419" t="str">
        <v>"qty":1389</v>
      </c>
      <c r="S1419" t="s">
        <v>2498</v>
      </c>
      <c r="T1419" t="str">
        <f t="shared" si="168"/>
        <v>"id":"s1401","cate":"Resistor ","des":"RST 8,25K 1/8W1%805","mfg":"STACKPOLE ELECTRONICS INC","pn":"RMCF0805FT8K25","qty":1389</v>
      </c>
      <c r="U1419" t="s">
        <v>2503</v>
      </c>
    </row>
    <row r="1420" spans="5:21" x14ac:dyDescent="0.25">
      <c r="E1420" s="6" t="s">
        <v>2489</v>
      </c>
      <c r="F1420" t="s">
        <v>1937</v>
      </c>
      <c r="G1420" t="s">
        <v>89</v>
      </c>
      <c r="H1420" t="s">
        <v>1939</v>
      </c>
      <c r="I1420">
        <v>1342</v>
      </c>
      <c r="K1420" t="s">
        <v>3905</v>
      </c>
      <c r="L1420" t="str">
        <f t="shared" si="167"/>
        <v>"id":"s1402",</v>
      </c>
      <c r="M1420" t="str">
        <v>"cate":"Transistor",</v>
      </c>
      <c r="N1420" t="str">
        <v>"des":"TRAN NPN 40V SOT223",</v>
      </c>
      <c r="O1420" t="str">
        <v>"mfg":"DiodeES INC.",</v>
      </c>
      <c r="P1420" t="str">
        <v>"pn":"DZT2222A-13",</v>
      </c>
      <c r="Q1420" t="str">
        <v>"qty":1387</v>
      </c>
      <c r="S1420" t="s">
        <v>2498</v>
      </c>
      <c r="T1420" t="str">
        <f t="shared" si="168"/>
        <v>"id":"s1402","cate":"Transistor","des":"TRAN NPN 40V SOT223","mfg":"DiodeES INC.","pn":"DZT2222A-13","qty":1387</v>
      </c>
      <c r="U1420" t="s">
        <v>2503</v>
      </c>
    </row>
    <row r="1421" spans="5:21" x14ac:dyDescent="0.25">
      <c r="E1421" t="s">
        <v>2194</v>
      </c>
      <c r="F1421" t="s">
        <v>2358</v>
      </c>
      <c r="G1421" t="s">
        <v>1593</v>
      </c>
      <c r="H1421" t="s">
        <v>1940</v>
      </c>
      <c r="I1421">
        <v>1331</v>
      </c>
      <c r="K1421" t="s">
        <v>3906</v>
      </c>
      <c r="L1421" t="str">
        <f t="shared" si="167"/>
        <v>"id":"s1403",</v>
      </c>
      <c r="M1421" t="str">
        <v>"cate":"Switch",</v>
      </c>
      <c r="N1421" t="str">
        <v>"des":"SWT 429-25130120002",</v>
      </c>
      <c r="O1421" t="str">
        <v>"mfg":"DDM HOPT+SCHULER",</v>
      </c>
      <c r="P1421" t="str">
        <v>"pn":"429-25130120002",</v>
      </c>
      <c r="Q1421" t="str">
        <v>"qty":1385</v>
      </c>
      <c r="S1421" t="s">
        <v>2498</v>
      </c>
      <c r="T1421" t="str">
        <f t="shared" si="168"/>
        <v>"id":"s1403","cate":"Switch","des":"SWT 429-25130120002","mfg":"DDM HOPT+SCHULER","pn":"429-25130120002","qty":1385</v>
      </c>
      <c r="U1421" t="s">
        <v>2503</v>
      </c>
    </row>
    <row r="1422" spans="5:21" x14ac:dyDescent="0.25">
      <c r="E1422" t="s">
        <v>2194</v>
      </c>
      <c r="F1422" t="s">
        <v>2358</v>
      </c>
      <c r="G1422" t="s">
        <v>1393</v>
      </c>
      <c r="H1422" t="s">
        <v>1941</v>
      </c>
      <c r="I1422">
        <v>1331</v>
      </c>
      <c r="K1422" t="s">
        <v>3907</v>
      </c>
      <c r="L1422" t="str">
        <f t="shared" si="167"/>
        <v>"id":"s1404",</v>
      </c>
      <c r="M1422" t="str">
        <v>"cate":"Diode",</v>
      </c>
      <c r="N1422" t="str">
        <v>"des":"DiodeE TVS 5V 43,5A2",</v>
      </c>
      <c r="O1422" t="str">
        <v>"mfg":"LITTELFUSE",</v>
      </c>
      <c r="P1422" t="str">
        <v>"pn":"SMAJ5.0A",</v>
      </c>
      <c r="Q1422" t="str">
        <v>"qty":1384</v>
      </c>
      <c r="S1422" t="s">
        <v>2498</v>
      </c>
      <c r="T1422" t="str">
        <f t="shared" si="168"/>
        <v>"id":"s1404","cate":"Diode","des":"DiodeE TVS 5V 43,5A2","mfg":"LITTELFUSE","pn":"SMAJ5.0A","qty":1384</v>
      </c>
      <c r="U1422" t="s">
        <v>2503</v>
      </c>
    </row>
    <row r="1423" spans="5:21" x14ac:dyDescent="0.25">
      <c r="E1423" t="s">
        <v>2193</v>
      </c>
      <c r="F1423" t="s">
        <v>1942</v>
      </c>
      <c r="G1423" t="s">
        <v>13</v>
      </c>
      <c r="H1423" t="s">
        <v>164</v>
      </c>
      <c r="I1423">
        <v>1331</v>
      </c>
      <c r="K1423" t="s">
        <v>3908</v>
      </c>
      <c r="L1423" t="str">
        <f t="shared" si="167"/>
        <v>"id":"s1405",</v>
      </c>
      <c r="M1423" t="str">
        <v>"cate":"Diode",</v>
      </c>
      <c r="N1423" t="str">
        <v>"des":"DiodeE TVS 5V 43,5A2",</v>
      </c>
      <c r="O1423" t="str">
        <v>"mfg":"VISHAY",</v>
      </c>
      <c r="P1423" t="str">
        <v>"pn":"SMAJ5.0A-E3/61",</v>
      </c>
      <c r="Q1423" t="str">
        <v>"qty":1384</v>
      </c>
      <c r="S1423" t="s">
        <v>2498</v>
      </c>
      <c r="T1423" t="str">
        <f t="shared" si="168"/>
        <v>"id":"s1405","cate":"Diode","des":"DiodeE TVS 5V 43,5A2","mfg":"VISHAY","pn":"SMAJ5.0A-E3/61","qty":1384</v>
      </c>
      <c r="U1423" t="s">
        <v>2503</v>
      </c>
    </row>
    <row r="1424" spans="5:21" x14ac:dyDescent="0.25">
      <c r="E1424" t="s">
        <v>2193</v>
      </c>
      <c r="F1424" t="s">
        <v>1942</v>
      </c>
      <c r="G1424" t="s">
        <v>89</v>
      </c>
      <c r="H1424" t="s">
        <v>1943</v>
      </c>
      <c r="I1424">
        <v>1331</v>
      </c>
      <c r="K1424" t="s">
        <v>3909</v>
      </c>
      <c r="L1424" t="str">
        <f t="shared" si="167"/>
        <v>"id":"s1406",</v>
      </c>
      <c r="M1424" t="str">
        <v>"cate":"Capacitor",</v>
      </c>
      <c r="N1424" t="str">
        <v>"des":"Capacitor 82UF/450VDC-TH",</v>
      </c>
      <c r="O1424" t="str">
        <v>"mfg":"UNITED CHEMI-CON",</v>
      </c>
      <c r="P1424" t="str">
        <v>"pn":"EKXJ451ELL820MU50S",</v>
      </c>
      <c r="Q1424" t="str">
        <v>"qty":1367</v>
      </c>
      <c r="S1424" t="s">
        <v>2498</v>
      </c>
      <c r="T1424" t="str">
        <f t="shared" si="168"/>
        <v>"id":"s1406","cate":"Capacitor","des":"Capacitor 82UF/450VDC-TH","mfg":"UNITED CHEMI-CON","pn":"EKXJ451ELL820MU50S","qty":1367</v>
      </c>
      <c r="U1424" t="s">
        <v>2503</v>
      </c>
    </row>
    <row r="1425" spans="5:21" x14ac:dyDescent="0.25">
      <c r="E1425" t="s">
        <v>2194</v>
      </c>
      <c r="F1425" t="s">
        <v>2359</v>
      </c>
      <c r="G1425" t="s">
        <v>13</v>
      </c>
      <c r="H1425" t="s">
        <v>1944</v>
      </c>
      <c r="I1425">
        <v>1330</v>
      </c>
      <c r="K1425" t="s">
        <v>3910</v>
      </c>
      <c r="L1425" t="str">
        <f t="shared" si="167"/>
        <v>"id":"s1407",</v>
      </c>
      <c r="M1425" t="str">
        <v>"cate":"MA-1",</v>
      </c>
      <c r="N1425" t="str">
        <v>"des":"MA-1300123STG",</v>
      </c>
      <c r="O1425" t="str">
        <v>"mfg":"VISHAY",</v>
      </c>
      <c r="P1425" t="str">
        <v>"pn":"1N4148WS-E3",</v>
      </c>
      <c r="Q1425" t="str">
        <v>"qty":1357</v>
      </c>
      <c r="S1425" t="s">
        <v>2498</v>
      </c>
      <c r="T1425" t="str">
        <f t="shared" si="168"/>
        <v>"id":"s1407","cate":"MA-1","des":"MA-1300123STG","mfg":"VISHAY","pn":"1N4148WS-E3","qty":1357</v>
      </c>
      <c r="U1425" t="s">
        <v>2503</v>
      </c>
    </row>
    <row r="1426" spans="5:21" x14ac:dyDescent="0.25">
      <c r="E1426" t="s">
        <v>2194</v>
      </c>
      <c r="F1426" t="s">
        <v>2359</v>
      </c>
      <c r="G1426" t="s">
        <v>73</v>
      </c>
      <c r="H1426" t="s">
        <v>1945</v>
      </c>
      <c r="I1426">
        <v>1330</v>
      </c>
      <c r="K1426" t="s">
        <v>3911</v>
      </c>
      <c r="L1426" t="str">
        <f t="shared" si="167"/>
        <v>"id":"s1408",</v>
      </c>
      <c r="M1426" t="str">
        <v>"cate":"MA-1",</v>
      </c>
      <c r="N1426" t="str">
        <v>"des":"MA-1300123STG",</v>
      </c>
      <c r="O1426" t="str">
        <v>"mfg":"DiodeES INC.",</v>
      </c>
      <c r="P1426" t="str">
        <v>"pn":"1N4148WS-7-F",</v>
      </c>
      <c r="Q1426" t="str">
        <v>"qty":1357</v>
      </c>
      <c r="S1426" t="s">
        <v>2498</v>
      </c>
      <c r="T1426" t="str">
        <f t="shared" si="168"/>
        <v>"id":"s1408","cate":"MA-1","des":"MA-1300123STG","mfg":"DiodeES INC.","pn":"1N4148WS-7-F","qty":1357</v>
      </c>
      <c r="U1426" t="s">
        <v>2503</v>
      </c>
    </row>
    <row r="1427" spans="5:21" x14ac:dyDescent="0.25">
      <c r="E1427" t="s">
        <v>2194</v>
      </c>
      <c r="F1427" t="s">
        <v>2359</v>
      </c>
      <c r="G1427" t="s">
        <v>62</v>
      </c>
      <c r="H1427" t="s">
        <v>1946</v>
      </c>
      <c r="I1427">
        <v>1330</v>
      </c>
      <c r="K1427" t="s">
        <v>3912</v>
      </c>
      <c r="L1427" t="str">
        <f t="shared" si="167"/>
        <v>"id":"s1409",</v>
      </c>
      <c r="M1427" t="str">
        <v>"cate":"MA-1",</v>
      </c>
      <c r="N1427" t="str">
        <v>"des":"MA-1300123STG",</v>
      </c>
      <c r="O1427" t="str">
        <v>"mfg":"ON SEMICONDUCTOR",</v>
      </c>
      <c r="P1427" t="str">
        <v>"pn":"1N4148WS",</v>
      </c>
      <c r="Q1427" t="str">
        <v>"qty":1357</v>
      </c>
      <c r="S1427" t="s">
        <v>2498</v>
      </c>
      <c r="T1427" t="str">
        <f t="shared" si="168"/>
        <v>"id":"s1409","cate":"MA-1","des":"MA-1300123STG","mfg":"ON SEMICONDUCTOR","pn":"1N4148WS","qty":1357</v>
      </c>
      <c r="U1427" t="s">
        <v>2503</v>
      </c>
    </row>
    <row r="1428" spans="5:21" x14ac:dyDescent="0.25">
      <c r="E1428" t="s">
        <v>2193</v>
      </c>
      <c r="F1428" t="s">
        <v>1947</v>
      </c>
      <c r="G1428" t="s">
        <v>13</v>
      </c>
      <c r="H1428" t="s">
        <v>1948</v>
      </c>
      <c r="I1428">
        <v>1325</v>
      </c>
      <c r="K1428" t="s">
        <v>3913</v>
      </c>
      <c r="L1428" t="str">
        <f t="shared" ref="L1428:L1491" si="169">_xlfn.CONCAT("""","id","""",":","""",K1428,"""",",")</f>
        <v>"id":"s1410",</v>
      </c>
      <c r="M1428" t="str">
        <v>"cate":"MA-1",</v>
      </c>
      <c r="N1428" t="str">
        <v>"des":"MA-1300123STG",</v>
      </c>
      <c r="O1428" t="str">
        <v>"mfg":"TAIWAN SEMICONDUCTOR",</v>
      </c>
      <c r="P1428" t="str">
        <v>"pn":"1N4148WS",</v>
      </c>
      <c r="Q1428" t="str">
        <v>"qty":1357</v>
      </c>
      <c r="S1428" t="s">
        <v>2498</v>
      </c>
      <c r="T1428" t="str">
        <f t="shared" ref="T1428:T1491" si="170">_xlfn.CONCAT(L1428:Q1428)</f>
        <v>"id":"s1410","cate":"MA-1","des":"MA-1300123STG","mfg":"TAIWAN SEMICONDUCTOR","pn":"1N4148WS","qty":1357</v>
      </c>
      <c r="U1428" t="s">
        <v>2503</v>
      </c>
    </row>
    <row r="1429" spans="5:21" x14ac:dyDescent="0.25">
      <c r="E1429" t="s">
        <v>2194</v>
      </c>
      <c r="F1429" t="s">
        <v>2360</v>
      </c>
      <c r="G1429" t="s">
        <v>45</v>
      </c>
      <c r="H1429" t="s">
        <v>1949</v>
      </c>
      <c r="I1429">
        <v>1321</v>
      </c>
      <c r="K1429" t="s">
        <v>3914</v>
      </c>
      <c r="L1429" t="str">
        <f t="shared" si="169"/>
        <v>"id":"s1411",</v>
      </c>
      <c r="M1429" t="str">
        <v>"cate":"MA-1",</v>
      </c>
      <c r="N1429" t="str">
        <v>"des":"MA-1150571STG",</v>
      </c>
      <c r="O1429" t="str">
        <v>"mfg":"MURATA MANUFACTURING",</v>
      </c>
      <c r="P1429" t="str">
        <v>"pn":"GRT1555C1H331JA02D",</v>
      </c>
      <c r="Q1429" t="str">
        <v>"qty":1351</v>
      </c>
      <c r="S1429" t="s">
        <v>2498</v>
      </c>
      <c r="T1429" t="str">
        <f t="shared" si="170"/>
        <v>"id":"s1411","cate":"MA-1","des":"MA-1150571STG","mfg":"MURATA MANUFACTURING","pn":"GRT1555C1H331JA02D","qty":1351</v>
      </c>
      <c r="U1429" t="s">
        <v>2503</v>
      </c>
    </row>
    <row r="1430" spans="5:21" x14ac:dyDescent="0.25">
      <c r="E1430" t="s">
        <v>2194</v>
      </c>
      <c r="F1430" t="s">
        <v>2360</v>
      </c>
      <c r="G1430" t="s">
        <v>47</v>
      </c>
      <c r="H1430" t="s">
        <v>1950</v>
      </c>
      <c r="I1430">
        <v>1321</v>
      </c>
      <c r="K1430" t="s">
        <v>3915</v>
      </c>
      <c r="L1430" t="str">
        <f t="shared" si="169"/>
        <v>"id":"s1412",</v>
      </c>
      <c r="M1430" t="str">
        <v>"cate":"MA-1",</v>
      </c>
      <c r="N1430" t="str">
        <v>"des":"MA-1300075STG",</v>
      </c>
      <c r="O1430" t="str">
        <v>"mfg":"ON SEMICONDUCTOR",</v>
      </c>
      <c r="P1430" t="str">
        <v>"pn":"BAV70LT1",</v>
      </c>
      <c r="Q1430" t="str">
        <v>"qty":1351</v>
      </c>
      <c r="S1430" t="s">
        <v>2498</v>
      </c>
      <c r="T1430" t="str">
        <f t="shared" si="170"/>
        <v>"id":"s1412","cate":"MA-1","des":"MA-1300075STG","mfg":"ON SEMICONDUCTOR","pn":"BAV70LT1","qty":1351</v>
      </c>
      <c r="U1430" t="s">
        <v>2503</v>
      </c>
    </row>
    <row r="1431" spans="5:21" x14ac:dyDescent="0.25">
      <c r="E1431" t="s">
        <v>2194</v>
      </c>
      <c r="F1431" t="s">
        <v>2360</v>
      </c>
      <c r="G1431" t="s">
        <v>37</v>
      </c>
      <c r="H1431" t="s">
        <v>1951</v>
      </c>
      <c r="I1431">
        <v>1321</v>
      </c>
      <c r="K1431" t="s">
        <v>3916</v>
      </c>
      <c r="L1431" t="str">
        <f t="shared" si="169"/>
        <v>"id":"s1413",</v>
      </c>
      <c r="M1431" t="str">
        <v>"cate":"MA-1",</v>
      </c>
      <c r="N1431" t="str">
        <v>"des":"MA-1300075STG",</v>
      </c>
      <c r="O1431" t="str">
        <v>"mfg":"ON SEMICONDUCTOR",</v>
      </c>
      <c r="P1431" t="str">
        <v>"pn":"BAV70LT1G",</v>
      </c>
      <c r="Q1431" t="str">
        <v>"qty":1351</v>
      </c>
      <c r="S1431" t="s">
        <v>2498</v>
      </c>
      <c r="T1431" t="str">
        <f t="shared" si="170"/>
        <v>"id":"s1413","cate":"MA-1","des":"MA-1300075STG","mfg":"ON SEMICONDUCTOR","pn":"BAV70LT1G","qty":1351</v>
      </c>
      <c r="U1431" t="s">
        <v>2503</v>
      </c>
    </row>
    <row r="1432" spans="5:21" x14ac:dyDescent="0.25">
      <c r="E1432" t="s">
        <v>2194</v>
      </c>
      <c r="F1432" t="s">
        <v>2360</v>
      </c>
      <c r="G1432" t="s">
        <v>49</v>
      </c>
      <c r="H1432" t="s">
        <v>1952</v>
      </c>
      <c r="I1432">
        <v>1321</v>
      </c>
      <c r="K1432" t="s">
        <v>3917</v>
      </c>
      <c r="L1432" t="str">
        <f t="shared" si="169"/>
        <v>"id":"s1414",</v>
      </c>
      <c r="M1432" t="str">
        <v>"cate":"Var Resistor",</v>
      </c>
      <c r="N1432" t="str">
        <v>"des":"VAR 385V LA20",</v>
      </c>
      <c r="O1432" t="str">
        <v>"mfg":"LITTELFUSE",</v>
      </c>
      <c r="P1432" t="str">
        <v>"pn":"V385LA20AP",</v>
      </c>
      <c r="Q1432" t="str">
        <v>"qty":1342</v>
      </c>
      <c r="S1432" t="s">
        <v>2498</v>
      </c>
      <c r="T1432" t="str">
        <f t="shared" si="170"/>
        <v>"id":"s1414","cate":"Var Resistor","des":"VAR 385V LA20","mfg":"LITTELFUSE","pn":"V385LA20AP","qty":1342</v>
      </c>
      <c r="U1432" t="s">
        <v>2503</v>
      </c>
    </row>
    <row r="1433" spans="5:21" x14ac:dyDescent="0.25">
      <c r="E1433" t="s">
        <v>2194</v>
      </c>
      <c r="F1433" t="s">
        <v>2360</v>
      </c>
      <c r="G1433" t="s">
        <v>49</v>
      </c>
      <c r="H1433" t="s">
        <v>1953</v>
      </c>
      <c r="I1433">
        <v>1321</v>
      </c>
      <c r="K1433" t="s">
        <v>3918</v>
      </c>
      <c r="L1433" t="str">
        <f t="shared" si="169"/>
        <v>"id":"s1415",</v>
      </c>
      <c r="M1433" t="str">
        <v>"cate":"Var Resistor",</v>
      </c>
      <c r="N1433" t="str">
        <v>"des":"VAR 385V LA20",</v>
      </c>
      <c r="O1433" t="str">
        <v>"mfg":"BOURNS",</v>
      </c>
      <c r="P1433" t="str">
        <v>"pn":"MOV-14D621K",</v>
      </c>
      <c r="Q1433" t="str">
        <v>"qty":1342</v>
      </c>
      <c r="S1433" t="s">
        <v>2498</v>
      </c>
      <c r="T1433" t="str">
        <f t="shared" si="170"/>
        <v>"id":"s1415","cate":"Var Resistor","des":"VAR 385V LA20","mfg":"BOURNS","pn":"MOV-14D621K","qty":1342</v>
      </c>
      <c r="U1433" t="s">
        <v>2503</v>
      </c>
    </row>
    <row r="1434" spans="5:21" x14ac:dyDescent="0.25">
      <c r="E1434" t="s">
        <v>2193</v>
      </c>
      <c r="F1434" t="s">
        <v>1954</v>
      </c>
      <c r="G1434" t="s">
        <v>13</v>
      </c>
      <c r="H1434" t="s">
        <v>1955</v>
      </c>
      <c r="I1434">
        <v>1321</v>
      </c>
      <c r="K1434" t="s">
        <v>3919</v>
      </c>
      <c r="L1434" t="str">
        <f t="shared" si="169"/>
        <v>"id":"s1416",</v>
      </c>
      <c r="M1434" t="str">
        <v>"cate":"Capacitor",</v>
      </c>
      <c r="N1434" t="str">
        <v>"des":"Capacitor 220UF/16V 20%A",</v>
      </c>
      <c r="O1434" t="str">
        <v>"mfg":"RUBYCON",</v>
      </c>
      <c r="P1434" t="str">
        <v>"pn":"16YXJ220M6.3X11",</v>
      </c>
      <c r="Q1434" t="str">
        <v>"qty":1331</v>
      </c>
      <c r="S1434" t="s">
        <v>2498</v>
      </c>
      <c r="T1434" t="str">
        <f t="shared" si="170"/>
        <v>"id":"s1416","cate":"Capacitor","des":"Capacitor 220UF/16V 20%A","mfg":"RUBYCON","pn":"16YXJ220M6.3X11","qty":1331</v>
      </c>
      <c r="U1434" t="s">
        <v>2503</v>
      </c>
    </row>
    <row r="1435" spans="5:21" x14ac:dyDescent="0.25">
      <c r="E1435" t="s">
        <v>2193</v>
      </c>
      <c r="F1435" t="s">
        <v>1956</v>
      </c>
      <c r="G1435" t="s">
        <v>13</v>
      </c>
      <c r="H1435" t="s">
        <v>1957</v>
      </c>
      <c r="I1435">
        <v>1317</v>
      </c>
      <c r="K1435" t="s">
        <v>3920</v>
      </c>
      <c r="L1435" t="str">
        <f t="shared" si="169"/>
        <v>"id":"s1417",</v>
      </c>
      <c r="M1435" t="str">
        <v>"cate":"Capacitor",</v>
      </c>
      <c r="N1435" t="str">
        <v>"des":"Capacitor 220UF/16V 20%A",</v>
      </c>
      <c r="O1435" t="str">
        <v>"mfg":"AISHI",</v>
      </c>
      <c r="P1435" t="str">
        <v>"pn":"ERJ1CM221E11OT",</v>
      </c>
      <c r="Q1435" t="str">
        <v>"qty":1331</v>
      </c>
      <c r="S1435" t="s">
        <v>2498</v>
      </c>
      <c r="T1435" t="str">
        <f t="shared" si="170"/>
        <v>"id":"s1417","cate":"Capacitor","des":"Capacitor 220UF/16V 20%A","mfg":"AISHI","pn":"ERJ1CM221E11OT","qty":1331</v>
      </c>
      <c r="U1435" t="s">
        <v>2503</v>
      </c>
    </row>
    <row r="1436" spans="5:21" x14ac:dyDescent="0.25">
      <c r="E1436" t="s">
        <v>2194</v>
      </c>
      <c r="F1436" t="s">
        <v>2361</v>
      </c>
      <c r="G1436" t="s">
        <v>47</v>
      </c>
      <c r="H1436" t="s">
        <v>1958</v>
      </c>
      <c r="I1436">
        <v>1315</v>
      </c>
      <c r="K1436" t="s">
        <v>3921</v>
      </c>
      <c r="L1436" t="str">
        <f t="shared" si="169"/>
        <v>"id":"s1418",</v>
      </c>
      <c r="M1436" t="str">
        <v>"cate":"Resistor ",</v>
      </c>
      <c r="N1436" t="str">
        <v>"des":"RST 1K 0,1W5% 0603A",</v>
      </c>
      <c r="O1436" t="str">
        <v>"mfg":"YAGEO",</v>
      </c>
      <c r="P1436" t="str">
        <v>"pn":"RC0603JR-071KL",</v>
      </c>
      <c r="Q1436" t="str">
        <v>"qty":1331</v>
      </c>
      <c r="S1436" t="s">
        <v>2498</v>
      </c>
      <c r="T1436" t="str">
        <f t="shared" si="170"/>
        <v>"id":"s1418","cate":"Resistor ","des":"RST 1K 0,1W5% 0603A","mfg":"YAGEO","pn":"RC0603JR-071KL","qty":1331</v>
      </c>
      <c r="U1436" t="s">
        <v>2503</v>
      </c>
    </row>
    <row r="1437" spans="5:21" x14ac:dyDescent="0.25">
      <c r="E1437" t="s">
        <v>2194</v>
      </c>
      <c r="F1437" t="s">
        <v>2361</v>
      </c>
      <c r="G1437" t="s">
        <v>8</v>
      </c>
      <c r="H1437" t="s">
        <v>1959</v>
      </c>
      <c r="I1437">
        <v>1315</v>
      </c>
      <c r="K1437" t="s">
        <v>3922</v>
      </c>
      <c r="L1437" t="str">
        <f t="shared" si="169"/>
        <v>"id":"s1419",</v>
      </c>
      <c r="M1437" t="str">
        <v>"cate":"Resistor ",</v>
      </c>
      <c r="N1437" t="str">
        <v>"des":"RST 1K 0,1W5% 0603A",</v>
      </c>
      <c r="O1437" t="str">
        <v>"mfg":"BOURNS",</v>
      </c>
      <c r="P1437" t="str">
        <v>"pn":"CR0603-JW-102ELF",</v>
      </c>
      <c r="Q1437" t="str">
        <v>"qty":1331</v>
      </c>
      <c r="S1437" t="s">
        <v>2498</v>
      </c>
      <c r="T1437" t="str">
        <f t="shared" si="170"/>
        <v>"id":"s1419","cate":"Resistor ","des":"RST 1K 0,1W5% 0603A","mfg":"BOURNS","pn":"CR0603-JW-102ELF","qty":1331</v>
      </c>
      <c r="U1437" t="s">
        <v>2503</v>
      </c>
    </row>
    <row r="1438" spans="5:21" x14ac:dyDescent="0.25">
      <c r="E1438" t="s">
        <v>2194</v>
      </c>
      <c r="F1438" t="s">
        <v>2362</v>
      </c>
      <c r="G1438" t="s">
        <v>1205</v>
      </c>
      <c r="H1438" t="s">
        <v>1960</v>
      </c>
      <c r="I1438">
        <v>1315</v>
      </c>
      <c r="K1438" t="s">
        <v>3923</v>
      </c>
      <c r="L1438" t="str">
        <f t="shared" si="169"/>
        <v>"id":"s1420",</v>
      </c>
      <c r="M1438" t="str">
        <v>"cate":"Capacitor",</v>
      </c>
      <c r="N1438" t="str">
        <v>"des":"Capacitor 1UF50V 10%805A",</v>
      </c>
      <c r="O1438" t="str">
        <v>"mfg":"YAGEO",</v>
      </c>
      <c r="P1438" t="str">
        <v>"pn":"CC0805KKX7R9BB105",</v>
      </c>
      <c r="Q1438" t="str">
        <v>"qty":1330</v>
      </c>
      <c r="S1438" t="s">
        <v>2498</v>
      </c>
      <c r="T1438" t="str">
        <f t="shared" si="170"/>
        <v>"id":"s1420","cate":"Capacitor","des":"Capacitor 1UF50V 10%805A","mfg":"YAGEO","pn":"CC0805KKX7R9BB105","qty":1330</v>
      </c>
      <c r="U1438" t="s">
        <v>2503</v>
      </c>
    </row>
    <row r="1439" spans="5:21" x14ac:dyDescent="0.25">
      <c r="E1439" t="s">
        <v>2194</v>
      </c>
      <c r="F1439" t="s">
        <v>2362</v>
      </c>
      <c r="G1439" t="s">
        <v>1593</v>
      </c>
      <c r="H1439" t="s">
        <v>1961</v>
      </c>
      <c r="I1439">
        <v>1315</v>
      </c>
      <c r="K1439" t="s">
        <v>3924</v>
      </c>
      <c r="L1439" t="str">
        <f t="shared" si="169"/>
        <v>"id":"s1421",</v>
      </c>
      <c r="M1439" t="str">
        <v>"cate":"Capacitor",</v>
      </c>
      <c r="N1439" t="str">
        <v>"des":"Capacitor 1UF50V 10%805A",</v>
      </c>
      <c r="O1439" t="str">
        <v>"mfg":"TAIYO YUDEN",</v>
      </c>
      <c r="P1439" t="str">
        <v>"pn":"UMK212B7105KG-T",</v>
      </c>
      <c r="Q1439" t="str">
        <v>"qty":1330</v>
      </c>
      <c r="S1439" t="s">
        <v>2498</v>
      </c>
      <c r="T1439" t="str">
        <f t="shared" si="170"/>
        <v>"id":"s1421","cate":"Capacitor","des":"Capacitor 1UF50V 10%805A","mfg":"TAIYO YUDEN","pn":"UMK212B7105KG-T","qty":1330</v>
      </c>
      <c r="U1439" t="s">
        <v>2503</v>
      </c>
    </row>
    <row r="1440" spans="5:21" x14ac:dyDescent="0.25">
      <c r="E1440" t="s">
        <v>2194</v>
      </c>
      <c r="F1440" t="s">
        <v>2362</v>
      </c>
      <c r="G1440" t="s">
        <v>1393</v>
      </c>
      <c r="H1440" t="s">
        <v>1962</v>
      </c>
      <c r="I1440">
        <v>1315</v>
      </c>
      <c r="K1440" t="s">
        <v>3925</v>
      </c>
      <c r="L1440" t="str">
        <f t="shared" si="169"/>
        <v>"id":"s1422",</v>
      </c>
      <c r="M1440" t="str">
        <v>"cate":"Capacitor",</v>
      </c>
      <c r="N1440" t="str">
        <v>"des":"Capacitor 1UF50V 10%805A",</v>
      </c>
      <c r="O1440" t="str">
        <v>"mfg":"TDK",</v>
      </c>
      <c r="P1440" t="str">
        <v>"pn":"C2012X7R1H105K085AC",</v>
      </c>
      <c r="Q1440" t="str">
        <v>"qty":1330</v>
      </c>
      <c r="S1440" t="s">
        <v>2498</v>
      </c>
      <c r="T1440" t="str">
        <f t="shared" si="170"/>
        <v>"id":"s1422","cate":"Capacitor","des":"Capacitor 1UF50V 10%805A","mfg":"TDK","pn":"C2012X7R1H105K085AC","qty":1330</v>
      </c>
      <c r="U1440" t="s">
        <v>2503</v>
      </c>
    </row>
    <row r="1441" spans="5:21" x14ac:dyDescent="0.25">
      <c r="E1441" t="s">
        <v>2194</v>
      </c>
      <c r="F1441" t="s">
        <v>2363</v>
      </c>
      <c r="G1441" t="s">
        <v>45</v>
      </c>
      <c r="H1441" t="s">
        <v>1963</v>
      </c>
      <c r="I1441">
        <v>1311</v>
      </c>
      <c r="K1441" t="s">
        <v>3926</v>
      </c>
      <c r="L1441" t="str">
        <f t="shared" si="169"/>
        <v>"id":"s1423",</v>
      </c>
      <c r="M1441" t="str">
        <v>"cate":"Resistor ",</v>
      </c>
      <c r="N1441" t="str">
        <v>"des":"RST 8K2 0,1W 1% 603",</v>
      </c>
      <c r="O1441" t="str">
        <v>"mfg":"YAGEO",</v>
      </c>
      <c r="P1441" t="str">
        <v>"pn":"RC0603FR-078K2L",</v>
      </c>
      <c r="Q1441" t="str">
        <v>"qty":1325</v>
      </c>
      <c r="S1441" t="s">
        <v>2498</v>
      </c>
      <c r="T1441" t="str">
        <f t="shared" si="170"/>
        <v>"id":"s1423","cate":"Resistor ","des":"RST 8K2 0,1W 1% 603","mfg":"YAGEO","pn":"RC0603FR-078K2L","qty":1325</v>
      </c>
      <c r="U1441" t="s">
        <v>2503</v>
      </c>
    </row>
    <row r="1442" spans="5:21" x14ac:dyDescent="0.25">
      <c r="E1442" t="s">
        <v>2194</v>
      </c>
      <c r="F1442" t="s">
        <v>2363</v>
      </c>
      <c r="G1442" t="s">
        <v>47</v>
      </c>
      <c r="H1442" t="s">
        <v>1964</v>
      </c>
      <c r="I1442">
        <v>1311</v>
      </c>
      <c r="K1442" t="s">
        <v>3927</v>
      </c>
      <c r="L1442" t="str">
        <f t="shared" si="169"/>
        <v>"id":"s1424",</v>
      </c>
      <c r="M1442" t="str">
        <v>"cate":"Capacitor",</v>
      </c>
      <c r="N1442" t="str">
        <v>"des":"Capacitor 10UF/16V 1206",</v>
      </c>
      <c r="O1442" t="str">
        <v>"mfg":"EPCOS/TDK",</v>
      </c>
      <c r="P1442" t="str">
        <v>"pn":"B45196H3106M10(Õ)",</v>
      </c>
      <c r="Q1442" t="str">
        <v>"qty":1321</v>
      </c>
      <c r="S1442" t="s">
        <v>2498</v>
      </c>
      <c r="T1442" t="str">
        <f t="shared" si="170"/>
        <v>"id":"s1424","cate":"Capacitor","des":"Capacitor 10UF/16V 1206","mfg":"EPCOS/TDK","pn":"B45196H3106M10(Õ)","qty":1321</v>
      </c>
      <c r="U1442" t="s">
        <v>2503</v>
      </c>
    </row>
    <row r="1443" spans="5:21" x14ac:dyDescent="0.25">
      <c r="E1443" t="s">
        <v>2194</v>
      </c>
      <c r="F1443" t="s">
        <v>2363</v>
      </c>
      <c r="G1443" t="s">
        <v>64</v>
      </c>
      <c r="H1443" t="s">
        <v>1965</v>
      </c>
      <c r="I1443">
        <v>1311</v>
      </c>
      <c r="K1443" t="s">
        <v>3928</v>
      </c>
      <c r="L1443" t="str">
        <f t="shared" si="169"/>
        <v>"id":"s1425",</v>
      </c>
      <c r="M1443" t="str">
        <v>"cate":"Capacitor",</v>
      </c>
      <c r="N1443" t="str">
        <v>"des":"Capacitor 10UF/16V 1206",</v>
      </c>
      <c r="O1443" t="str">
        <v>"mfg":"KEMET",</v>
      </c>
      <c r="P1443" t="str">
        <v>"pn":"T491A106M016ZT",</v>
      </c>
      <c r="Q1443" t="str">
        <v>"qty":1321</v>
      </c>
      <c r="S1443" t="s">
        <v>2498</v>
      </c>
      <c r="T1443" t="str">
        <f t="shared" si="170"/>
        <v>"id":"s1425","cate":"Capacitor","des":"Capacitor 10UF/16V 1206","mfg":"KEMET","pn":"T491A106M016ZT","qty":1321</v>
      </c>
      <c r="U1443" t="s">
        <v>2503</v>
      </c>
    </row>
    <row r="1444" spans="5:21" x14ac:dyDescent="0.25">
      <c r="E1444" t="s">
        <v>2194</v>
      </c>
      <c r="F1444" t="s">
        <v>2363</v>
      </c>
      <c r="G1444" t="s">
        <v>73</v>
      </c>
      <c r="H1444" t="s">
        <v>1966</v>
      </c>
      <c r="I1444">
        <v>1311</v>
      </c>
      <c r="K1444" t="s">
        <v>3929</v>
      </c>
      <c r="L1444" t="str">
        <f t="shared" si="169"/>
        <v>"id":"s1426",</v>
      </c>
      <c r="M1444" t="str">
        <v>"cate":"Capacitor",</v>
      </c>
      <c r="N1444" t="str">
        <v>"des":"Capacitor 10UF/16V 1206",</v>
      </c>
      <c r="O1444" t="str">
        <v>"mfg":"VISHAY",</v>
      </c>
      <c r="P1444" t="str">
        <v>"pn":"293D106X0016A2(*)E3",</v>
      </c>
      <c r="Q1444" t="str">
        <v>"qty":1321</v>
      </c>
      <c r="S1444" t="s">
        <v>2498</v>
      </c>
      <c r="T1444" t="str">
        <f t="shared" si="170"/>
        <v>"id":"s1426","cate":"Capacitor","des":"Capacitor 10UF/16V 1206","mfg":"VISHAY","pn":"293D106X0016A2(*)E3","qty":1321</v>
      </c>
      <c r="U1444" t="s">
        <v>2503</v>
      </c>
    </row>
    <row r="1445" spans="5:21" x14ac:dyDescent="0.25">
      <c r="E1445" t="s">
        <v>2194</v>
      </c>
      <c r="F1445" t="s">
        <v>2363</v>
      </c>
      <c r="G1445" t="s">
        <v>73</v>
      </c>
      <c r="H1445" t="s">
        <v>1967</v>
      </c>
      <c r="I1445">
        <v>1311</v>
      </c>
      <c r="K1445" t="s">
        <v>3930</v>
      </c>
      <c r="L1445" t="str">
        <f t="shared" si="169"/>
        <v>"id":"s1427",</v>
      </c>
      <c r="M1445" t="str">
        <v>"cate":"Capacitor",</v>
      </c>
      <c r="N1445" t="str">
        <v>"des":"Capacitor 10UF/16V 1206",</v>
      </c>
      <c r="O1445" t="str">
        <v>"mfg":"AVX",</v>
      </c>
      <c r="P1445" t="str">
        <v>"pn":"TAJA106M016(*)NJ",</v>
      </c>
      <c r="Q1445" t="str">
        <v>"qty":1321</v>
      </c>
      <c r="S1445" t="s">
        <v>2498</v>
      </c>
      <c r="T1445" t="str">
        <f t="shared" si="170"/>
        <v>"id":"s1427","cate":"Capacitor","des":"Capacitor 10UF/16V 1206","mfg":"AVX","pn":"TAJA106M016(*)NJ","qty":1321</v>
      </c>
      <c r="U1445" t="s">
        <v>2503</v>
      </c>
    </row>
    <row r="1446" spans="5:21" x14ac:dyDescent="0.25">
      <c r="E1446" t="s">
        <v>2194</v>
      </c>
      <c r="F1446" t="s">
        <v>2363</v>
      </c>
      <c r="G1446" t="s">
        <v>1351</v>
      </c>
      <c r="H1446" t="s">
        <v>1968</v>
      </c>
      <c r="I1446">
        <v>1311</v>
      </c>
      <c r="K1446" t="s">
        <v>3931</v>
      </c>
      <c r="L1446" t="str">
        <f t="shared" si="169"/>
        <v>"id":"s1428",</v>
      </c>
      <c r="M1446" t="str">
        <v>"cate":"Capacitor",</v>
      </c>
      <c r="N1446" t="str">
        <v>"des":"Capacitor 10UF/16V 1206",</v>
      </c>
      <c r="O1446" t="str">
        <v>"mfg":"AVX",</v>
      </c>
      <c r="P1446" t="str">
        <v>"pn":"TAJA106M016RNJ",</v>
      </c>
      <c r="Q1446" t="str">
        <v>"qty":1321</v>
      </c>
      <c r="S1446" t="s">
        <v>2498</v>
      </c>
      <c r="T1446" t="str">
        <f t="shared" si="170"/>
        <v>"id":"s1428","cate":"Capacitor","des":"Capacitor 10UF/16V 1206","mfg":"AVX","pn":"TAJA106M016RNJ","qty":1321</v>
      </c>
      <c r="U1446" t="s">
        <v>2503</v>
      </c>
    </row>
    <row r="1447" spans="5:21" x14ac:dyDescent="0.25">
      <c r="E1447" t="s">
        <v>2193</v>
      </c>
      <c r="F1447" t="s">
        <v>1969</v>
      </c>
      <c r="G1447" t="s">
        <v>13</v>
      </c>
      <c r="H1447" t="s">
        <v>1970</v>
      </c>
      <c r="I1447">
        <v>1311</v>
      </c>
      <c r="K1447" t="s">
        <v>3932</v>
      </c>
      <c r="L1447" t="str">
        <f t="shared" si="169"/>
        <v>"id":"s1429",</v>
      </c>
      <c r="M1447" t="str">
        <v>"cate":"Resistor ",</v>
      </c>
      <c r="N1447" t="str">
        <v>"des":"RST 6,8 0,1W 5% 603",</v>
      </c>
      <c r="O1447" t="str">
        <v>"mfg":"YAGEO",</v>
      </c>
      <c r="P1447" t="str">
        <v>"pn":"RC0603JR-076R8L",</v>
      </c>
      <c r="Q1447" t="str">
        <v>"qty":1321</v>
      </c>
      <c r="S1447" t="s">
        <v>2498</v>
      </c>
      <c r="T1447" t="str">
        <f t="shared" si="170"/>
        <v>"id":"s1429","cate":"Resistor ","des":"RST 6,8 0,1W 5% 603","mfg":"YAGEO","pn":"RC0603JR-076R8L","qty":1321</v>
      </c>
      <c r="U1447" t="s">
        <v>2503</v>
      </c>
    </row>
    <row r="1448" spans="5:21" x14ac:dyDescent="0.25">
      <c r="E1448" t="s">
        <v>2193</v>
      </c>
      <c r="F1448" t="s">
        <v>1969</v>
      </c>
      <c r="G1448" t="s">
        <v>37</v>
      </c>
      <c r="H1448" t="s">
        <v>1971</v>
      </c>
      <c r="I1448">
        <v>1311</v>
      </c>
      <c r="K1448" t="s">
        <v>3933</v>
      </c>
      <c r="L1448" t="str">
        <f t="shared" si="169"/>
        <v>"id":"s1430",</v>
      </c>
      <c r="M1448" t="str">
        <v>"cate":"Resistor ",</v>
      </c>
      <c r="N1448" t="str">
        <v>"des":"RST 68K 0,1W 1%603A",</v>
      </c>
      <c r="O1448" t="str">
        <v>"mfg":"YAGEO",</v>
      </c>
      <c r="P1448" t="str">
        <v>"pn":"RC0603FR-0768KL",</v>
      </c>
      <c r="Q1448" t="str">
        <v>"qty":1317</v>
      </c>
      <c r="S1448" t="s">
        <v>2498</v>
      </c>
      <c r="T1448" t="str">
        <f t="shared" si="170"/>
        <v>"id":"s1430","cate":"Resistor ","des":"RST 68K 0,1W 1%603A","mfg":"YAGEO","pn":"RC0603FR-0768KL","qty":1317</v>
      </c>
      <c r="U1448" t="s">
        <v>2503</v>
      </c>
    </row>
    <row r="1449" spans="5:21" x14ac:dyDescent="0.25">
      <c r="E1449" t="s">
        <v>2194</v>
      </c>
      <c r="F1449" t="s">
        <v>2364</v>
      </c>
      <c r="G1449" t="s">
        <v>47</v>
      </c>
      <c r="H1449" t="s">
        <v>1972</v>
      </c>
      <c r="I1449">
        <v>1309</v>
      </c>
      <c r="K1449" t="s">
        <v>3934</v>
      </c>
      <c r="L1449" t="str">
        <f t="shared" si="169"/>
        <v>"id":"s1431",</v>
      </c>
      <c r="M1449" t="str">
        <v>"cate":"Capacitor",</v>
      </c>
      <c r="N1449" t="str">
        <v>"des":"Capacitor 4,7UF/50V 1206",</v>
      </c>
      <c r="O1449" t="str">
        <v>"mfg":"KEMET",</v>
      </c>
      <c r="P1449" t="str">
        <v>"pn":"C1206C475K5RACAUTO",</v>
      </c>
      <c r="Q1449" t="str">
        <v>"qty":1315</v>
      </c>
      <c r="S1449" t="s">
        <v>2498</v>
      </c>
      <c r="T1449" t="str">
        <f t="shared" si="170"/>
        <v>"id":"s1431","cate":"Capacitor","des":"Capacitor 4,7UF/50V 1206","mfg":"KEMET","pn":"C1206C475K5RACAUTO","qty":1315</v>
      </c>
      <c r="U1449" t="s">
        <v>2503</v>
      </c>
    </row>
    <row r="1450" spans="5:21" x14ac:dyDescent="0.25">
      <c r="E1450" t="s">
        <v>2194</v>
      </c>
      <c r="F1450" t="s">
        <v>2364</v>
      </c>
      <c r="G1450" t="s">
        <v>49</v>
      </c>
      <c r="H1450" t="s">
        <v>1973</v>
      </c>
      <c r="I1450">
        <v>1309</v>
      </c>
      <c r="K1450" t="s">
        <v>3935</v>
      </c>
      <c r="L1450" t="str">
        <f t="shared" si="169"/>
        <v>"id":"s1432",</v>
      </c>
      <c r="M1450" t="str">
        <v>"cate":"Capacitor",</v>
      </c>
      <c r="N1450" t="str">
        <v>"des":"Capacitor 4,7UF/50V 1206",</v>
      </c>
      <c r="O1450" t="str">
        <v>"mfg":"SAMSUNG",</v>
      </c>
      <c r="P1450" t="str">
        <v>"pn":"CL31B475KBHNNNE",</v>
      </c>
      <c r="Q1450" t="str">
        <v>"qty":1315</v>
      </c>
      <c r="S1450" t="s">
        <v>2498</v>
      </c>
      <c r="T1450" t="str">
        <f t="shared" si="170"/>
        <v>"id":"s1432","cate":"Capacitor","des":"Capacitor 4,7UF/50V 1206","mfg":"SAMSUNG","pn":"CL31B475KBHNNNE","qty":1315</v>
      </c>
      <c r="U1450" t="s">
        <v>2503</v>
      </c>
    </row>
    <row r="1451" spans="5:21" x14ac:dyDescent="0.25">
      <c r="E1451" t="s">
        <v>2194</v>
      </c>
      <c r="F1451" t="s">
        <v>2364</v>
      </c>
      <c r="G1451" t="s">
        <v>49</v>
      </c>
      <c r="H1451" t="s">
        <v>1974</v>
      </c>
      <c r="I1451">
        <v>1309</v>
      </c>
      <c r="K1451" t="s">
        <v>3936</v>
      </c>
      <c r="L1451" t="str">
        <f t="shared" si="169"/>
        <v>"id":"s1433",</v>
      </c>
      <c r="M1451" t="str">
        <v>"cate":"Capacitor",</v>
      </c>
      <c r="N1451" t="str">
        <v>"des":"Capacitor 47UF 16V 20%",</v>
      </c>
      <c r="O1451" t="str">
        <v>"mfg":"NIPPON CHEMI-CON",</v>
      </c>
      <c r="P1451" t="str">
        <v>"pn":"KME16VB47M",</v>
      </c>
      <c r="Q1451" t="str">
        <v>"qty":1315</v>
      </c>
      <c r="S1451" t="s">
        <v>2498</v>
      </c>
      <c r="T1451" t="str">
        <f t="shared" si="170"/>
        <v>"id":"s1433","cate":"Capacitor","des":"Capacitor 47UF 16V 20%","mfg":"NIPPON CHEMI-CON","pn":"KME16VB47M","qty":1315</v>
      </c>
      <c r="U1451" t="s">
        <v>2503</v>
      </c>
    </row>
    <row r="1452" spans="5:21" x14ac:dyDescent="0.25">
      <c r="E1452" t="s">
        <v>2193</v>
      </c>
      <c r="F1452" t="s">
        <v>1975</v>
      </c>
      <c r="G1452" t="s">
        <v>13</v>
      </c>
      <c r="H1452" t="s">
        <v>1976</v>
      </c>
      <c r="I1452">
        <v>1307</v>
      </c>
      <c r="K1452" t="s">
        <v>3937</v>
      </c>
      <c r="L1452" t="str">
        <f t="shared" si="169"/>
        <v>"id":"s1434",</v>
      </c>
      <c r="M1452" t="str">
        <v>"cate":"Capacitor",</v>
      </c>
      <c r="N1452" t="str">
        <v>"des":"Capacitor 47UF 16V 20%",</v>
      </c>
      <c r="O1452" t="str">
        <v>"mfg":"RUBYCON",</v>
      </c>
      <c r="P1452" t="str">
        <v>"pn":"16YXF47M5X11",</v>
      </c>
      <c r="Q1452" t="str">
        <v>"qty":1315</v>
      </c>
      <c r="S1452" t="s">
        <v>2498</v>
      </c>
      <c r="T1452" t="str">
        <f t="shared" si="170"/>
        <v>"id":"s1434","cate":"Capacitor","des":"Capacitor 47UF 16V 20%","mfg":"RUBYCON","pn":"16YXF47M5X11","qty":1315</v>
      </c>
      <c r="U1452" t="s">
        <v>2503</v>
      </c>
    </row>
    <row r="1453" spans="5:21" x14ac:dyDescent="0.25">
      <c r="E1453" t="s">
        <v>2193</v>
      </c>
      <c r="F1453" t="s">
        <v>1977</v>
      </c>
      <c r="G1453" t="s">
        <v>13</v>
      </c>
      <c r="H1453" t="s">
        <v>1978</v>
      </c>
      <c r="I1453">
        <v>1302</v>
      </c>
      <c r="K1453" t="s">
        <v>3938</v>
      </c>
      <c r="L1453" t="str">
        <f t="shared" si="169"/>
        <v>"id":"s1435",</v>
      </c>
      <c r="M1453" t="str">
        <v>"cate":"Capacitor",</v>
      </c>
      <c r="N1453" t="str">
        <v>"des":"Capacitor 47UF 16V 20%",</v>
      </c>
      <c r="O1453" t="str">
        <v>"mfg":"AISHI",</v>
      </c>
      <c r="P1453" t="str">
        <v>"pn":"ERM1CM470D11OT",</v>
      </c>
      <c r="Q1453" t="str">
        <v>"qty":1315</v>
      </c>
      <c r="S1453" t="s">
        <v>2498</v>
      </c>
      <c r="T1453" t="str">
        <f t="shared" si="170"/>
        <v>"id":"s1435","cate":"Capacitor","des":"Capacitor 47UF 16V 20%","mfg":"AISHI","pn":"ERM1CM470D11OT","qty":1315</v>
      </c>
      <c r="U1453" t="s">
        <v>2503</v>
      </c>
    </row>
    <row r="1454" spans="5:21" x14ac:dyDescent="0.25">
      <c r="E1454" t="s">
        <v>2193</v>
      </c>
      <c r="F1454" t="s">
        <v>1979</v>
      </c>
      <c r="G1454" t="s">
        <v>13</v>
      </c>
      <c r="H1454" t="s">
        <v>1980</v>
      </c>
      <c r="I1454">
        <v>1297</v>
      </c>
      <c r="K1454" t="s">
        <v>3939</v>
      </c>
      <c r="L1454" t="str">
        <f t="shared" si="169"/>
        <v>"id":"s1436",</v>
      </c>
      <c r="M1454" t="str">
        <v>"cate":"Capacitor",</v>
      </c>
      <c r="N1454" t="str">
        <v>"des":"Capacitor 22UF 16V 1210",</v>
      </c>
      <c r="O1454" t="str">
        <v>"mfg":"EPCOS/TDK",</v>
      </c>
      <c r="P1454" t="str">
        <v>"pn":"B37650-K9226K0",</v>
      </c>
      <c r="Q1454" t="str">
        <v>"qty":1311</v>
      </c>
      <c r="S1454" t="s">
        <v>2498</v>
      </c>
      <c r="T1454" t="str">
        <f t="shared" si="170"/>
        <v>"id":"s1436","cate":"Capacitor","des":"Capacitor 22UF 16V 1210","mfg":"EPCOS/TDK","pn":"B37650-K9226K0","qty":1311</v>
      </c>
      <c r="U1454" t="s">
        <v>2503</v>
      </c>
    </row>
    <row r="1455" spans="5:21" x14ac:dyDescent="0.25">
      <c r="E1455" t="s">
        <v>2193</v>
      </c>
      <c r="F1455" t="s">
        <v>1981</v>
      </c>
      <c r="G1455" t="s">
        <v>13</v>
      </c>
      <c r="H1455" t="s">
        <v>1982</v>
      </c>
      <c r="I1455">
        <v>1294</v>
      </c>
      <c r="K1455" t="s">
        <v>3940</v>
      </c>
      <c r="L1455" t="str">
        <f t="shared" si="169"/>
        <v>"id":"s1437",</v>
      </c>
      <c r="M1455" t="str">
        <v>"cate":"Capacitor",</v>
      </c>
      <c r="N1455" t="str">
        <v>"des":"Capacitor 22UF 16V 1210",</v>
      </c>
      <c r="O1455" t="str">
        <v>"mfg":"KEMET",</v>
      </c>
      <c r="P1455" t="str">
        <v>"pn":"C1210C226K4PAC7800",</v>
      </c>
      <c r="Q1455" t="str">
        <v>"qty":1311</v>
      </c>
      <c r="S1455" t="s">
        <v>2498</v>
      </c>
      <c r="T1455" t="str">
        <f t="shared" si="170"/>
        <v>"id":"s1437","cate":"Capacitor","des":"Capacitor 22UF 16V 1210","mfg":"KEMET","pn":"C1210C226K4PAC7800","qty":1311</v>
      </c>
      <c r="U1455" t="s">
        <v>2503</v>
      </c>
    </row>
    <row r="1456" spans="5:21" x14ac:dyDescent="0.25">
      <c r="E1456" t="s">
        <v>2193</v>
      </c>
      <c r="F1456" t="s">
        <v>1983</v>
      </c>
      <c r="G1456" t="s">
        <v>13</v>
      </c>
      <c r="H1456" t="s">
        <v>1984</v>
      </c>
      <c r="I1456">
        <v>1292</v>
      </c>
      <c r="K1456" t="s">
        <v>3941</v>
      </c>
      <c r="L1456" t="str">
        <f t="shared" si="169"/>
        <v>"id":"s1438",</v>
      </c>
      <c r="M1456" t="str">
        <v>"cate":"Capacitor",</v>
      </c>
      <c r="N1456" t="str">
        <v>"des":"Capacitor 22UF 16V 1210",</v>
      </c>
      <c r="O1456" t="str">
        <v>"mfg":"MURATA MANUFACTURING",</v>
      </c>
      <c r="P1456" t="str">
        <v>"pn":"GRM32ER61C226KE20",</v>
      </c>
      <c r="Q1456" t="str">
        <v>"qty":1311</v>
      </c>
      <c r="S1456" t="s">
        <v>2498</v>
      </c>
      <c r="T1456" t="str">
        <f t="shared" si="170"/>
        <v>"id":"s1438","cate":"Capacitor","des":"Capacitor 22UF 16V 1210","mfg":"MURATA MANUFACTURING","pn":"GRM32ER61C226KE20","qty":1311</v>
      </c>
      <c r="U1456" t="s">
        <v>2503</v>
      </c>
    </row>
    <row r="1457" spans="5:21" x14ac:dyDescent="0.25">
      <c r="E1457" t="s">
        <v>2194</v>
      </c>
      <c r="F1457" t="s">
        <v>2365</v>
      </c>
      <c r="G1457" t="s">
        <v>47</v>
      </c>
      <c r="H1457" t="s">
        <v>1985</v>
      </c>
      <c r="I1457">
        <v>1290</v>
      </c>
      <c r="K1457" t="s">
        <v>3942</v>
      </c>
      <c r="L1457" t="str">
        <f t="shared" si="169"/>
        <v>"id":"s1439",</v>
      </c>
      <c r="M1457" t="str">
        <v>"cate":"Capacitor",</v>
      </c>
      <c r="N1457" t="str">
        <v>"des":"Capacitor 22UF 16V 1210",</v>
      </c>
      <c r="O1457" t="str">
        <v>"mfg":"TAIYO YUDEN",</v>
      </c>
      <c r="P1457" t="str">
        <v>"pn":"EMK325BJ226KM-P",</v>
      </c>
      <c r="Q1457" t="str">
        <v>"qty":1311</v>
      </c>
      <c r="S1457" t="s">
        <v>2498</v>
      </c>
      <c r="T1457" t="str">
        <f t="shared" si="170"/>
        <v>"id":"s1439","cate":"Capacitor","des":"Capacitor 22UF 16V 1210","mfg":"TAIYO YUDEN","pn":"EMK325BJ226KM-P","qty":1311</v>
      </c>
      <c r="U1457" t="s">
        <v>2503</v>
      </c>
    </row>
    <row r="1458" spans="5:21" x14ac:dyDescent="0.25">
      <c r="E1458" t="s">
        <v>2194</v>
      </c>
      <c r="F1458" t="s">
        <v>2365</v>
      </c>
      <c r="G1458" t="s">
        <v>47</v>
      </c>
      <c r="H1458" t="s">
        <v>1986</v>
      </c>
      <c r="I1458">
        <v>1290</v>
      </c>
      <c r="K1458" t="s">
        <v>3943</v>
      </c>
      <c r="L1458" t="str">
        <f t="shared" si="169"/>
        <v>"id":"s1440",</v>
      </c>
      <c r="M1458" t="str">
        <v>"cate":"Capacitor",</v>
      </c>
      <c r="N1458" t="str">
        <v>"des":"Capacitor 22UF 16V 1210",</v>
      </c>
      <c r="O1458" t="str">
        <v>"mfg":"TAIYO YUDEN",</v>
      </c>
      <c r="P1458" t="str">
        <v>"pn":"EMK325BJ226KM-T",</v>
      </c>
      <c r="Q1458" t="str">
        <v>"qty":1311</v>
      </c>
      <c r="S1458" t="s">
        <v>2498</v>
      </c>
      <c r="T1458" t="str">
        <f t="shared" si="170"/>
        <v>"id":"s1440","cate":"Capacitor","des":"Capacitor 22UF 16V 1210","mfg":"TAIYO YUDEN","pn":"EMK325BJ226KM-T","qty":1311</v>
      </c>
      <c r="U1458" t="s">
        <v>2503</v>
      </c>
    </row>
    <row r="1459" spans="5:21" x14ac:dyDescent="0.25">
      <c r="E1459" s="6" t="s">
        <v>2382</v>
      </c>
      <c r="F1459" t="s">
        <v>1987</v>
      </c>
      <c r="G1459" t="s">
        <v>825</v>
      </c>
      <c r="H1459" t="s">
        <v>1988</v>
      </c>
      <c r="I1459">
        <v>1281</v>
      </c>
      <c r="K1459" t="s">
        <v>3944</v>
      </c>
      <c r="L1459" t="str">
        <f t="shared" si="169"/>
        <v>"id":"s1441",</v>
      </c>
      <c r="M1459" t="str">
        <v>"cate":"Capacitor",</v>
      </c>
      <c r="N1459" t="str">
        <v>"des":"Capacitor 22UF 16V 1210",</v>
      </c>
      <c r="O1459" t="str">
        <v>"mfg":"KYOCERA",</v>
      </c>
      <c r="P1459" t="str">
        <v>"pn":"CM32X5R226K16A",</v>
      </c>
      <c r="Q1459" t="str">
        <v>"qty":1311</v>
      </c>
      <c r="S1459" t="s">
        <v>2498</v>
      </c>
      <c r="T1459" t="str">
        <f t="shared" si="170"/>
        <v>"id":"s1441","cate":"Capacitor","des":"Capacitor 22UF 16V 1210","mfg":"KYOCERA","pn":"CM32X5R226K16A","qty":1311</v>
      </c>
      <c r="U1459" t="s">
        <v>2503</v>
      </c>
    </row>
    <row r="1460" spans="5:21" x14ac:dyDescent="0.25">
      <c r="E1460" t="s">
        <v>2193</v>
      </c>
      <c r="F1460" t="s">
        <v>1989</v>
      </c>
      <c r="G1460" t="s">
        <v>89</v>
      </c>
      <c r="H1460" t="s">
        <v>1990</v>
      </c>
      <c r="I1460">
        <v>1276</v>
      </c>
      <c r="K1460" t="s">
        <v>3945</v>
      </c>
      <c r="L1460" t="str">
        <f t="shared" si="169"/>
        <v>"id":"s1442",</v>
      </c>
      <c r="M1460" t="str">
        <v>"cate":"Resistor ",</v>
      </c>
      <c r="N1460" t="str">
        <v>"des":"RST 200K 0,1W1%603A",</v>
      </c>
      <c r="O1460" t="str">
        <v>"mfg":"YAGEO",</v>
      </c>
      <c r="P1460" t="str">
        <v>"pn":"RC0603FR-07200KL",</v>
      </c>
      <c r="Q1460" t="str">
        <v>"qty":1311</v>
      </c>
      <c r="S1460" t="s">
        <v>2498</v>
      </c>
      <c r="T1460" t="str">
        <f t="shared" si="170"/>
        <v>"id":"s1442","cate":"Resistor ","des":"RST 200K 0,1W1%603A","mfg":"YAGEO","pn":"RC0603FR-07200KL","qty":1311</v>
      </c>
      <c r="U1460" t="s">
        <v>2503</v>
      </c>
    </row>
    <row r="1461" spans="5:21" x14ac:dyDescent="0.25">
      <c r="E1461" t="s">
        <v>2193</v>
      </c>
      <c r="F1461" t="s">
        <v>1989</v>
      </c>
      <c r="G1461" t="s">
        <v>1991</v>
      </c>
      <c r="H1461" t="s">
        <v>1992</v>
      </c>
      <c r="I1461">
        <v>1276</v>
      </c>
      <c r="K1461" t="s">
        <v>3946</v>
      </c>
      <c r="L1461" t="str">
        <f t="shared" si="169"/>
        <v>"id":"s1443",</v>
      </c>
      <c r="M1461" t="str">
        <v>"cate":"Resistor ",</v>
      </c>
      <c r="N1461" t="str">
        <v>"des":"RST 200K 0,1W1%603A",</v>
      </c>
      <c r="O1461" t="str">
        <v>"mfg":"VISHAY",</v>
      </c>
      <c r="P1461" t="str">
        <v>"pn":"CRCW0603200KFKEA",</v>
      </c>
      <c r="Q1461" t="str">
        <v>"qty":1311</v>
      </c>
      <c r="S1461" t="s">
        <v>2498</v>
      </c>
      <c r="T1461" t="str">
        <f t="shared" si="170"/>
        <v>"id":"s1443","cate":"Resistor ","des":"RST 200K 0,1W1%603A","mfg":"VISHAY","pn":"CRCW0603200KFKEA","qty":1311</v>
      </c>
      <c r="U1461" t="s">
        <v>2503</v>
      </c>
    </row>
    <row r="1462" spans="5:21" x14ac:dyDescent="0.25">
      <c r="E1462" t="s">
        <v>2194</v>
      </c>
      <c r="F1462" t="s">
        <v>2366</v>
      </c>
      <c r="G1462" t="s">
        <v>47</v>
      </c>
      <c r="H1462" t="s">
        <v>1993</v>
      </c>
      <c r="I1462">
        <v>1274</v>
      </c>
      <c r="K1462" t="s">
        <v>3947</v>
      </c>
      <c r="L1462" t="str">
        <f t="shared" si="169"/>
        <v>"id":"s1444",</v>
      </c>
      <c r="M1462" t="str">
        <v>"cate":"Capacitor",</v>
      </c>
      <c r="N1462" t="str">
        <v>"des":"Capacitor 2,2NF/1500V",</v>
      </c>
      <c r="O1462" t="str">
        <v>"mfg":"KEMET",</v>
      </c>
      <c r="P1462" t="str">
        <v>"pn":"C1808C222MFRACTU",</v>
      </c>
      <c r="Q1462" t="str">
        <v>"qty":1309</v>
      </c>
      <c r="S1462" t="s">
        <v>2498</v>
      </c>
      <c r="T1462" t="str">
        <f t="shared" si="170"/>
        <v>"id":"s1444","cate":"Capacitor","des":"Capacitor 2,2NF/1500V","mfg":"KEMET","pn":"C1808C222MFRACTU","qty":1309</v>
      </c>
      <c r="U1462" t="s">
        <v>2503</v>
      </c>
    </row>
    <row r="1463" spans="5:21" x14ac:dyDescent="0.25">
      <c r="E1463" t="s">
        <v>2194</v>
      </c>
      <c r="F1463" t="s">
        <v>2366</v>
      </c>
      <c r="G1463" t="s">
        <v>47</v>
      </c>
      <c r="H1463" t="s">
        <v>1994</v>
      </c>
      <c r="I1463">
        <v>1274</v>
      </c>
      <c r="K1463" t="s">
        <v>3948</v>
      </c>
      <c r="L1463" t="str">
        <f t="shared" si="169"/>
        <v>"id":"s1445",</v>
      </c>
      <c r="M1463" t="str">
        <v>"cate":"Capacitor",</v>
      </c>
      <c r="N1463" t="str">
        <v>"des":"Capacitor 2,2NF/1500V",</v>
      </c>
      <c r="O1463" t="str">
        <v>"mfg":"AVX",</v>
      </c>
      <c r="P1463" t="str">
        <v>"pn":"1808SC222KAT2A",</v>
      </c>
      <c r="Q1463" t="str">
        <v>"qty":1309</v>
      </c>
      <c r="S1463" t="s">
        <v>2498</v>
      </c>
      <c r="T1463" t="str">
        <f t="shared" si="170"/>
        <v>"id":"s1445","cate":"Capacitor","des":"Capacitor 2,2NF/1500V","mfg":"AVX","pn":"1808SC222KAT2A","qty":1309</v>
      </c>
      <c r="U1463" t="s">
        <v>2503</v>
      </c>
    </row>
    <row r="1464" spans="5:21" x14ac:dyDescent="0.25">
      <c r="E1464" t="s">
        <v>2194</v>
      </c>
      <c r="F1464" t="s">
        <v>2366</v>
      </c>
      <c r="G1464" t="s">
        <v>37</v>
      </c>
      <c r="H1464" t="s">
        <v>1995</v>
      </c>
      <c r="I1464">
        <v>1274</v>
      </c>
      <c r="K1464" t="s">
        <v>3949</v>
      </c>
      <c r="L1464" t="str">
        <f t="shared" si="169"/>
        <v>"id":"s1446",</v>
      </c>
      <c r="M1464" t="str">
        <v>"cate":"Capacitor",</v>
      </c>
      <c r="N1464" t="str">
        <v>"des":"Capacitor 2,2NF/1500V",</v>
      </c>
      <c r="O1464" t="str">
        <v>"mfg":"AVX",</v>
      </c>
      <c r="P1464" t="str">
        <v>"pn":"1808SC222MAT2A",</v>
      </c>
      <c r="Q1464" t="str">
        <v>"qty":1309</v>
      </c>
      <c r="S1464" t="s">
        <v>2498</v>
      </c>
      <c r="T1464" t="str">
        <f t="shared" si="170"/>
        <v>"id":"s1446","cate":"Capacitor","des":"Capacitor 2,2NF/1500V","mfg":"AVX","pn":"1808SC222MAT2A","qty":1309</v>
      </c>
      <c r="U1464" t="s">
        <v>2503</v>
      </c>
    </row>
    <row r="1465" spans="5:21" x14ac:dyDescent="0.25">
      <c r="E1465" t="s">
        <v>2194</v>
      </c>
      <c r="F1465" t="s">
        <v>2366</v>
      </c>
      <c r="G1465" t="s">
        <v>62</v>
      </c>
      <c r="H1465" t="s">
        <v>1996</v>
      </c>
      <c r="I1465">
        <v>1274</v>
      </c>
      <c r="K1465" t="s">
        <v>3950</v>
      </c>
      <c r="L1465" t="str">
        <f t="shared" si="169"/>
        <v>"id":"s1447",</v>
      </c>
      <c r="M1465" t="str">
        <v>"cate":"Resistor ",</v>
      </c>
      <c r="N1465" t="str">
        <v>"des":"RST 51K 0,1W 5% 603",</v>
      </c>
      <c r="O1465" t="str">
        <v>"mfg":"YAGEO",</v>
      </c>
      <c r="P1465" t="str">
        <v>"pn":"RC0603JR-0751KL",</v>
      </c>
      <c r="Q1465" t="str">
        <v>"qty":1307</v>
      </c>
      <c r="S1465" t="s">
        <v>2498</v>
      </c>
      <c r="T1465" t="str">
        <f t="shared" si="170"/>
        <v>"id":"s1447","cate":"Resistor ","des":"RST 51K 0,1W 5% 603","mfg":"YAGEO","pn":"RC0603JR-0751KL","qty":1307</v>
      </c>
      <c r="U1465" t="s">
        <v>2503</v>
      </c>
    </row>
    <row r="1466" spans="5:21" x14ac:dyDescent="0.25">
      <c r="E1466" t="s">
        <v>2193</v>
      </c>
      <c r="F1466" t="s">
        <v>1997</v>
      </c>
      <c r="G1466" t="s">
        <v>13</v>
      </c>
      <c r="H1466" t="s">
        <v>1998</v>
      </c>
      <c r="I1466">
        <v>1272</v>
      </c>
      <c r="K1466" t="s">
        <v>3951</v>
      </c>
      <c r="L1466" t="str">
        <f t="shared" si="169"/>
        <v>"id":"s1448",</v>
      </c>
      <c r="M1466" t="str">
        <v>"cate":"Resistor ",</v>
      </c>
      <c r="N1466" t="str">
        <v>"des":"RST 5K1 0,1W 5% 603",</v>
      </c>
      <c r="O1466" t="str">
        <v>"mfg":"YAGEO",</v>
      </c>
      <c r="P1466" t="str">
        <v>"pn":"RC0603JR-075K1L",</v>
      </c>
      <c r="Q1466" t="str">
        <v>"qty":1302</v>
      </c>
      <c r="S1466" t="s">
        <v>2498</v>
      </c>
      <c r="T1466" t="str">
        <f t="shared" si="170"/>
        <v>"id":"s1448","cate":"Resistor ","des":"RST 5K1 0,1W 5% 603","mfg":"YAGEO","pn":"RC0603JR-075K1L","qty":1302</v>
      </c>
      <c r="U1466" t="s">
        <v>2503</v>
      </c>
    </row>
    <row r="1467" spans="5:21" x14ac:dyDescent="0.25">
      <c r="E1467" t="s">
        <v>2183</v>
      </c>
      <c r="F1467" t="s">
        <v>1999</v>
      </c>
      <c r="G1467" t="s">
        <v>202</v>
      </c>
      <c r="H1467" t="s">
        <v>2000</v>
      </c>
      <c r="I1467">
        <v>1266</v>
      </c>
      <c r="K1467" t="s">
        <v>3952</v>
      </c>
      <c r="L1467" t="str">
        <f t="shared" si="169"/>
        <v>"id":"s1449",</v>
      </c>
      <c r="M1467" t="str">
        <v>"cate":"Resistor ",</v>
      </c>
      <c r="N1467" t="str">
        <v>"des":"RST 6K19 0,1W 1%603",</v>
      </c>
      <c r="O1467" t="str">
        <v>"mfg":"YAGEO",</v>
      </c>
      <c r="P1467" t="str">
        <v>"pn":"RC0603FR-076K19L",</v>
      </c>
      <c r="Q1467" t="str">
        <v>"qty":1297</v>
      </c>
      <c r="S1467" t="s">
        <v>2498</v>
      </c>
      <c r="T1467" t="str">
        <f t="shared" si="170"/>
        <v>"id":"s1449","cate":"Resistor ","des":"RST 6K19 0,1W 1%603","mfg":"YAGEO","pn":"RC0603FR-076K19L","qty":1297</v>
      </c>
      <c r="U1467" t="s">
        <v>2503</v>
      </c>
    </row>
    <row r="1468" spans="5:21" x14ac:dyDescent="0.25">
      <c r="E1468" t="s">
        <v>2474</v>
      </c>
      <c r="F1468" t="s">
        <v>2483</v>
      </c>
      <c r="G1468" t="s">
        <v>37</v>
      </c>
      <c r="H1468" t="s">
        <v>2001</v>
      </c>
      <c r="I1468">
        <v>1260</v>
      </c>
      <c r="K1468" t="s">
        <v>3953</v>
      </c>
      <c r="L1468" t="str">
        <f t="shared" si="169"/>
        <v>"id":"s1450",</v>
      </c>
      <c r="M1468" t="str">
        <v>"cate":"Resistor ",</v>
      </c>
      <c r="N1468" t="str">
        <v>"des":"RST 0 1/16W 5% 0603",</v>
      </c>
      <c r="O1468" t="str">
        <v>"mfg":"YAGEO",</v>
      </c>
      <c r="P1468" t="str">
        <v>"pn":"RC0603JR-070RL",</v>
      </c>
      <c r="Q1468" t="str">
        <v>"qty":1294</v>
      </c>
      <c r="S1468" t="s">
        <v>2498</v>
      </c>
      <c r="T1468" t="str">
        <f t="shared" si="170"/>
        <v>"id":"s1450","cate":"Resistor ","des":"RST 0 1/16W 5% 0603","mfg":"YAGEO","pn":"RC0603JR-070RL","qty":1294</v>
      </c>
      <c r="U1468" t="s">
        <v>2503</v>
      </c>
    </row>
    <row r="1469" spans="5:21" x14ac:dyDescent="0.25">
      <c r="E1469" t="s">
        <v>2194</v>
      </c>
      <c r="F1469" t="s">
        <v>2367</v>
      </c>
      <c r="G1469" t="s">
        <v>45</v>
      </c>
      <c r="H1469" t="s">
        <v>2002</v>
      </c>
      <c r="I1469">
        <v>1250</v>
      </c>
      <c r="K1469" t="s">
        <v>3954</v>
      </c>
      <c r="L1469" t="str">
        <f t="shared" si="169"/>
        <v>"id":"s1451",</v>
      </c>
      <c r="M1469" t="str">
        <v>"cate":"Resistor ",</v>
      </c>
      <c r="N1469" t="str">
        <v>"des":"RST 100K0,1W 1%603A",</v>
      </c>
      <c r="O1469" t="str">
        <v>"mfg":"YAGEO",</v>
      </c>
      <c r="P1469" t="str">
        <v>"pn":"RC0603FR-07100KL",</v>
      </c>
      <c r="Q1469" t="str">
        <v>"qty":1292</v>
      </c>
      <c r="S1469" t="s">
        <v>2498</v>
      </c>
      <c r="T1469" t="str">
        <f t="shared" si="170"/>
        <v>"id":"s1451","cate":"Resistor ","des":"RST 100K0,1W 1%603A","mfg":"YAGEO","pn":"RC0603FR-07100KL","qty":1292</v>
      </c>
      <c r="U1469" t="s">
        <v>2503</v>
      </c>
    </row>
    <row r="1470" spans="5:21" x14ac:dyDescent="0.25">
      <c r="E1470" t="s">
        <v>2194</v>
      </c>
      <c r="F1470" t="s">
        <v>2368</v>
      </c>
      <c r="G1470" t="s">
        <v>8</v>
      </c>
      <c r="H1470" t="s">
        <v>2003</v>
      </c>
      <c r="I1470">
        <v>1233</v>
      </c>
      <c r="K1470" t="s">
        <v>3955</v>
      </c>
      <c r="L1470" t="str">
        <f t="shared" si="169"/>
        <v>"id":"s1452",</v>
      </c>
      <c r="M1470" t="str">
        <v>"cate":"Capacitor",</v>
      </c>
      <c r="N1470" t="str">
        <v>"des":"Capacitor 1UF 50V 1210",</v>
      </c>
      <c r="O1470" t="str">
        <v>"mfg":"KEMET",</v>
      </c>
      <c r="P1470" t="str">
        <v>"pn":"C1210J105K5RACTU",</v>
      </c>
      <c r="Q1470" t="str">
        <v>"qty":1290</v>
      </c>
      <c r="S1470" t="s">
        <v>2498</v>
      </c>
      <c r="T1470" t="str">
        <f t="shared" si="170"/>
        <v>"id":"s1452","cate":"Capacitor","des":"Capacitor 1UF 50V 1210","mfg":"KEMET","pn":"C1210J105K5RACTU","qty":1290</v>
      </c>
      <c r="U1470" t="s">
        <v>2503</v>
      </c>
    </row>
    <row r="1471" spans="5:21" x14ac:dyDescent="0.25">
      <c r="E1471" t="s">
        <v>2194</v>
      </c>
      <c r="F1471" t="s">
        <v>2369</v>
      </c>
      <c r="G1471" t="s">
        <v>176</v>
      </c>
      <c r="H1471" t="s">
        <v>2004</v>
      </c>
      <c r="I1471">
        <v>1221</v>
      </c>
      <c r="K1471" t="s">
        <v>3956</v>
      </c>
      <c r="L1471" t="str">
        <f t="shared" si="169"/>
        <v>"id":"s1453",</v>
      </c>
      <c r="M1471" t="str">
        <v>"cate":"Capacitor",</v>
      </c>
      <c r="N1471" t="str">
        <v>"des":"Capacitor 1UF 50V 1210",</v>
      </c>
      <c r="O1471" t="str">
        <v>"mfg":"KEMET",</v>
      </c>
      <c r="P1471" t="str">
        <v>"pn":"C1210J105K5RAC7800",</v>
      </c>
      <c r="Q1471" t="str">
        <v>"qty":1290</v>
      </c>
      <c r="S1471" t="s">
        <v>2498</v>
      </c>
      <c r="T1471" t="str">
        <f t="shared" si="170"/>
        <v>"id":"s1453","cate":"Capacitor","des":"Capacitor 1UF 50V 1210","mfg":"KEMET","pn":"C1210J105K5RAC7800","qty":1290</v>
      </c>
      <c r="U1471" t="s">
        <v>2503</v>
      </c>
    </row>
    <row r="1472" spans="5:21" x14ac:dyDescent="0.25">
      <c r="E1472" t="s">
        <v>2194</v>
      </c>
      <c r="F1472" t="s">
        <v>2369</v>
      </c>
      <c r="G1472" t="s">
        <v>45</v>
      </c>
      <c r="H1472" t="s">
        <v>2005</v>
      </c>
      <c r="I1472">
        <v>1221</v>
      </c>
      <c r="K1472" t="s">
        <v>3957</v>
      </c>
      <c r="L1472" t="str">
        <f t="shared" si="169"/>
        <v>"id":"s1454",</v>
      </c>
      <c r="M1472" t="str">
        <v>"cate":"IC",</v>
      </c>
      <c r="N1472" t="str">
        <v>"des":"IC CP2102-GMR",</v>
      </c>
      <c r="O1472" t="str">
        <v>"mfg":"SILICONLABS",</v>
      </c>
      <c r="P1472" t="str">
        <v>"pn":"CP2102-GMR",</v>
      </c>
      <c r="Q1472" t="str">
        <v>"qty":1281</v>
      </c>
      <c r="S1472" t="s">
        <v>2498</v>
      </c>
      <c r="T1472" t="str">
        <f t="shared" si="170"/>
        <v>"id":"s1454","cate":"IC","des":"IC CP2102-GMR","mfg":"SILICONLABS","pn":"CP2102-GMR","qty":1281</v>
      </c>
      <c r="U1472" t="s">
        <v>2503</v>
      </c>
    </row>
    <row r="1473" spans="5:21" x14ac:dyDescent="0.25">
      <c r="E1473" t="s">
        <v>2194</v>
      </c>
      <c r="F1473" t="s">
        <v>2369</v>
      </c>
      <c r="G1473" t="s">
        <v>45</v>
      </c>
      <c r="H1473" t="s">
        <v>2006</v>
      </c>
      <c r="I1473">
        <v>1221</v>
      </c>
      <c r="K1473" t="s">
        <v>3958</v>
      </c>
      <c r="L1473" t="str">
        <f t="shared" si="169"/>
        <v>"id":"s1455",</v>
      </c>
      <c r="M1473" t="str">
        <v>"cate":"Resistor ",</v>
      </c>
      <c r="N1473" t="str">
        <v>"des":"RST 10M 1W 1% 2512",</v>
      </c>
      <c r="O1473" t="str">
        <v>"mfg":"BOURNS",</v>
      </c>
      <c r="P1473" t="str">
        <v>"pn":"CRA2512-FZ-R010ELF",</v>
      </c>
      <c r="Q1473" t="str">
        <v>"qty":1276</v>
      </c>
      <c r="S1473" t="s">
        <v>2498</v>
      </c>
      <c r="T1473" t="str">
        <f t="shared" si="170"/>
        <v>"id":"s1455","cate":"Resistor ","des":"RST 10M 1W 1% 2512","mfg":"BOURNS","pn":"CRA2512-FZ-R010ELF","qty":1276</v>
      </c>
      <c r="U1473" t="s">
        <v>2503</v>
      </c>
    </row>
    <row r="1474" spans="5:21" x14ac:dyDescent="0.25">
      <c r="E1474" t="s">
        <v>2194</v>
      </c>
      <c r="F1474" t="s">
        <v>2369</v>
      </c>
      <c r="G1474" t="s">
        <v>290</v>
      </c>
      <c r="H1474" t="s">
        <v>2007</v>
      </c>
      <c r="I1474">
        <v>1221</v>
      </c>
      <c r="K1474" t="s">
        <v>3959</v>
      </c>
      <c r="L1474" t="str">
        <f t="shared" si="169"/>
        <v>"id":"s1456",</v>
      </c>
      <c r="M1474" t="str">
        <v>"cate":"Resistor ",</v>
      </c>
      <c r="N1474" t="str">
        <v>"des":"RST 10M 1W 1% 2512",</v>
      </c>
      <c r="O1474" t="str">
        <v>"mfg":"MEGGITT",</v>
      </c>
      <c r="P1474" t="str">
        <v>"pn":"TL3AR01F",</v>
      </c>
      <c r="Q1474" t="str">
        <v>"qty":1276</v>
      </c>
      <c r="S1474" t="s">
        <v>2498</v>
      </c>
      <c r="T1474" t="str">
        <f t="shared" si="170"/>
        <v>"id":"s1456","cate":"Resistor ","des":"RST 10M 1W 1% 2512","mfg":"MEGGITT","pn":"TL3AR01F","qty":1276</v>
      </c>
      <c r="U1474" t="s">
        <v>2503</v>
      </c>
    </row>
    <row r="1475" spans="5:21" x14ac:dyDescent="0.25">
      <c r="E1475" t="s">
        <v>2194</v>
      </c>
      <c r="F1475" t="s">
        <v>2369</v>
      </c>
      <c r="G1475" t="s">
        <v>123</v>
      </c>
      <c r="H1475" t="s">
        <v>2008</v>
      </c>
      <c r="I1475">
        <v>1221</v>
      </c>
      <c r="K1475" t="s">
        <v>3960</v>
      </c>
      <c r="L1475" t="str">
        <f t="shared" si="169"/>
        <v>"id":"s1457",</v>
      </c>
      <c r="M1475" t="str">
        <v>"cate":"Capacitor",</v>
      </c>
      <c r="N1475" t="str">
        <v>"des":"Capacitor 1UF 100V TH",</v>
      </c>
      <c r="O1475" t="str">
        <v>"mfg":"KEMET",</v>
      </c>
      <c r="P1475" t="str">
        <v>"pn":"R60EF4100506AK",</v>
      </c>
      <c r="Q1475" t="str">
        <v>"qty":1274</v>
      </c>
      <c r="S1475" t="s">
        <v>2498</v>
      </c>
      <c r="T1475" t="str">
        <f t="shared" si="170"/>
        <v>"id":"s1457","cate":"Capacitor","des":"Capacitor 1UF 100V TH","mfg":"KEMET","pn":"R60EF4100506AK","qty":1274</v>
      </c>
      <c r="U1475" t="s">
        <v>2503</v>
      </c>
    </row>
    <row r="1476" spans="5:21" x14ac:dyDescent="0.25">
      <c r="E1476" t="s">
        <v>2194</v>
      </c>
      <c r="F1476" t="s">
        <v>2369</v>
      </c>
      <c r="G1476" t="s">
        <v>123</v>
      </c>
      <c r="H1476" t="s">
        <v>2009</v>
      </c>
      <c r="I1476">
        <v>1221</v>
      </c>
      <c r="K1476" t="s">
        <v>3961</v>
      </c>
      <c r="L1476" t="str">
        <f t="shared" si="169"/>
        <v>"id":"s1458",</v>
      </c>
      <c r="M1476" t="str">
        <v>"cate":"Capacitor",</v>
      </c>
      <c r="N1476" t="str">
        <v>"des":"Capacitor 1UF 100V TH",</v>
      </c>
      <c r="O1476" t="str">
        <v>"mfg":"KEMET",</v>
      </c>
      <c r="P1476" t="str">
        <v>"pn":"60EF4100506AK",</v>
      </c>
      <c r="Q1476" t="str">
        <v>"qty":1274</v>
      </c>
      <c r="S1476" t="s">
        <v>2498</v>
      </c>
      <c r="T1476" t="str">
        <f t="shared" si="170"/>
        <v>"id":"s1458","cate":"Capacitor","des":"Capacitor 1UF 100V TH","mfg":"KEMET","pn":"60EF4100506AK","qty":1274</v>
      </c>
      <c r="U1476" t="s">
        <v>2503</v>
      </c>
    </row>
    <row r="1477" spans="5:21" x14ac:dyDescent="0.25">
      <c r="E1477" t="s">
        <v>2193</v>
      </c>
      <c r="F1477" t="s">
        <v>2010</v>
      </c>
      <c r="G1477" t="s">
        <v>37</v>
      </c>
      <c r="H1477" t="s">
        <v>2011</v>
      </c>
      <c r="I1477">
        <v>1220</v>
      </c>
      <c r="K1477" t="s">
        <v>3962</v>
      </c>
      <c r="L1477" t="str">
        <f t="shared" si="169"/>
        <v>"id":"s1459",</v>
      </c>
      <c r="M1477" t="str">
        <v>"cate":"Capacitor",</v>
      </c>
      <c r="N1477" t="str">
        <v>"des":"Capacitor 1UF 100V TH",</v>
      </c>
      <c r="O1477" t="str">
        <v>"mfg":"VISHAY",</v>
      </c>
      <c r="P1477" t="str">
        <v>"pn":"MKT1820510015M",</v>
      </c>
      <c r="Q1477" t="str">
        <v>"qty":1274</v>
      </c>
      <c r="S1477" t="s">
        <v>2498</v>
      </c>
      <c r="T1477" t="str">
        <f t="shared" si="170"/>
        <v>"id":"s1459","cate":"Capacitor","des":"Capacitor 1UF 100V TH","mfg":"VISHAY","pn":"MKT1820510015M","qty":1274</v>
      </c>
      <c r="U1477" t="s">
        <v>2503</v>
      </c>
    </row>
    <row r="1478" spans="5:21" x14ac:dyDescent="0.25">
      <c r="E1478" t="s">
        <v>2193</v>
      </c>
      <c r="F1478" t="s">
        <v>2010</v>
      </c>
      <c r="G1478" t="s">
        <v>37</v>
      </c>
      <c r="H1478" t="s">
        <v>2012</v>
      </c>
      <c r="I1478">
        <v>1220</v>
      </c>
      <c r="K1478" t="s">
        <v>3963</v>
      </c>
      <c r="L1478" t="str">
        <f t="shared" si="169"/>
        <v>"id":"s1460",</v>
      </c>
      <c r="M1478" t="str">
        <v>"cate":"Capacitor",</v>
      </c>
      <c r="N1478" t="str">
        <v>"des":"Capacitor 1UF 100V TH",</v>
      </c>
      <c r="O1478" t="str">
        <v>"mfg":"TDK",</v>
      </c>
      <c r="P1478" t="str">
        <v>"pn":"B32521C1105J",</v>
      </c>
      <c r="Q1478" t="str">
        <v>"qty":1274</v>
      </c>
      <c r="S1478" t="s">
        <v>2498</v>
      </c>
      <c r="T1478" t="str">
        <f t="shared" si="170"/>
        <v>"id":"s1460","cate":"Capacitor","des":"Capacitor 1UF 100V TH","mfg":"TDK","pn":"B32521C1105J","qty":1274</v>
      </c>
      <c r="U1478" t="s">
        <v>2503</v>
      </c>
    </row>
    <row r="1479" spans="5:21" x14ac:dyDescent="0.25">
      <c r="E1479" s="6" t="s">
        <v>2487</v>
      </c>
      <c r="F1479" s="6" t="s">
        <v>2013</v>
      </c>
      <c r="G1479" t="s">
        <v>2014</v>
      </c>
      <c r="H1479" t="s">
        <v>2015</v>
      </c>
      <c r="I1479">
        <v>1206</v>
      </c>
      <c r="K1479" t="s">
        <v>3964</v>
      </c>
      <c r="L1479" t="str">
        <f t="shared" si="169"/>
        <v>"id":"s1461",</v>
      </c>
      <c r="M1479" t="str">
        <v>"cate":"Resistor ",</v>
      </c>
      <c r="N1479" t="str">
        <v>"des":"RST 0,02 1% 2W 2512",</v>
      </c>
      <c r="O1479" t="str">
        <v>"mfg":"YAGEO",</v>
      </c>
      <c r="P1479" t="str">
        <v>"pn":"PA2512FKE7W0R02E",</v>
      </c>
      <c r="Q1479" t="str">
        <v>"qty":1272</v>
      </c>
      <c r="S1479" t="s">
        <v>2498</v>
      </c>
      <c r="T1479" t="str">
        <f t="shared" si="170"/>
        <v>"id":"s1461","cate":"Resistor ","des":"RST 0,02 1% 2W 2512","mfg":"YAGEO","pn":"PA2512FKE7W0R02E","qty":1272</v>
      </c>
      <c r="U1479" t="s">
        <v>2503</v>
      </c>
    </row>
    <row r="1480" spans="5:21" x14ac:dyDescent="0.25">
      <c r="E1480" s="6" t="s">
        <v>2487</v>
      </c>
      <c r="F1480" t="s">
        <v>2013</v>
      </c>
      <c r="G1480" t="s">
        <v>2014</v>
      </c>
      <c r="H1480" s="6" t="s">
        <v>2016</v>
      </c>
      <c r="I1480">
        <v>1206</v>
      </c>
      <c r="K1480" t="s">
        <v>3965</v>
      </c>
      <c r="L1480" t="str">
        <f t="shared" si="169"/>
        <v>"id":"s1462",</v>
      </c>
      <c r="M1480" t="str">
        <v>"cate":"CNTM",</v>
      </c>
      <c r="N1480" t="str">
        <v>"des":"CNTM 2-1634688-0",</v>
      </c>
      <c r="O1480" t="str">
        <v>"mfg":"TE CONNECTIVITY",</v>
      </c>
      <c r="P1480" t="str">
        <v>"pn":"5103308-5",</v>
      </c>
      <c r="Q1480" t="str">
        <v>"qty":1266</v>
      </c>
      <c r="S1480" t="s">
        <v>2498</v>
      </c>
      <c r="T1480" t="str">
        <f t="shared" si="170"/>
        <v>"id":"s1462","cate":"CNTM","des":"CNTM 2-1634688-0","mfg":"TE CONNECTIVITY","pn":"5103308-5","qty":1266</v>
      </c>
      <c r="U1480" t="s">
        <v>2503</v>
      </c>
    </row>
    <row r="1481" spans="5:21" x14ac:dyDescent="0.25">
      <c r="E1481" s="6" t="s">
        <v>2487</v>
      </c>
      <c r="F1481" t="s">
        <v>2013</v>
      </c>
      <c r="G1481" t="s">
        <v>2014</v>
      </c>
      <c r="H1481" t="s">
        <v>2017</v>
      </c>
      <c r="I1481">
        <v>1206</v>
      </c>
      <c r="K1481" t="s">
        <v>3966</v>
      </c>
      <c r="L1481" t="str">
        <f t="shared" si="169"/>
        <v>"id":"s1463",</v>
      </c>
      <c r="M1481" t="str">
        <v>"cate":"MOSFET",</v>
      </c>
      <c r="N1481" t="str">
        <v>"des":"MOSFETET 100V 1,5A",</v>
      </c>
      <c r="O1481" t="str">
        <v>"mfg":"VISHAY",</v>
      </c>
      <c r="P1481" t="str">
        <v>"pn":"IRFL110TRPBF",</v>
      </c>
      <c r="Q1481" t="str">
        <v>"qty":1260</v>
      </c>
      <c r="S1481" t="s">
        <v>2498</v>
      </c>
      <c r="T1481" t="str">
        <f t="shared" si="170"/>
        <v>"id":"s1463","cate":"MOSFET","des":"MOSFETET 100V 1,5A","mfg":"VISHAY","pn":"IRFL110TRPBF","qty":1260</v>
      </c>
      <c r="U1481" t="s">
        <v>2503</v>
      </c>
    </row>
    <row r="1482" spans="5:21" x14ac:dyDescent="0.25">
      <c r="E1482" t="s">
        <v>2405</v>
      </c>
      <c r="F1482" t="s">
        <v>2462</v>
      </c>
      <c r="G1482" t="s">
        <v>57</v>
      </c>
      <c r="H1482" t="s">
        <v>2018</v>
      </c>
      <c r="I1482">
        <v>1205</v>
      </c>
      <c r="K1482" t="s">
        <v>3967</v>
      </c>
      <c r="L1482" t="str">
        <f t="shared" si="169"/>
        <v>"id":"s1464",</v>
      </c>
      <c r="M1482" t="str">
        <v>"cate":"Capacitor",</v>
      </c>
      <c r="N1482" t="str">
        <v>"des":"Capacitor 220NF/530VK-TH",</v>
      </c>
      <c r="O1482" t="str">
        <v>"mfg":"EPCOS/TDK",</v>
      </c>
      <c r="P1482" t="str">
        <v>"pn":"B32913B5224K",</v>
      </c>
      <c r="Q1482" t="str">
        <v>"qty":1250</v>
      </c>
      <c r="S1482" t="s">
        <v>2498</v>
      </c>
      <c r="T1482" t="str">
        <f t="shared" si="170"/>
        <v>"id":"s1464","cate":"Capacitor","des":"Capacitor 220NF/530VK-TH","mfg":"EPCOS/TDK","pn":"B32913B5224K","qty":1250</v>
      </c>
      <c r="U1482" t="s">
        <v>2503</v>
      </c>
    </row>
    <row r="1483" spans="5:21" x14ac:dyDescent="0.25">
      <c r="E1483" t="s">
        <v>2405</v>
      </c>
      <c r="F1483" t="s">
        <v>2462</v>
      </c>
      <c r="G1483" t="s">
        <v>61</v>
      </c>
      <c r="H1483" t="s">
        <v>2019</v>
      </c>
      <c r="I1483">
        <v>1205</v>
      </c>
      <c r="K1483" t="s">
        <v>3968</v>
      </c>
      <c r="L1483" t="str">
        <f t="shared" si="169"/>
        <v>"id":"s1465",</v>
      </c>
      <c r="M1483" t="str">
        <v>"cate":"Capacitor",</v>
      </c>
      <c r="N1483" t="str">
        <v>"des":"Capacitor 22UF/25V 1206",</v>
      </c>
      <c r="O1483" t="str">
        <v>"mfg":"SAMSUNG",</v>
      </c>
      <c r="P1483" t="str">
        <v>"pn":"CL31A226KAHNNNE",</v>
      </c>
      <c r="Q1483" t="str">
        <v>"qty":1233</v>
      </c>
      <c r="S1483" t="s">
        <v>2498</v>
      </c>
      <c r="T1483" t="str">
        <f t="shared" si="170"/>
        <v>"id":"s1465","cate":"Capacitor","des":"Capacitor 22UF/25V 1206","mfg":"SAMSUNG","pn":"CL31A226KAHNNNE","qty":1233</v>
      </c>
      <c r="U1483" t="s">
        <v>2503</v>
      </c>
    </row>
    <row r="1484" spans="5:21" x14ac:dyDescent="0.25">
      <c r="E1484" t="s">
        <v>2405</v>
      </c>
      <c r="F1484" t="s">
        <v>2462</v>
      </c>
      <c r="G1484" t="s">
        <v>328</v>
      </c>
      <c r="H1484" t="s">
        <v>2018</v>
      </c>
      <c r="I1484">
        <v>1205</v>
      </c>
      <c r="K1484" t="s">
        <v>3969</v>
      </c>
      <c r="L1484" t="str">
        <f t="shared" si="169"/>
        <v>"id":"s1466",</v>
      </c>
      <c r="M1484" t="str">
        <v>"cate":"Capacitor",</v>
      </c>
      <c r="N1484" t="str">
        <v>"des":"Capacitor 100NF/275V",</v>
      </c>
      <c r="O1484" t="str">
        <v>"mfg":"PANASONIC",</v>
      </c>
      <c r="P1484" t="str">
        <v>"pn":"ECQUAAF104M",</v>
      </c>
      <c r="Q1484" t="str">
        <v>"qty":1221</v>
      </c>
      <c r="S1484" t="s">
        <v>2498</v>
      </c>
      <c r="T1484" t="str">
        <f t="shared" si="170"/>
        <v>"id":"s1466","cate":"Capacitor","des":"Capacitor 100NF/275V","mfg":"PANASONIC","pn":"ECQUAAF104M","qty":1221</v>
      </c>
      <c r="U1484" t="s">
        <v>2503</v>
      </c>
    </row>
    <row r="1485" spans="5:21" x14ac:dyDescent="0.25">
      <c r="E1485" t="s">
        <v>2194</v>
      </c>
      <c r="F1485" t="s">
        <v>2370</v>
      </c>
      <c r="G1485" t="s">
        <v>64</v>
      </c>
      <c r="H1485" t="s">
        <v>2020</v>
      </c>
      <c r="I1485">
        <v>1195</v>
      </c>
      <c r="K1485" t="s">
        <v>3970</v>
      </c>
      <c r="L1485" t="str">
        <f t="shared" si="169"/>
        <v>"id":"s1467",</v>
      </c>
      <c r="M1485" t="str">
        <v>"cate":"Capacitor",</v>
      </c>
      <c r="N1485" t="str">
        <v>"des":"Capacitor 100NF/275V",</v>
      </c>
      <c r="O1485" t="str">
        <v>"mfg":"EPCOS/TDK",</v>
      </c>
      <c r="P1485" t="str">
        <v>"pn":"B32922C3104M",</v>
      </c>
      <c r="Q1485" t="str">
        <v>"qty":1221</v>
      </c>
      <c r="S1485" t="s">
        <v>2498</v>
      </c>
      <c r="T1485" t="str">
        <f t="shared" si="170"/>
        <v>"id":"s1467","cate":"Capacitor","des":"Capacitor 100NF/275V","mfg":"EPCOS/TDK","pn":"B32922C3104M","qty":1221</v>
      </c>
      <c r="U1485" t="s">
        <v>2503</v>
      </c>
    </row>
    <row r="1486" spans="5:21" x14ac:dyDescent="0.25">
      <c r="E1486" t="s">
        <v>2194</v>
      </c>
      <c r="F1486" t="s">
        <v>2370</v>
      </c>
      <c r="G1486" t="s">
        <v>49</v>
      </c>
      <c r="H1486" t="s">
        <v>2021</v>
      </c>
      <c r="I1486">
        <v>1195</v>
      </c>
      <c r="K1486" t="s">
        <v>3971</v>
      </c>
      <c r="L1486" t="str">
        <f t="shared" si="169"/>
        <v>"id":"s1468",</v>
      </c>
      <c r="M1486" t="str">
        <v>"cate":"Capacitor",</v>
      </c>
      <c r="N1486" t="str">
        <v>"des":"Capacitor 100NF/275V",</v>
      </c>
      <c r="O1486" t="str">
        <v>"mfg":"EPCOS/TDK",</v>
      </c>
      <c r="P1486" t="str">
        <v>"pn":"B32932A3104M",</v>
      </c>
      <c r="Q1486" t="str">
        <v>"qty":1221</v>
      </c>
      <c r="S1486" t="s">
        <v>2498</v>
      </c>
      <c r="T1486" t="str">
        <f t="shared" si="170"/>
        <v>"id":"s1468","cate":"Capacitor","des":"Capacitor 100NF/275V","mfg":"EPCOS/TDK","pn":"B32932A3104M","qty":1221</v>
      </c>
      <c r="U1486" t="s">
        <v>2503</v>
      </c>
    </row>
    <row r="1487" spans="5:21" x14ac:dyDescent="0.25">
      <c r="E1487" t="s">
        <v>2194</v>
      </c>
      <c r="F1487" t="s">
        <v>2371</v>
      </c>
      <c r="G1487" t="s">
        <v>45</v>
      </c>
      <c r="H1487" t="s">
        <v>2022</v>
      </c>
      <c r="I1487">
        <v>1190</v>
      </c>
      <c r="K1487" t="s">
        <v>3972</v>
      </c>
      <c r="L1487" t="str">
        <f t="shared" si="169"/>
        <v>"id":"s1469",</v>
      </c>
      <c r="M1487" t="str">
        <v>"cate":"Capacitor",</v>
      </c>
      <c r="N1487" t="str">
        <v>"des":"Capacitor 100NF/275V",</v>
      </c>
      <c r="O1487" t="str">
        <v>"mfg":"FARATRONIC",</v>
      </c>
      <c r="P1487" t="str">
        <v>"pn":"C42Q2104K6WA605",</v>
      </c>
      <c r="Q1487" t="str">
        <v>"qty":1221</v>
      </c>
      <c r="S1487" t="s">
        <v>2498</v>
      </c>
      <c r="T1487" t="str">
        <f t="shared" si="170"/>
        <v>"id":"s1469","cate":"Capacitor","des":"Capacitor 100NF/275V","mfg":"FARATRONIC","pn":"C42Q2104K6WA605","qty":1221</v>
      </c>
      <c r="U1487" t="s">
        <v>2503</v>
      </c>
    </row>
    <row r="1488" spans="5:21" x14ac:dyDescent="0.25">
      <c r="E1488" t="s">
        <v>2194</v>
      </c>
      <c r="F1488" t="s">
        <v>2371</v>
      </c>
      <c r="G1488" t="s">
        <v>45</v>
      </c>
      <c r="H1488" t="s">
        <v>2023</v>
      </c>
      <c r="I1488">
        <v>1190</v>
      </c>
      <c r="K1488" t="s">
        <v>3973</v>
      </c>
      <c r="L1488" t="str">
        <f t="shared" si="169"/>
        <v>"id":"s1470",</v>
      </c>
      <c r="M1488" t="str">
        <v>"cate":"Capacitor",</v>
      </c>
      <c r="N1488" t="str">
        <v>"des":"Capacitor 100NF/275V",</v>
      </c>
      <c r="O1488" t="str">
        <v>"mfg":"WIMA",</v>
      </c>
      <c r="P1488" t="str">
        <v>"pn":"MKX2AW31004B00",</v>
      </c>
      <c r="Q1488" t="str">
        <v>"qty":1221</v>
      </c>
      <c r="S1488" t="s">
        <v>2498</v>
      </c>
      <c r="T1488" t="str">
        <f t="shared" si="170"/>
        <v>"id":"s1470","cate":"Capacitor","des":"Capacitor 100NF/275V","mfg":"WIMA","pn":"MKX2AW31004B00","qty":1221</v>
      </c>
      <c r="U1488" t="s">
        <v>2503</v>
      </c>
    </row>
    <row r="1489" spans="5:21" x14ac:dyDescent="0.25">
      <c r="E1489" t="s">
        <v>2194</v>
      </c>
      <c r="F1489" t="s">
        <v>2371</v>
      </c>
      <c r="G1489" t="s">
        <v>45</v>
      </c>
      <c r="H1489" t="s">
        <v>2024</v>
      </c>
      <c r="I1489">
        <v>1190</v>
      </c>
      <c r="K1489" t="s">
        <v>3974</v>
      </c>
      <c r="L1489" t="str">
        <f t="shared" si="169"/>
        <v>"id":"s1471",</v>
      </c>
      <c r="M1489" t="str">
        <v>"cate":"Capacitor",</v>
      </c>
      <c r="N1489" t="str">
        <v>"des":"Capacitor 100NF/275V",</v>
      </c>
      <c r="O1489" t="str">
        <v>"mfg":"WIMA",</v>
      </c>
      <c r="P1489" t="str">
        <v>"pn":"MKX2AW31004B00KSSD",</v>
      </c>
      <c r="Q1489" t="str">
        <v>"qty":1221</v>
      </c>
      <c r="S1489" t="s">
        <v>2498</v>
      </c>
      <c r="T1489" t="str">
        <f t="shared" si="170"/>
        <v>"id":"s1471","cate":"Capacitor","des":"Capacitor 100NF/275V","mfg":"WIMA","pn":"MKX2AW31004B00KSSD","qty":1221</v>
      </c>
      <c r="U1489" t="s">
        <v>2503</v>
      </c>
    </row>
    <row r="1490" spans="5:21" x14ac:dyDescent="0.25">
      <c r="E1490" t="s">
        <v>2194</v>
      </c>
      <c r="F1490" t="s">
        <v>2372</v>
      </c>
      <c r="G1490" t="s">
        <v>49</v>
      </c>
      <c r="H1490" t="s">
        <v>2025</v>
      </c>
      <c r="I1490">
        <v>1189</v>
      </c>
      <c r="K1490" t="s">
        <v>3975</v>
      </c>
      <c r="L1490" t="str">
        <f t="shared" si="169"/>
        <v>"id":"s1472",</v>
      </c>
      <c r="M1490" t="str">
        <v>"cate":"Resistor ",</v>
      </c>
      <c r="N1490" t="str">
        <v>"des":"RST 10R 1W 350V",</v>
      </c>
      <c r="O1490" t="str">
        <v>"mfg":"VISHAY",</v>
      </c>
      <c r="P1490" t="str">
        <v>"pn":"PR01000101009J",</v>
      </c>
      <c r="Q1490" t="str">
        <v>"qty":1220</v>
      </c>
      <c r="S1490" t="s">
        <v>2498</v>
      </c>
      <c r="T1490" t="str">
        <f t="shared" si="170"/>
        <v>"id":"s1472","cate":"Resistor ","des":"RST 10R 1W 350V","mfg":"VISHAY","pn":"PR01000101009J","qty":1220</v>
      </c>
      <c r="U1490" t="s">
        <v>2503</v>
      </c>
    </row>
    <row r="1491" spans="5:21" x14ac:dyDescent="0.25">
      <c r="E1491" t="s">
        <v>2139</v>
      </c>
      <c r="F1491" t="s">
        <v>2026</v>
      </c>
      <c r="G1491" t="s">
        <v>257</v>
      </c>
      <c r="H1491" t="s">
        <v>2027</v>
      </c>
      <c r="I1491">
        <v>1188</v>
      </c>
      <c r="K1491" t="s">
        <v>3976</v>
      </c>
      <c r="L1491" t="str">
        <f t="shared" si="169"/>
        <v>"id":"s1473",</v>
      </c>
      <c r="M1491" t="str">
        <v>"cate":"Resistor ",</v>
      </c>
      <c r="N1491" t="str">
        <v>"des":"RST 10R 1W 350V",</v>
      </c>
      <c r="O1491" t="str">
        <v>"mfg":"VISHAY",</v>
      </c>
      <c r="P1491" t="str">
        <v>"pn":"PR01000101009JA100",</v>
      </c>
      <c r="Q1491" t="str">
        <v>"qty":1220</v>
      </c>
      <c r="S1491" t="s">
        <v>2498</v>
      </c>
      <c r="T1491" t="str">
        <f t="shared" si="170"/>
        <v>"id":"s1473","cate":"Resistor ","des":"RST 10R 1W 350V","mfg":"VISHAY","pn":"PR01000101009JA100","qty":1220</v>
      </c>
      <c r="U1491" t="s">
        <v>2503</v>
      </c>
    </row>
    <row r="1492" spans="5:21" x14ac:dyDescent="0.25">
      <c r="E1492" t="s">
        <v>2139</v>
      </c>
      <c r="F1492" t="s">
        <v>2026</v>
      </c>
      <c r="G1492" t="s">
        <v>28</v>
      </c>
      <c r="H1492" t="s">
        <v>2027</v>
      </c>
      <c r="I1492">
        <v>1188</v>
      </c>
      <c r="K1492" t="s">
        <v>3977</v>
      </c>
      <c r="L1492" t="str">
        <f t="shared" ref="L1492:L1555" si="171">_xlfn.CONCAT("""","id","""",":","""",K1492,"""",",")</f>
        <v>"id":"s1474",</v>
      </c>
      <c r="M1492" t="str">
        <v>"cate":"Grease",</v>
      </c>
      <c r="N1492" t="str">
        <v>"des":"WAVE GREASE HITEMP",</v>
      </c>
      <c r="O1492" t="str">
        <v>"mfg":"DUPONT",</v>
      </c>
      <c r="P1492" t="str">
        <v>"pn":"KRYTOX : GPL 227",</v>
      </c>
      <c r="Q1492" t="str">
        <v>"qty":1206</v>
      </c>
      <c r="S1492" t="s">
        <v>2498</v>
      </c>
      <c r="T1492" t="str">
        <f t="shared" ref="T1492:T1555" si="172">_xlfn.CONCAT(L1492:Q1492)</f>
        <v>"id":"s1474","cate":"Grease","des":"WAVE GREASE HITEMP","mfg":"DUPONT","pn":"KRYTOX : GPL 227","qty":1206</v>
      </c>
      <c r="U1492" t="s">
        <v>2503</v>
      </c>
    </row>
    <row r="1493" spans="5:21" x14ac:dyDescent="0.25">
      <c r="E1493" t="s">
        <v>2139</v>
      </c>
      <c r="F1493" t="s">
        <v>2028</v>
      </c>
      <c r="G1493" t="s">
        <v>946</v>
      </c>
      <c r="H1493" t="s">
        <v>2029</v>
      </c>
      <c r="I1493">
        <v>1180</v>
      </c>
      <c r="K1493" t="s">
        <v>3978</v>
      </c>
      <c r="L1493" t="str">
        <f t="shared" si="171"/>
        <v>"id":"s1475",</v>
      </c>
      <c r="M1493" t="str">
        <v>"cate":"Grease",</v>
      </c>
      <c r="N1493" t="str">
        <v>"des":"WAVE GREASE HITEMP",</v>
      </c>
      <c r="O1493" t="str">
        <v>"mfg":"DUPONT",</v>
      </c>
      <c r="P1493" t="str">
        <v>"pn":"KRYTOX : GPL 227 (1KG)",</v>
      </c>
      <c r="Q1493" t="str">
        <v>"qty":1206</v>
      </c>
      <c r="S1493" t="s">
        <v>2498</v>
      </c>
      <c r="T1493" t="str">
        <f t="shared" si="172"/>
        <v>"id":"s1475","cate":"Grease","des":"WAVE GREASE HITEMP","mfg":"DUPONT","pn":"KRYTOX : GPL 227 (1KG)","qty":1206</v>
      </c>
      <c r="U1493" t="s">
        <v>2503</v>
      </c>
    </row>
    <row r="1494" spans="5:21" x14ac:dyDescent="0.25">
      <c r="E1494" t="s">
        <v>2139</v>
      </c>
      <c r="F1494" t="s">
        <v>2028</v>
      </c>
      <c r="G1494" t="s">
        <v>343</v>
      </c>
      <c r="H1494" t="s">
        <v>2030</v>
      </c>
      <c r="I1494">
        <v>1180</v>
      </c>
      <c r="K1494" t="s">
        <v>3979</v>
      </c>
      <c r="L1494" t="str">
        <f t="shared" si="171"/>
        <v>"id":"s1476",</v>
      </c>
      <c r="M1494" t="str">
        <v>"cate":"Grease",</v>
      </c>
      <c r="N1494" t="str">
        <v>"des":"WAVE GREASE HITEMP",</v>
      </c>
      <c r="O1494" t="str">
        <v>"mfg":"DUPONT",</v>
      </c>
      <c r="P1494" t="str">
        <v>"pn":"KRYTOX : GPL 227 500 G",</v>
      </c>
      <c r="Q1494" t="str">
        <v>"qty":1206</v>
      </c>
      <c r="S1494" t="s">
        <v>2498</v>
      </c>
      <c r="T1494" t="str">
        <f t="shared" si="172"/>
        <v>"id":"s1476","cate":"Grease","des":"WAVE GREASE HITEMP","mfg":"DUPONT","pn":"KRYTOX : GPL 227 500 G","qty":1206</v>
      </c>
      <c r="U1494" t="s">
        <v>2503</v>
      </c>
    </row>
    <row r="1495" spans="5:21" x14ac:dyDescent="0.25">
      <c r="E1495" t="s">
        <v>2139</v>
      </c>
      <c r="F1495" t="s">
        <v>2028</v>
      </c>
      <c r="G1495" t="s">
        <v>343</v>
      </c>
      <c r="H1495" t="s">
        <v>2031</v>
      </c>
      <c r="I1495">
        <v>1180</v>
      </c>
      <c r="K1495" t="s">
        <v>3980</v>
      </c>
      <c r="L1495" t="str">
        <f t="shared" si="171"/>
        <v>"id":"s1477",</v>
      </c>
      <c r="M1495" t="str">
        <v>"cate":"Diode",</v>
      </c>
      <c r="N1495" t="str">
        <v>"des":"DiodeE TVS 56V TH",</v>
      </c>
      <c r="O1495" t="str">
        <v>"mfg":"LITTELFUSE",</v>
      </c>
      <c r="P1495" t="str">
        <v>"pn":"5KP58CA",</v>
      </c>
      <c r="Q1495" t="str">
        <v>"qty":1205</v>
      </c>
      <c r="S1495" t="s">
        <v>2498</v>
      </c>
      <c r="T1495" t="str">
        <f t="shared" si="172"/>
        <v>"id":"s1477","cate":"Diode","des":"DiodeE TVS 56V TH","mfg":"LITTELFUSE","pn":"5KP58CA","qty":1205</v>
      </c>
      <c r="U1495" t="s">
        <v>2503</v>
      </c>
    </row>
    <row r="1496" spans="5:21" x14ac:dyDescent="0.25">
      <c r="E1496" t="s">
        <v>2139</v>
      </c>
      <c r="F1496" t="s">
        <v>2032</v>
      </c>
      <c r="G1496" t="s">
        <v>343</v>
      </c>
      <c r="H1496" t="s">
        <v>2033</v>
      </c>
      <c r="I1496">
        <v>1179</v>
      </c>
      <c r="K1496" t="s">
        <v>3981</v>
      </c>
      <c r="L1496" t="str">
        <f t="shared" si="171"/>
        <v>"id":"s1478",</v>
      </c>
      <c r="M1496" t="str">
        <v>"cate":"Diode",</v>
      </c>
      <c r="N1496" t="str">
        <v>"des":"DiodeE TVS 56V TH",</v>
      </c>
      <c r="O1496" t="str">
        <v>"mfg":"STMICROELECTRONICS",</v>
      </c>
      <c r="P1496" t="str">
        <v>"pn":"BZW50-56B",</v>
      </c>
      <c r="Q1496" t="str">
        <v>"qty":1205</v>
      </c>
      <c r="S1496" t="s">
        <v>2498</v>
      </c>
      <c r="T1496" t="str">
        <f t="shared" si="172"/>
        <v>"id":"s1478","cate":"Diode","des":"DiodeE TVS 56V TH","mfg":"STMICROELECTRONICS","pn":"BZW50-56B","qty":1205</v>
      </c>
      <c r="U1496" t="s">
        <v>2503</v>
      </c>
    </row>
    <row r="1497" spans="5:21" x14ac:dyDescent="0.25">
      <c r="E1497" t="s">
        <v>2139</v>
      </c>
      <c r="F1497" t="s">
        <v>2034</v>
      </c>
      <c r="G1497" t="s">
        <v>37</v>
      </c>
      <c r="H1497" t="s">
        <v>2035</v>
      </c>
      <c r="I1497">
        <v>1179</v>
      </c>
      <c r="K1497" t="s">
        <v>3982</v>
      </c>
      <c r="L1497" t="str">
        <f t="shared" si="171"/>
        <v>"id":"s1479",</v>
      </c>
      <c r="M1497" t="str">
        <v>"cate":"Diode",</v>
      </c>
      <c r="N1497" t="str">
        <v>"des":"DiodeE TVS 56V TH",</v>
      </c>
      <c r="O1497" t="str">
        <v>"mfg":"MCC",</v>
      </c>
      <c r="P1497" t="str">
        <v>"pn":"5KP58CA",</v>
      </c>
      <c r="Q1497" t="str">
        <v>"qty":1205</v>
      </c>
      <c r="S1497" t="s">
        <v>2498</v>
      </c>
      <c r="T1497" t="str">
        <f t="shared" si="172"/>
        <v>"id":"s1479","cate":"Diode","des":"DiodeE TVS 56V TH","mfg":"MCC","pn":"5KP58CA","qty":1205</v>
      </c>
      <c r="U1497" t="s">
        <v>2503</v>
      </c>
    </row>
    <row r="1498" spans="5:21" x14ac:dyDescent="0.25">
      <c r="E1498" s="6" t="s">
        <v>2489</v>
      </c>
      <c r="F1498" t="s">
        <v>2036</v>
      </c>
      <c r="G1498" t="s">
        <v>57</v>
      </c>
      <c r="H1498" t="s">
        <v>2037</v>
      </c>
      <c r="I1498">
        <v>1179</v>
      </c>
      <c r="K1498" t="s">
        <v>3983</v>
      </c>
      <c r="L1498" t="str">
        <f t="shared" si="171"/>
        <v>"id":"s1480",</v>
      </c>
      <c r="M1498" t="str">
        <v>"cate":"Capacitor",</v>
      </c>
      <c r="N1498" t="str">
        <v>"des":"Capacitor 100PF/50V5%603",</v>
      </c>
      <c r="O1498" t="str">
        <v>"mfg":"MURATA MANUFACTURING",</v>
      </c>
      <c r="P1498" t="str">
        <v>"pn":"GCM1885C1H101JA16D",</v>
      </c>
      <c r="Q1498" t="str">
        <v>"qty":1195</v>
      </c>
      <c r="S1498" t="s">
        <v>2498</v>
      </c>
      <c r="T1498" t="str">
        <f t="shared" si="172"/>
        <v>"id":"s1480","cate":"Capacitor","des":"Capacitor 100PF/50V5%603","mfg":"MURATA MANUFACTURING","pn":"GCM1885C1H101JA16D","qty":1195</v>
      </c>
      <c r="U1498" t="s">
        <v>2503</v>
      </c>
    </row>
    <row r="1499" spans="5:21" x14ac:dyDescent="0.25">
      <c r="E1499" t="s">
        <v>2382</v>
      </c>
      <c r="F1499" t="s">
        <v>2393</v>
      </c>
      <c r="G1499" t="s">
        <v>2038</v>
      </c>
      <c r="H1499" t="s">
        <v>2039</v>
      </c>
      <c r="I1499">
        <v>1172</v>
      </c>
      <c r="K1499" t="s">
        <v>3984</v>
      </c>
      <c r="L1499" t="str">
        <f t="shared" si="171"/>
        <v>"id":"s1481",</v>
      </c>
      <c r="M1499" t="str">
        <v>"cate":"Capacitor",</v>
      </c>
      <c r="N1499" t="str">
        <v>"des":"Capacitor 100PF/50V5%603",</v>
      </c>
      <c r="O1499" t="str">
        <v>"mfg":"AVX",</v>
      </c>
      <c r="P1499" t="str">
        <v>"pn":"06035A101J4T2A",</v>
      </c>
      <c r="Q1499" t="str">
        <v>"qty":1195</v>
      </c>
      <c r="S1499" t="s">
        <v>2498</v>
      </c>
      <c r="T1499" t="str">
        <f t="shared" si="172"/>
        <v>"id":"s1481","cate":"Capacitor","des":"Capacitor 100PF/50V5%603","mfg":"AVX","pn":"06035A101J4T2A","qty":1195</v>
      </c>
      <c r="U1499" t="s">
        <v>2503</v>
      </c>
    </row>
    <row r="1500" spans="5:21" x14ac:dyDescent="0.25">
      <c r="E1500" t="s">
        <v>2194</v>
      </c>
      <c r="F1500" t="s">
        <v>2373</v>
      </c>
      <c r="G1500" t="s">
        <v>1351</v>
      </c>
      <c r="H1500" t="s">
        <v>2040</v>
      </c>
      <c r="I1500">
        <v>1155</v>
      </c>
      <c r="K1500" t="s">
        <v>3985</v>
      </c>
      <c r="L1500" t="str">
        <f t="shared" si="171"/>
        <v>"id":"s1482",</v>
      </c>
      <c r="M1500" t="str">
        <v>"cate":"Capacitor",</v>
      </c>
      <c r="N1500" t="str">
        <v>"des":"Capacitor 1NF 250V TH",</v>
      </c>
      <c r="O1500" t="str">
        <v>"mfg":"EPCOS/TDK",</v>
      </c>
      <c r="P1500" t="str">
        <v>"pn":"B32021A3102M",</v>
      </c>
      <c r="Q1500" t="str">
        <v>"qty":1190</v>
      </c>
      <c r="S1500" t="s">
        <v>2498</v>
      </c>
      <c r="T1500" t="str">
        <f t="shared" si="172"/>
        <v>"id":"s1482","cate":"Capacitor","des":"Capacitor 1NF 250V TH","mfg":"EPCOS/TDK","pn":"B32021A3102M","qty":1190</v>
      </c>
      <c r="U1500" t="s">
        <v>2503</v>
      </c>
    </row>
    <row r="1501" spans="5:21" x14ac:dyDescent="0.25">
      <c r="E1501" t="s">
        <v>2193</v>
      </c>
      <c r="F1501" t="s">
        <v>2041</v>
      </c>
      <c r="G1501" t="s">
        <v>37</v>
      </c>
      <c r="H1501" t="s">
        <v>2042</v>
      </c>
      <c r="I1501">
        <v>1153</v>
      </c>
      <c r="K1501" t="s">
        <v>3986</v>
      </c>
      <c r="L1501" t="str">
        <f t="shared" si="171"/>
        <v>"id":"s1483",</v>
      </c>
      <c r="M1501" t="str">
        <v>"cate":"Capacitor",</v>
      </c>
      <c r="N1501" t="str">
        <v>"des":"Capacitor 1NF 250V TH",</v>
      </c>
      <c r="O1501" t="str">
        <v>"mfg":"EPCOS/TDK",</v>
      </c>
      <c r="P1501" t="str">
        <v>"pn":"B32021A3102M000",</v>
      </c>
      <c r="Q1501" t="str">
        <v>"qty":1190</v>
      </c>
      <c r="S1501" t="s">
        <v>2498</v>
      </c>
      <c r="T1501" t="str">
        <f t="shared" si="172"/>
        <v>"id":"s1483","cate":"Capacitor","des":"Capacitor 1NF 250V TH","mfg":"EPCOS/TDK","pn":"B32021A3102M000","qty":1190</v>
      </c>
      <c r="U1501" t="s">
        <v>2503</v>
      </c>
    </row>
    <row r="1502" spans="5:21" x14ac:dyDescent="0.25">
      <c r="E1502" t="s">
        <v>2193</v>
      </c>
      <c r="F1502" t="s">
        <v>2041</v>
      </c>
      <c r="G1502" t="s">
        <v>320</v>
      </c>
      <c r="H1502" t="s">
        <v>2043</v>
      </c>
      <c r="I1502">
        <v>1153</v>
      </c>
      <c r="K1502" t="s">
        <v>3987</v>
      </c>
      <c r="L1502" t="str">
        <f t="shared" si="171"/>
        <v>"id":"s1484",</v>
      </c>
      <c r="M1502" t="str">
        <v>"cate":"Capacitor",</v>
      </c>
      <c r="N1502" t="str">
        <v>"des":"Capacitor 1NF 250V TH",</v>
      </c>
      <c r="O1502" t="str">
        <v>"mfg":"EPCOS/TDK",</v>
      </c>
      <c r="P1502" t="str">
        <v>"pn":"B32021A3102M189",</v>
      </c>
      <c r="Q1502" t="str">
        <v>"qty":1190</v>
      </c>
      <c r="S1502" t="s">
        <v>2498</v>
      </c>
      <c r="T1502" t="str">
        <f t="shared" si="172"/>
        <v>"id":"s1484","cate":"Capacitor","des":"Capacitor 1NF 250V TH","mfg":"EPCOS/TDK","pn":"B32021A3102M189","qty":1190</v>
      </c>
      <c r="U1502" t="s">
        <v>2503</v>
      </c>
    </row>
    <row r="1503" spans="5:21" x14ac:dyDescent="0.25">
      <c r="E1503" t="s">
        <v>2193</v>
      </c>
      <c r="F1503" t="s">
        <v>2044</v>
      </c>
      <c r="G1503" t="s">
        <v>207</v>
      </c>
      <c r="H1503" t="s">
        <v>2045</v>
      </c>
      <c r="I1503">
        <v>1137</v>
      </c>
      <c r="K1503" t="s">
        <v>3988</v>
      </c>
      <c r="L1503" t="str">
        <f t="shared" si="171"/>
        <v>"id":"s1485",</v>
      </c>
      <c r="M1503" t="str">
        <v>"cate":"Capacitor",</v>
      </c>
      <c r="N1503" t="str">
        <v>"des":"Capacitor 2,2NF/50V 0805",</v>
      </c>
      <c r="O1503" t="str">
        <v>"mfg":"AVX",</v>
      </c>
      <c r="P1503" t="str">
        <v>"pn":"08055C222KAT2A",</v>
      </c>
      <c r="Q1503" t="str">
        <v>"qty":1189</v>
      </c>
      <c r="S1503" t="s">
        <v>2498</v>
      </c>
      <c r="T1503" t="str">
        <f t="shared" si="172"/>
        <v>"id":"s1485","cate":"Capacitor","des":"Capacitor 2,2NF/50V 0805","mfg":"AVX","pn":"08055C222KAT2A","qty":1189</v>
      </c>
      <c r="U1503" t="s">
        <v>2503</v>
      </c>
    </row>
    <row r="1504" spans="5:21" x14ac:dyDescent="0.25">
      <c r="E1504" t="s">
        <v>2474</v>
      </c>
      <c r="F1504" t="s">
        <v>2484</v>
      </c>
      <c r="G1504" t="s">
        <v>2467</v>
      </c>
      <c r="H1504" t="s">
        <v>2046</v>
      </c>
      <c r="I1504">
        <v>1131</v>
      </c>
      <c r="K1504" t="s">
        <v>3989</v>
      </c>
      <c r="L1504" t="str">
        <f t="shared" si="171"/>
        <v>"id":"s1486",</v>
      </c>
      <c r="M1504" t="str">
        <v>"cate":"MA-1",</v>
      </c>
      <c r="N1504" t="str">
        <v>"des":"MA-1360173G",</v>
      </c>
      <c r="O1504" t="str">
        <v>"mfg":"FAIRCHILD SEMICONDUCTOR",</v>
      </c>
      <c r="P1504" t="str">
        <v>"pn":"FDN337N",</v>
      </c>
      <c r="Q1504" t="str">
        <v>"qty":1188</v>
      </c>
      <c r="S1504" t="s">
        <v>2498</v>
      </c>
      <c r="T1504" t="str">
        <f t="shared" si="172"/>
        <v>"id":"s1486","cate":"MA-1","des":"MA-1360173G","mfg":"FAIRCHILD SEMICONDUCTOR","pn":"FDN337N","qty":1188</v>
      </c>
      <c r="U1504" t="s">
        <v>2503</v>
      </c>
    </row>
    <row r="1505" spans="5:21" x14ac:dyDescent="0.25">
      <c r="E1505" t="s">
        <v>2194</v>
      </c>
      <c r="F1505" t="s">
        <v>2374</v>
      </c>
      <c r="G1505" t="s">
        <v>8</v>
      </c>
      <c r="H1505" t="s">
        <v>2047</v>
      </c>
      <c r="I1505">
        <v>1123</v>
      </c>
      <c r="K1505" t="s">
        <v>3990</v>
      </c>
      <c r="L1505" t="str">
        <f t="shared" si="171"/>
        <v>"id":"s1487",</v>
      </c>
      <c r="M1505" t="str">
        <v>"cate":"MA-1",</v>
      </c>
      <c r="N1505" t="str">
        <v>"des":"MA-1360173G",</v>
      </c>
      <c r="O1505" t="str">
        <v>"mfg":"ON SEMICONDUCTOR",</v>
      </c>
      <c r="P1505" t="str">
        <v>"pn":"FDN337N",</v>
      </c>
      <c r="Q1505" t="str">
        <v>"qty":1188</v>
      </c>
      <c r="S1505" t="s">
        <v>2498</v>
      </c>
      <c r="T1505" t="str">
        <f t="shared" si="172"/>
        <v>"id":"s1487","cate":"MA-1","des":"MA-1360173G","mfg":"ON SEMICONDUCTOR","pn":"FDN337N","qty":1188</v>
      </c>
      <c r="U1505" t="s">
        <v>2503</v>
      </c>
    </row>
    <row r="1506" spans="5:21" x14ac:dyDescent="0.25">
      <c r="E1506" t="s">
        <v>2194</v>
      </c>
      <c r="F1506" t="s">
        <v>2374</v>
      </c>
      <c r="G1506" t="s">
        <v>8</v>
      </c>
      <c r="H1506" t="s">
        <v>2048</v>
      </c>
      <c r="I1506">
        <v>1123</v>
      </c>
      <c r="K1506" t="s">
        <v>3991</v>
      </c>
      <c r="L1506" t="str">
        <f t="shared" si="171"/>
        <v>"id":"s1488",</v>
      </c>
      <c r="M1506" t="str">
        <v>"cate":"MA-1",</v>
      </c>
      <c r="N1506" t="str">
        <v>"des":"MA-1200291G",</v>
      </c>
      <c r="O1506" t="str">
        <v>"mfg":"TE",</v>
      </c>
      <c r="P1506" t="str">
        <v>"pn":"36501E12NJTDG",</v>
      </c>
      <c r="Q1506" t="str">
        <v>"qty":1180</v>
      </c>
      <c r="S1506" t="s">
        <v>2498</v>
      </c>
      <c r="T1506" t="str">
        <f t="shared" si="172"/>
        <v>"id":"s1488","cate":"MA-1","des":"MA-1200291G","mfg":"TE","pn":"36501E12NJTDG","qty":1180</v>
      </c>
      <c r="U1506" t="s">
        <v>2503</v>
      </c>
    </row>
    <row r="1507" spans="5:21" x14ac:dyDescent="0.25">
      <c r="E1507" t="s">
        <v>2193</v>
      </c>
      <c r="F1507" t="s">
        <v>2049</v>
      </c>
      <c r="G1507" t="s">
        <v>2050</v>
      </c>
      <c r="H1507" t="s">
        <v>2051</v>
      </c>
      <c r="I1507">
        <v>1121</v>
      </c>
      <c r="K1507" t="s">
        <v>3992</v>
      </c>
      <c r="L1507" t="str">
        <f t="shared" si="171"/>
        <v>"id":"s1489",</v>
      </c>
      <c r="M1507" t="str">
        <v>"cate":"MA-1",</v>
      </c>
      <c r="N1507" t="str">
        <v>"des":"MA-1200291G",</v>
      </c>
      <c r="O1507" t="str">
        <v>"mfg":"JOHANSON",</v>
      </c>
      <c r="P1507" t="str">
        <v>"pn":"L-07W12NGV4T",</v>
      </c>
      <c r="Q1507" t="str">
        <v>"qty":1180</v>
      </c>
      <c r="S1507" t="s">
        <v>2498</v>
      </c>
      <c r="T1507" t="str">
        <f t="shared" si="172"/>
        <v>"id":"s1489","cate":"MA-1","des":"MA-1200291G","mfg":"JOHANSON","pn":"L-07W12NGV4T","qty":1180</v>
      </c>
      <c r="U1507" t="s">
        <v>2503</v>
      </c>
    </row>
    <row r="1508" spans="5:21" x14ac:dyDescent="0.25">
      <c r="E1508" t="s">
        <v>2193</v>
      </c>
      <c r="F1508" t="s">
        <v>2049</v>
      </c>
      <c r="G1508" t="s">
        <v>202</v>
      </c>
      <c r="H1508" t="s">
        <v>2052</v>
      </c>
      <c r="I1508">
        <v>1121</v>
      </c>
      <c r="K1508" t="s">
        <v>3993</v>
      </c>
      <c r="L1508" t="str">
        <f t="shared" si="171"/>
        <v>"id":"s1490",</v>
      </c>
      <c r="M1508" t="str">
        <v>"cate":"MA-1",</v>
      </c>
      <c r="N1508" t="str">
        <v>"des":"MA-1200291G",</v>
      </c>
      <c r="O1508" t="str">
        <v>"mfg":"JOHANSON",</v>
      </c>
      <c r="P1508" t="str">
        <v>"pn":"L-07W12NJV4T",</v>
      </c>
      <c r="Q1508" t="str">
        <v>"qty":1180</v>
      </c>
      <c r="S1508" t="s">
        <v>2498</v>
      </c>
      <c r="T1508" t="str">
        <f t="shared" si="172"/>
        <v>"id":"s1490","cate":"MA-1","des":"MA-1200291G","mfg":"JOHANSON","pn":"L-07W12NJV4T","qty":1180</v>
      </c>
      <c r="U1508" t="s">
        <v>2503</v>
      </c>
    </row>
    <row r="1509" spans="5:21" x14ac:dyDescent="0.25">
      <c r="E1509" s="6" t="s">
        <v>2382</v>
      </c>
      <c r="F1509" t="s">
        <v>2053</v>
      </c>
      <c r="G1509" t="s">
        <v>149</v>
      </c>
      <c r="H1509" t="s">
        <v>2054</v>
      </c>
      <c r="I1509">
        <v>1118</v>
      </c>
      <c r="K1509" t="s">
        <v>3994</v>
      </c>
      <c r="L1509" t="str">
        <f t="shared" si="171"/>
        <v>"id":"s1491",</v>
      </c>
      <c r="M1509" t="str">
        <v>"cate":"MA-1",</v>
      </c>
      <c r="N1509" t="str">
        <v>"des":"MA-1200292G",</v>
      </c>
      <c r="O1509" t="str">
        <v>"mfg":"JOHANSON",</v>
      </c>
      <c r="P1509" t="str">
        <v>"pn":"L-07W39NJV4T",</v>
      </c>
      <c r="Q1509" t="str">
        <v>"qty":1179</v>
      </c>
      <c r="S1509" t="s">
        <v>2498</v>
      </c>
      <c r="T1509" t="str">
        <f t="shared" si="172"/>
        <v>"id":"s1491","cate":"MA-1","des":"MA-1200292G","mfg":"JOHANSON","pn":"L-07W39NJV4T","qty":1179</v>
      </c>
      <c r="U1509" t="s">
        <v>2503</v>
      </c>
    </row>
    <row r="1510" spans="5:21" x14ac:dyDescent="0.25">
      <c r="E1510" s="6" t="s">
        <v>2382</v>
      </c>
      <c r="F1510" t="s">
        <v>2053</v>
      </c>
      <c r="G1510" t="s">
        <v>149</v>
      </c>
      <c r="H1510" t="s">
        <v>2055</v>
      </c>
      <c r="I1510">
        <v>1118</v>
      </c>
      <c r="K1510" t="s">
        <v>3995</v>
      </c>
      <c r="L1510" t="str">
        <f t="shared" si="171"/>
        <v>"id":"s1492",</v>
      </c>
      <c r="M1510" t="str">
        <v>"cate":"MA-1",</v>
      </c>
      <c r="N1510" t="str">
        <v>"des":"MA-1360210G",</v>
      </c>
      <c r="O1510" t="str">
        <v>"mfg":"VISHAY",</v>
      </c>
      <c r="P1510" t="str">
        <v>"pn":"SI2343CDS-T1-GE3",</v>
      </c>
      <c r="Q1510" t="str">
        <v>"qty":1179</v>
      </c>
      <c r="S1510" t="s">
        <v>2498</v>
      </c>
      <c r="T1510" t="str">
        <f t="shared" si="172"/>
        <v>"id":"s1492","cate":"MA-1","des":"MA-1360210G","mfg":"VISHAY","pn":"SI2343CDS-T1-GE3","qty":1179</v>
      </c>
      <c r="U1510" t="s">
        <v>2503</v>
      </c>
    </row>
    <row r="1511" spans="5:21" x14ac:dyDescent="0.25">
      <c r="E1511" s="6" t="s">
        <v>2382</v>
      </c>
      <c r="F1511" t="s">
        <v>2053</v>
      </c>
      <c r="G1511" t="s">
        <v>1669</v>
      </c>
      <c r="H1511" t="s">
        <v>2056</v>
      </c>
      <c r="I1511">
        <v>1118</v>
      </c>
      <c r="K1511" t="s">
        <v>3996</v>
      </c>
      <c r="L1511" t="str">
        <f t="shared" si="171"/>
        <v>"id":"s1493",</v>
      </c>
      <c r="M1511" t="str">
        <v>"cate":"Var Resistor",</v>
      </c>
      <c r="N1511" t="str">
        <v>"des":"VAR 680V LA80",</v>
      </c>
      <c r="O1511" t="str">
        <v>"mfg":"LITTELFUSE",</v>
      </c>
      <c r="P1511" t="str">
        <v>"pn":"V680LA100BP",</v>
      </c>
      <c r="Q1511" t="str">
        <v>"qty":1179</v>
      </c>
      <c r="S1511" t="s">
        <v>2498</v>
      </c>
      <c r="T1511" t="str">
        <f t="shared" si="172"/>
        <v>"id":"s1493","cate":"Var Resistor","des":"VAR 680V LA80","mfg":"LITTELFUSE","pn":"V680LA100BP","qty":1179</v>
      </c>
      <c r="U1511" t="s">
        <v>2503</v>
      </c>
    </row>
    <row r="1512" spans="5:21" x14ac:dyDescent="0.25">
      <c r="E1512" s="6" t="s">
        <v>2382</v>
      </c>
      <c r="F1512" t="s">
        <v>2053</v>
      </c>
      <c r="G1512" t="s">
        <v>2057</v>
      </c>
      <c r="H1512" t="s">
        <v>2058</v>
      </c>
      <c r="I1512">
        <v>1118</v>
      </c>
      <c r="K1512" t="s">
        <v>3997</v>
      </c>
      <c r="L1512" t="str">
        <f t="shared" si="171"/>
        <v>"id":"s1494",</v>
      </c>
      <c r="M1512" t="str">
        <v>"cate":"IC",</v>
      </c>
      <c r="N1512" t="str">
        <v>"des":"ICCM1212B",</v>
      </c>
      <c r="O1512" t="str">
        <v>"mfg":"MORNSUN",</v>
      </c>
      <c r="P1512" t="str">
        <v>"pn":"SCM1212BTA",</v>
      </c>
      <c r="Q1512" t="str">
        <v>"qty":1172</v>
      </c>
      <c r="S1512" t="s">
        <v>2498</v>
      </c>
      <c r="T1512" t="str">
        <f t="shared" si="172"/>
        <v>"id":"s1494","cate":"IC","des":"ICCM1212B","mfg":"MORNSUN","pn":"SCM1212BTA","qty":1172</v>
      </c>
      <c r="U1512" t="s">
        <v>2503</v>
      </c>
    </row>
    <row r="1513" spans="5:21" x14ac:dyDescent="0.25">
      <c r="E1513" t="s">
        <v>2185</v>
      </c>
      <c r="F1513" t="s">
        <v>2059</v>
      </c>
      <c r="G1513" t="s">
        <v>57</v>
      </c>
      <c r="H1513" t="s">
        <v>2060</v>
      </c>
      <c r="I1513">
        <v>1114</v>
      </c>
      <c r="K1513" t="s">
        <v>3998</v>
      </c>
      <c r="L1513" t="str">
        <f t="shared" si="171"/>
        <v>"id":"s1495",</v>
      </c>
      <c r="M1513" t="str">
        <v>"cate":"Capacitor",</v>
      </c>
      <c r="N1513" t="str">
        <v>"des":"Capacitor 0,1UF/50V 206",</v>
      </c>
      <c r="O1513" t="str">
        <v>"mfg":"KYOCERA",</v>
      </c>
      <c r="P1513" t="str">
        <v>"pn":"12065C104KAT2A",</v>
      </c>
      <c r="Q1513" t="str">
        <v>"qty":1155</v>
      </c>
      <c r="S1513" t="s">
        <v>2498</v>
      </c>
      <c r="T1513" t="str">
        <f t="shared" si="172"/>
        <v>"id":"s1495","cate":"Capacitor","des":"Capacitor 0,1UF/50V 206","mfg":"KYOCERA","pn":"12065C104KAT2A","qty":1155</v>
      </c>
      <c r="U1513" t="s">
        <v>2503</v>
      </c>
    </row>
    <row r="1514" spans="5:21" x14ac:dyDescent="0.25">
      <c r="E1514" t="s">
        <v>2193</v>
      </c>
      <c r="F1514" t="s">
        <v>2061</v>
      </c>
      <c r="G1514" t="s">
        <v>13</v>
      </c>
      <c r="H1514" t="s">
        <v>2062</v>
      </c>
      <c r="I1514">
        <v>1107</v>
      </c>
      <c r="K1514" t="s">
        <v>3999</v>
      </c>
      <c r="L1514" t="str">
        <f t="shared" si="171"/>
        <v>"id":"s1496",</v>
      </c>
      <c r="M1514" t="str">
        <v>"cate":"Resistor ",</v>
      </c>
      <c r="N1514" t="str">
        <v>"des":"RST 75 1% 0402-T",</v>
      </c>
      <c r="O1514" t="str">
        <v>"mfg":"VISHAY",</v>
      </c>
      <c r="P1514" t="str">
        <v>"pn":"CRCW040275R0FKED",</v>
      </c>
      <c r="Q1514" t="str">
        <v>"qty":1153</v>
      </c>
      <c r="S1514" t="s">
        <v>2498</v>
      </c>
      <c r="T1514" t="str">
        <f t="shared" si="172"/>
        <v>"id":"s1496","cate":"Resistor ","des":"RST 75 1% 0402-T","mfg":"VISHAY","pn":"CRCW040275R0FKED","qty":1153</v>
      </c>
      <c r="U1514" t="s">
        <v>2503</v>
      </c>
    </row>
    <row r="1515" spans="5:21" x14ac:dyDescent="0.25">
      <c r="E1515" t="s">
        <v>2193</v>
      </c>
      <c r="F1515" t="s">
        <v>2061</v>
      </c>
      <c r="G1515" t="s">
        <v>10</v>
      </c>
      <c r="H1515" t="s">
        <v>2063</v>
      </c>
      <c r="I1515">
        <v>1107</v>
      </c>
      <c r="K1515" t="s">
        <v>4000</v>
      </c>
      <c r="L1515" t="str">
        <f t="shared" si="171"/>
        <v>"id":"s1497",</v>
      </c>
      <c r="M1515" t="str">
        <v>"cate":"Resistor ",</v>
      </c>
      <c r="N1515" t="str">
        <v>"des":"RST 75 1% 0402-T",</v>
      </c>
      <c r="O1515" t="str">
        <v>"mfg":"ROYAL OHM",</v>
      </c>
      <c r="P1515" t="str">
        <v>"pn":"CQ02WGF750JTCE",</v>
      </c>
      <c r="Q1515" t="str">
        <v>"qty":1153</v>
      </c>
      <c r="S1515" t="s">
        <v>2498</v>
      </c>
      <c r="T1515" t="str">
        <f t="shared" si="172"/>
        <v>"id":"s1497","cate":"Resistor ","des":"RST 75 1% 0402-T","mfg":"ROYAL OHM","pn":"CQ02WGF750JTCE","qty":1153</v>
      </c>
      <c r="U1515" t="s">
        <v>2503</v>
      </c>
    </row>
    <row r="1516" spans="5:21" x14ac:dyDescent="0.25">
      <c r="E1516" t="s">
        <v>2194</v>
      </c>
      <c r="F1516" t="s">
        <v>2375</v>
      </c>
      <c r="G1516" t="s">
        <v>45</v>
      </c>
      <c r="H1516" t="s">
        <v>2064</v>
      </c>
      <c r="I1516">
        <v>1103</v>
      </c>
      <c r="K1516" t="s">
        <v>4001</v>
      </c>
      <c r="L1516" t="str">
        <f t="shared" si="171"/>
        <v>"id":"s1498",</v>
      </c>
      <c r="M1516" t="str">
        <v>"cate":"Resistor ",</v>
      </c>
      <c r="N1516" t="str">
        <v>"des":"RST 22,1K 1/8W1%805",</v>
      </c>
      <c r="O1516" t="str">
        <v>"mfg":"STACKPOLE ELECTRONICS INC",</v>
      </c>
      <c r="P1516" t="str">
        <v>"pn":"RMCF0805FT22K1",</v>
      </c>
      <c r="Q1516" t="str">
        <v>"qty":1137</v>
      </c>
      <c r="S1516" t="s">
        <v>2498</v>
      </c>
      <c r="T1516" t="str">
        <f t="shared" si="172"/>
        <v>"id":"s1498","cate":"Resistor ","des":"RST 22,1K 1/8W1%805","mfg":"STACKPOLE ELECTRONICS INC","pn":"RMCF0805FT22K1","qty":1137</v>
      </c>
      <c r="U1516" t="s">
        <v>2503</v>
      </c>
    </row>
    <row r="1517" spans="5:21" x14ac:dyDescent="0.25">
      <c r="E1517" t="s">
        <v>2186</v>
      </c>
      <c r="F1517" t="s">
        <v>2065</v>
      </c>
      <c r="G1517" t="s">
        <v>2066</v>
      </c>
      <c r="H1517" t="s">
        <v>2067</v>
      </c>
      <c r="I1517">
        <v>1100</v>
      </c>
      <c r="K1517" t="s">
        <v>4002</v>
      </c>
      <c r="L1517" t="str">
        <f t="shared" si="171"/>
        <v>"id":"s1499",</v>
      </c>
      <c r="M1517" t="str">
        <v>"cate":"MOSFET",</v>
      </c>
      <c r="N1517" t="str">
        <v>"des":"MOSFETET 20V 1A-363",</v>
      </c>
      <c r="O1517" t="str">
        <v>"mfg":"DiodeES INC.",</v>
      </c>
      <c r="P1517" t="str">
        <v>"pn":"DMG1016UDW-7",</v>
      </c>
      <c r="Q1517" t="str">
        <v>"qty":1131</v>
      </c>
      <c r="S1517" t="s">
        <v>2498</v>
      </c>
      <c r="T1517" t="str">
        <f t="shared" si="172"/>
        <v>"id":"s1499","cate":"MOSFET","des":"MOSFETET 20V 1A-363","mfg":"DiodeES INC.","pn":"DMG1016UDW-7","qty":1131</v>
      </c>
      <c r="U1517" t="s">
        <v>2503</v>
      </c>
    </row>
    <row r="1518" spans="5:21" x14ac:dyDescent="0.25">
      <c r="E1518" t="s">
        <v>2186</v>
      </c>
      <c r="F1518" t="s">
        <v>2065</v>
      </c>
      <c r="G1518" t="s">
        <v>2066</v>
      </c>
      <c r="H1518" t="s">
        <v>2068</v>
      </c>
      <c r="I1518">
        <v>1100</v>
      </c>
      <c r="K1518" t="s">
        <v>4003</v>
      </c>
      <c r="L1518" t="str">
        <f t="shared" si="171"/>
        <v>"id":"s1500",</v>
      </c>
      <c r="M1518" t="str">
        <v>"cate":"Capacitor",</v>
      </c>
      <c r="N1518" t="str">
        <v>"des":"Capacitor 22UF/25V20%805",</v>
      </c>
      <c r="O1518" t="str">
        <v>"mfg":"SAMSUNG",</v>
      </c>
      <c r="P1518" t="str">
        <v>"pn":"CL21A226MAQNNNE",</v>
      </c>
      <c r="Q1518" t="str">
        <v>"qty":1123</v>
      </c>
      <c r="S1518" t="s">
        <v>2498</v>
      </c>
      <c r="T1518" t="str">
        <f t="shared" si="172"/>
        <v>"id":"s1500","cate":"Capacitor","des":"Capacitor 22UF/25V20%805","mfg":"SAMSUNG","pn":"CL21A226MAQNNNE","qty":1123</v>
      </c>
      <c r="U1518" t="s">
        <v>2503</v>
      </c>
    </row>
    <row r="1519" spans="5:21" x14ac:dyDescent="0.25">
      <c r="E1519" t="s">
        <v>2186</v>
      </c>
      <c r="F1519" t="s">
        <v>2065</v>
      </c>
      <c r="G1519" t="s">
        <v>2069</v>
      </c>
      <c r="H1519" t="s">
        <v>2067</v>
      </c>
      <c r="I1519">
        <v>1100</v>
      </c>
      <c r="K1519" t="s">
        <v>4004</v>
      </c>
      <c r="L1519" t="str">
        <f t="shared" si="171"/>
        <v>"id":"s1501",</v>
      </c>
      <c r="M1519" t="str">
        <v>"cate":"Capacitor",</v>
      </c>
      <c r="N1519" t="str">
        <v>"des":"Capacitor 22UF/25V20%805",</v>
      </c>
      <c r="O1519" t="str">
        <v>"mfg":"SAMSUNG",</v>
      </c>
      <c r="P1519" t="str">
        <v>"pn":"CL21A226MAYNNNE",</v>
      </c>
      <c r="Q1519" t="str">
        <v>"qty":1123</v>
      </c>
      <c r="S1519" t="s">
        <v>2498</v>
      </c>
      <c r="T1519" t="str">
        <f t="shared" si="172"/>
        <v>"id":"s1501","cate":"Capacitor","des":"Capacitor 22UF/25V20%805","mfg":"SAMSUNG","pn":"CL21A226MAYNNNE","qty":1123</v>
      </c>
      <c r="U1519" t="s">
        <v>2503</v>
      </c>
    </row>
    <row r="1520" spans="5:21" x14ac:dyDescent="0.25">
      <c r="E1520" t="s">
        <v>2123</v>
      </c>
      <c r="F1520" t="s">
        <v>2070</v>
      </c>
      <c r="G1520" t="s">
        <v>37</v>
      </c>
      <c r="H1520" t="s">
        <v>2071</v>
      </c>
      <c r="I1520">
        <v>1092</v>
      </c>
      <c r="K1520" t="s">
        <v>4005</v>
      </c>
      <c r="L1520" t="str">
        <f t="shared" si="171"/>
        <v>"id":"s1502",</v>
      </c>
      <c r="M1520" t="str">
        <v>"cate":"Resistor ",</v>
      </c>
      <c r="N1520" t="str">
        <v>"des":"RST 0,33 2W 5% 2512",</v>
      </c>
      <c r="O1520" t="str">
        <v>"mfg":"AMP",</v>
      </c>
      <c r="P1520" t="str">
        <v>"pn":"3-2176058-7",</v>
      </c>
      <c r="Q1520" t="str">
        <v>"qty":1121</v>
      </c>
      <c r="S1520" t="s">
        <v>2498</v>
      </c>
      <c r="T1520" t="str">
        <f t="shared" si="172"/>
        <v>"id":"s1502","cate":"Resistor ","des":"RST 0,33 2W 5% 2512","mfg":"AMP","pn":"3-2176058-7","qty":1121</v>
      </c>
      <c r="U1520" t="s">
        <v>2503</v>
      </c>
    </row>
    <row r="1521" spans="5:21" x14ac:dyDescent="0.25">
      <c r="E1521" s="6" t="s">
        <v>2382</v>
      </c>
      <c r="F1521" t="s">
        <v>2072</v>
      </c>
      <c r="G1521" t="s">
        <v>149</v>
      </c>
      <c r="H1521" t="s">
        <v>2073</v>
      </c>
      <c r="I1521">
        <v>1080</v>
      </c>
      <c r="K1521" t="s">
        <v>4006</v>
      </c>
      <c r="L1521" t="str">
        <f t="shared" si="171"/>
        <v>"id":"s1503",</v>
      </c>
      <c r="M1521" t="str">
        <v>"cate":"Resistor ",</v>
      </c>
      <c r="N1521" t="str">
        <v>"des":"RST 0,33 2W 5% 2512",</v>
      </c>
      <c r="O1521" t="str">
        <v>"mfg":"TE CONNECTIVITY",</v>
      </c>
      <c r="P1521" t="str">
        <v>"pn":"RLP73K3AR33JTE",</v>
      </c>
      <c r="Q1521" t="str">
        <v>"qty":1121</v>
      </c>
      <c r="S1521" t="s">
        <v>2498</v>
      </c>
      <c r="T1521" t="str">
        <f t="shared" si="172"/>
        <v>"id":"s1503","cate":"Resistor ","des":"RST 0,33 2W 5% 2512","mfg":"TE CONNECTIVITY","pn":"RLP73K3AR33JTE","qty":1121</v>
      </c>
      <c r="U1521" t="s">
        <v>2503</v>
      </c>
    </row>
    <row r="1522" spans="5:21" x14ac:dyDescent="0.25">
      <c r="E1522" s="6" t="s">
        <v>2382</v>
      </c>
      <c r="F1522" t="s">
        <v>2074</v>
      </c>
      <c r="G1522" t="s">
        <v>149</v>
      </c>
      <c r="H1522" t="s">
        <v>2075</v>
      </c>
      <c r="I1522">
        <v>1074</v>
      </c>
      <c r="K1522" t="s">
        <v>4007</v>
      </c>
      <c r="L1522" t="str">
        <f t="shared" si="171"/>
        <v>"id":"s1504",</v>
      </c>
      <c r="M1522" t="str">
        <v>"cate":"IC",</v>
      </c>
      <c r="N1522" t="str">
        <v>"des":"IC AD8628ARTZ",</v>
      </c>
      <c r="O1522" t="str">
        <v>"mfg":"TEXAS INSTRUMENTS",</v>
      </c>
      <c r="P1522" t="str">
        <v>"pn":"OPA335AIDBVR",</v>
      </c>
      <c r="Q1522" t="str">
        <v>"qty":1118</v>
      </c>
      <c r="S1522" t="s">
        <v>2498</v>
      </c>
      <c r="T1522" t="str">
        <f t="shared" si="172"/>
        <v>"id":"s1504","cate":"IC","des":"IC AD8628ARTZ","mfg":"TEXAS INSTRUMENTS","pn":"OPA335AIDBVR","qty":1118</v>
      </c>
      <c r="U1522" t="s">
        <v>2503</v>
      </c>
    </row>
    <row r="1523" spans="5:21" x14ac:dyDescent="0.25">
      <c r="E1523" s="6" t="s">
        <v>2382</v>
      </c>
      <c r="F1523" t="s">
        <v>2074</v>
      </c>
      <c r="G1523" t="s">
        <v>149</v>
      </c>
      <c r="H1523" t="s">
        <v>2076</v>
      </c>
      <c r="I1523">
        <v>1074</v>
      </c>
      <c r="K1523" t="s">
        <v>4008</v>
      </c>
      <c r="L1523" t="str">
        <f t="shared" si="171"/>
        <v>"id":"s1505",</v>
      </c>
      <c r="M1523" t="str">
        <v>"cate":"IC",</v>
      </c>
      <c r="N1523" t="str">
        <v>"des":"IC AD8628ARTZ",</v>
      </c>
      <c r="O1523" t="str">
        <v>"mfg":"TEXAS INSTRUMENTS",</v>
      </c>
      <c r="P1523" t="str">
        <v>"pn":"OPA335AIDBVT",</v>
      </c>
      <c r="Q1523" t="str">
        <v>"qty":1118</v>
      </c>
      <c r="S1523" t="s">
        <v>2498</v>
      </c>
      <c r="T1523" t="str">
        <f t="shared" si="172"/>
        <v>"id":"s1505","cate":"IC","des":"IC AD8628ARTZ","mfg":"TEXAS INSTRUMENTS","pn":"OPA335AIDBVT","qty":1118</v>
      </c>
      <c r="U1523" t="s">
        <v>2503</v>
      </c>
    </row>
    <row r="1524" spans="5:21" x14ac:dyDescent="0.25">
      <c r="E1524" s="6" t="s">
        <v>2382</v>
      </c>
      <c r="F1524" t="s">
        <v>2074</v>
      </c>
      <c r="G1524" t="s">
        <v>149</v>
      </c>
      <c r="H1524" t="s">
        <v>2077</v>
      </c>
      <c r="I1524">
        <v>1074</v>
      </c>
      <c r="K1524" t="s">
        <v>4009</v>
      </c>
      <c r="L1524" t="str">
        <f t="shared" si="171"/>
        <v>"id":"s1506",</v>
      </c>
      <c r="M1524" t="str">
        <v>"cate":"IC",</v>
      </c>
      <c r="N1524" t="str">
        <v>"des":"IC AD8628ARTZ",</v>
      </c>
      <c r="O1524" t="str">
        <v>"mfg":"ANALOG DEVICES",</v>
      </c>
      <c r="P1524" t="str">
        <v>"pn":"AD8628ARTZ-REEL7",</v>
      </c>
      <c r="Q1524" t="str">
        <v>"qty":1118</v>
      </c>
      <c r="S1524" t="s">
        <v>2498</v>
      </c>
      <c r="T1524" t="str">
        <f t="shared" si="172"/>
        <v>"id":"s1506","cate":"IC","des":"IC AD8628ARTZ","mfg":"ANALOG DEVICES","pn":"AD8628ARTZ-REEL7","qty":1118</v>
      </c>
      <c r="U1524" t="s">
        <v>2503</v>
      </c>
    </row>
    <row r="1525" spans="5:21" x14ac:dyDescent="0.25">
      <c r="E1525" s="6" t="s">
        <v>2382</v>
      </c>
      <c r="F1525" t="s">
        <v>2074</v>
      </c>
      <c r="G1525" t="s">
        <v>1545</v>
      </c>
      <c r="H1525" t="s">
        <v>2078</v>
      </c>
      <c r="I1525">
        <v>1074</v>
      </c>
      <c r="K1525" t="s">
        <v>4010</v>
      </c>
      <c r="L1525" t="str">
        <f t="shared" si="171"/>
        <v>"id":"s1507",</v>
      </c>
      <c r="M1525" t="str">
        <v>"cate":"IC",</v>
      </c>
      <c r="N1525" t="str">
        <v>"des":"IC AD8628ARTZ",</v>
      </c>
      <c r="O1525" t="str">
        <v>"mfg":"LINEAR TECHNOLOGY",</v>
      </c>
      <c r="P1525" t="str">
        <v>"pn":"LTC2050HS5#TRMPBF",</v>
      </c>
      <c r="Q1525" t="str">
        <v>"qty":1118</v>
      </c>
      <c r="S1525" t="s">
        <v>2498</v>
      </c>
      <c r="T1525" t="str">
        <f t="shared" si="172"/>
        <v>"id":"s1507","cate":"IC","des":"IC AD8628ARTZ","mfg":"LINEAR TECHNOLOGY","pn":"LTC2050HS5#TRMPBF","qty":1118</v>
      </c>
      <c r="U1525" t="s">
        <v>2503</v>
      </c>
    </row>
    <row r="1526" spans="5:21" x14ac:dyDescent="0.25">
      <c r="E1526" t="s">
        <v>2405</v>
      </c>
      <c r="F1526" t="s">
        <v>2463</v>
      </c>
      <c r="G1526" t="s">
        <v>28</v>
      </c>
      <c r="H1526" t="s">
        <v>2079</v>
      </c>
      <c r="I1526">
        <v>1073</v>
      </c>
      <c r="K1526" t="s">
        <v>4011</v>
      </c>
      <c r="L1526" t="str">
        <f t="shared" si="171"/>
        <v>"id":"s1508",</v>
      </c>
      <c r="M1526" t="str">
        <v>"cate":"PTC ",</v>
      </c>
      <c r="N1526" t="str">
        <v>"des":"PTC 4,5A 16V",</v>
      </c>
      <c r="O1526" t="str">
        <v>"mfg":"LITTELFUSE",</v>
      </c>
      <c r="P1526" t="str">
        <v>"pn":"RHEF450",</v>
      </c>
      <c r="Q1526" t="str">
        <v>"qty":1114</v>
      </c>
      <c r="S1526" t="s">
        <v>2498</v>
      </c>
      <c r="T1526" t="str">
        <f t="shared" si="172"/>
        <v>"id":"s1508","cate":"PTC ","des":"PTC 4,5A 16V","mfg":"LITTELFUSE","pn":"RHEF450","qty":1114</v>
      </c>
      <c r="U1526" t="s">
        <v>2503</v>
      </c>
    </row>
    <row r="1527" spans="5:21" x14ac:dyDescent="0.25">
      <c r="E1527" t="s">
        <v>2194</v>
      </c>
      <c r="F1527" t="s">
        <v>2376</v>
      </c>
      <c r="G1527" t="s">
        <v>37</v>
      </c>
      <c r="H1527" t="s">
        <v>2080</v>
      </c>
      <c r="I1527">
        <v>1071</v>
      </c>
      <c r="K1527" t="s">
        <v>4012</v>
      </c>
      <c r="L1527" t="str">
        <f t="shared" si="171"/>
        <v>"id":"s1509",</v>
      </c>
      <c r="M1527" t="str">
        <v>"cate":"Resistor ",</v>
      </c>
      <c r="N1527" t="str">
        <v>"des":"RST 3,3K 1/4W 5%SMD",</v>
      </c>
      <c r="O1527" t="str">
        <v>"mfg":"YAGEO",</v>
      </c>
      <c r="P1527" t="str">
        <v>"pn":"RC1206FR-073K3L",</v>
      </c>
      <c r="Q1527" t="str">
        <v>"qty":1107</v>
      </c>
      <c r="S1527" t="s">
        <v>2498</v>
      </c>
      <c r="T1527" t="str">
        <f t="shared" si="172"/>
        <v>"id":"s1509","cate":"Resistor ","des":"RST 3,3K 1/4W 5%SMD","mfg":"YAGEO","pn":"RC1206FR-073K3L","qty":1107</v>
      </c>
      <c r="U1527" t="s">
        <v>2503</v>
      </c>
    </row>
    <row r="1528" spans="5:21" x14ac:dyDescent="0.25">
      <c r="E1528" t="s">
        <v>2382</v>
      </c>
      <c r="F1528" t="s">
        <v>2471</v>
      </c>
      <c r="G1528" t="s">
        <v>2472</v>
      </c>
      <c r="H1528" t="s">
        <v>2081</v>
      </c>
      <c r="I1528">
        <v>1070</v>
      </c>
      <c r="K1528" t="s">
        <v>4013</v>
      </c>
      <c r="L1528" t="str">
        <f t="shared" si="171"/>
        <v>"id":"s1510",</v>
      </c>
      <c r="M1528" t="str">
        <v>"cate":"Resistor ",</v>
      </c>
      <c r="N1528" t="str">
        <v>"des":"RST 3,3K 1/4W 5%SMD",</v>
      </c>
      <c r="O1528" t="str">
        <v>"mfg":"WALSIN",</v>
      </c>
      <c r="P1528" t="str">
        <v>"pn":"WR12X3301FTL",</v>
      </c>
      <c r="Q1528" t="str">
        <v>"qty":1107</v>
      </c>
      <c r="S1528" t="s">
        <v>2498</v>
      </c>
      <c r="T1528" t="str">
        <f t="shared" si="172"/>
        <v>"id":"s1510","cate":"Resistor ","des":"RST 3,3K 1/4W 5%SMD","mfg":"WALSIN","pn":"WR12X3301FTL","qty":1107</v>
      </c>
      <c r="U1528" t="s">
        <v>2503</v>
      </c>
    </row>
    <row r="1529" spans="5:21" x14ac:dyDescent="0.25">
      <c r="E1529" t="s">
        <v>2382</v>
      </c>
      <c r="F1529" t="s">
        <v>2471</v>
      </c>
      <c r="G1529" t="s">
        <v>2082</v>
      </c>
      <c r="H1529" t="s">
        <v>2081</v>
      </c>
      <c r="I1529">
        <v>1070</v>
      </c>
      <c r="K1529" t="s">
        <v>4014</v>
      </c>
      <c r="L1529" t="str">
        <f t="shared" si="171"/>
        <v>"id":"s1511",</v>
      </c>
      <c r="M1529" t="str">
        <v>"cate":"Capacitor",</v>
      </c>
      <c r="N1529" t="str">
        <v>"des":"Capacitor 3UF K1300VDC",</v>
      </c>
      <c r="O1529" t="str">
        <v>"mfg":"EPCOS/TDK",</v>
      </c>
      <c r="P1529" t="str">
        <v>"pn":"B32774D1305K000",</v>
      </c>
      <c r="Q1529" t="str">
        <v>"qty":1103</v>
      </c>
      <c r="S1529" t="s">
        <v>2498</v>
      </c>
      <c r="T1529" t="str">
        <f t="shared" si="172"/>
        <v>"id":"s1511","cate":"Capacitor","des":"Capacitor 3UF K1300VDC","mfg":"EPCOS/TDK","pn":"B32774D1305K000","qty":1103</v>
      </c>
      <c r="U1529" t="s">
        <v>2503</v>
      </c>
    </row>
    <row r="1530" spans="5:21" x14ac:dyDescent="0.25">
      <c r="E1530" t="s">
        <v>2405</v>
      </c>
      <c r="F1530" t="s">
        <v>2464</v>
      </c>
      <c r="G1530" t="s">
        <v>521</v>
      </c>
      <c r="H1530" t="s">
        <v>2083</v>
      </c>
      <c r="I1530">
        <v>1067</v>
      </c>
      <c r="K1530" t="s">
        <v>4015</v>
      </c>
      <c r="L1530" t="str">
        <f t="shared" si="171"/>
        <v>"id":"s1512",</v>
      </c>
      <c r="M1530" t="str">
        <v>"cate":"TAPE",</v>
      </c>
      <c r="N1530" t="str">
        <v>"des":"TAPE 65X98MM 060GF",</v>
      </c>
      <c r="O1530" t="str">
        <v>"mfg":"KANSAI FELT",</v>
      </c>
      <c r="P1530" t="str">
        <v>"pn":"GL0008824-0000 REV 01",</v>
      </c>
      <c r="Q1530" t="str">
        <v>"qty":1100</v>
      </c>
      <c r="S1530" t="s">
        <v>2498</v>
      </c>
      <c r="T1530" t="str">
        <f t="shared" si="172"/>
        <v>"id":"s1512","cate":"TAPE","des":"TAPE 65X98MM 060GF","mfg":"KANSAI FELT","pn":"GL0008824-0000 REV 01","qty":1100</v>
      </c>
      <c r="U1530" t="s">
        <v>2503</v>
      </c>
    </row>
    <row r="1531" spans="5:21" x14ac:dyDescent="0.25">
      <c r="E1531" t="s">
        <v>2405</v>
      </c>
      <c r="F1531" t="s">
        <v>2464</v>
      </c>
      <c r="G1531" t="s">
        <v>61</v>
      </c>
      <c r="H1531" t="s">
        <v>2084</v>
      </c>
      <c r="I1531">
        <v>1067</v>
      </c>
      <c r="K1531" t="s">
        <v>4016</v>
      </c>
      <c r="L1531" t="str">
        <f t="shared" si="171"/>
        <v>"id":"s1513",</v>
      </c>
      <c r="M1531" t="str">
        <v>"cate":"TAPE",</v>
      </c>
      <c r="N1531" t="str">
        <v>"des":"TAPE 65X98MM 060GF",</v>
      </c>
      <c r="O1531" t="str">
        <v>"mfg":"KANSAI FELT",</v>
      </c>
      <c r="P1531" t="str">
        <v>"pn":"GL0008824-0000 REV 02",</v>
      </c>
      <c r="Q1531" t="str">
        <v>"qty":1100</v>
      </c>
      <c r="S1531" t="s">
        <v>2498</v>
      </c>
      <c r="T1531" t="str">
        <f t="shared" si="172"/>
        <v>"id":"s1513","cate":"TAPE","des":"TAPE 65X98MM 060GF","mfg":"KANSAI FELT","pn":"GL0008824-0000 REV 02","qty":1100</v>
      </c>
      <c r="U1531" t="s">
        <v>2503</v>
      </c>
    </row>
    <row r="1532" spans="5:21" x14ac:dyDescent="0.25">
      <c r="E1532" t="s">
        <v>2405</v>
      </c>
      <c r="F1532" t="s">
        <v>2464</v>
      </c>
      <c r="G1532" t="s">
        <v>2085</v>
      </c>
      <c r="H1532" t="s">
        <v>2086</v>
      </c>
      <c r="I1532">
        <v>1067</v>
      </c>
      <c r="K1532" t="s">
        <v>4017</v>
      </c>
      <c r="L1532" t="str">
        <f t="shared" si="171"/>
        <v>"id":"s1514",</v>
      </c>
      <c r="M1532" t="str">
        <v>"cate":"TAPE",</v>
      </c>
      <c r="N1532" t="str">
        <v>"des":"TAPE 65X98MM 060GF",</v>
      </c>
      <c r="O1532" t="str">
        <v>"mfg":"FABRITECH",</v>
      </c>
      <c r="P1532" t="str">
        <v>"pn":"GL0008824-0000 REV 01",</v>
      </c>
      <c r="Q1532" t="str">
        <v>"qty":1100</v>
      </c>
      <c r="S1532" t="s">
        <v>2498</v>
      </c>
      <c r="T1532" t="str">
        <f t="shared" si="172"/>
        <v>"id":"s1514","cate":"TAPE","des":"TAPE 65X98MM 060GF","mfg":"FABRITECH","pn":"GL0008824-0000 REV 01","qty":1100</v>
      </c>
      <c r="U1532" t="s">
        <v>2503</v>
      </c>
    </row>
    <row r="1533" spans="5:21" x14ac:dyDescent="0.25">
      <c r="E1533" t="s">
        <v>2139</v>
      </c>
      <c r="F1533" t="s">
        <v>2087</v>
      </c>
      <c r="G1533" t="s">
        <v>343</v>
      </c>
      <c r="H1533" t="s">
        <v>2088</v>
      </c>
      <c r="I1533">
        <v>1064</v>
      </c>
      <c r="K1533" t="s">
        <v>4018</v>
      </c>
      <c r="L1533" t="str">
        <f t="shared" si="171"/>
        <v>"id":"s1515",</v>
      </c>
      <c r="M1533" t="str">
        <v>"cate":"LED ",</v>
      </c>
      <c r="N1533" t="str">
        <v>"des":"LED SMD GREEN2",</v>
      </c>
      <c r="O1533" t="str">
        <v>"mfg":"VISHAY",</v>
      </c>
      <c r="P1533" t="str">
        <v>"pn":"VLMG3100-GS08",</v>
      </c>
      <c r="Q1533" t="str">
        <v>"qty":1092</v>
      </c>
      <c r="S1533" t="s">
        <v>2498</v>
      </c>
      <c r="T1533" t="str">
        <f t="shared" si="172"/>
        <v>"id":"s1515","cate":"LED ","des":"LED SMD GREEN2","mfg":"VISHAY","pn":"VLMG3100-GS08","qty":1092</v>
      </c>
      <c r="U1533" t="s">
        <v>2503</v>
      </c>
    </row>
    <row r="1534" spans="5:21" x14ac:dyDescent="0.25">
      <c r="E1534" t="s">
        <v>2194</v>
      </c>
      <c r="F1534" t="s">
        <v>2377</v>
      </c>
      <c r="G1534" t="s">
        <v>176</v>
      </c>
      <c r="H1534" t="s">
        <v>2089</v>
      </c>
      <c r="I1534">
        <v>1055</v>
      </c>
      <c r="K1534" t="s">
        <v>4019</v>
      </c>
      <c r="L1534" t="str">
        <f t="shared" si="171"/>
        <v>"id":"s1516",</v>
      </c>
      <c r="M1534" t="str">
        <v>"cate":"IC",</v>
      </c>
      <c r="N1534" t="str">
        <v>"des":"IC TMS320F28032PAGT",</v>
      </c>
      <c r="O1534" t="str">
        <v>"mfg":"TEXAS INSTRUMENTS",</v>
      </c>
      <c r="P1534" t="str">
        <v>"pn":"TMS320F28032PAGT",</v>
      </c>
      <c r="Q1534" t="str">
        <v>"qty":1080</v>
      </c>
      <c r="S1534" t="s">
        <v>2498</v>
      </c>
      <c r="T1534" t="str">
        <f t="shared" si="172"/>
        <v>"id":"s1516","cate":"IC","des":"IC TMS320F28032PAGT","mfg":"TEXAS INSTRUMENTS","pn":"TMS320F28032PAGT","qty":1080</v>
      </c>
      <c r="U1534" t="s">
        <v>2503</v>
      </c>
    </row>
    <row r="1535" spans="5:21" x14ac:dyDescent="0.25">
      <c r="E1535" t="s">
        <v>2193</v>
      </c>
      <c r="F1535" t="s">
        <v>2090</v>
      </c>
      <c r="G1535" t="s">
        <v>37</v>
      </c>
      <c r="H1535" t="s">
        <v>2091</v>
      </c>
      <c r="I1535">
        <v>1054</v>
      </c>
      <c r="K1535" t="s">
        <v>4020</v>
      </c>
      <c r="L1535" t="str">
        <f t="shared" si="171"/>
        <v>"id":"s1517",</v>
      </c>
      <c r="M1535" t="str">
        <v>"cate":"IC",</v>
      </c>
      <c r="N1535" t="str">
        <v>"des":"IC REF3030AIDBZ",</v>
      </c>
      <c r="O1535" t="str">
        <v>"mfg":"TEXAS INSTRUMENTS",</v>
      </c>
      <c r="P1535" t="str">
        <v>"pn":"REF3030AIDBZ",</v>
      </c>
      <c r="Q1535" t="str">
        <v>"qty":1074</v>
      </c>
      <c r="S1535" t="s">
        <v>2498</v>
      </c>
      <c r="T1535" t="str">
        <f t="shared" si="172"/>
        <v>"id":"s1517","cate":"IC","des":"IC REF3030AIDBZ","mfg":"TEXAS INSTRUMENTS","pn":"REF3030AIDBZ","qty":1074</v>
      </c>
      <c r="U1535" t="s">
        <v>2503</v>
      </c>
    </row>
    <row r="1536" spans="5:21" x14ac:dyDescent="0.25">
      <c r="E1536" t="s">
        <v>2193</v>
      </c>
      <c r="F1536" t="s">
        <v>2090</v>
      </c>
      <c r="G1536" t="s">
        <v>1683</v>
      </c>
      <c r="H1536" t="s">
        <v>2092</v>
      </c>
      <c r="I1536">
        <v>1054</v>
      </c>
      <c r="K1536" t="s">
        <v>4021</v>
      </c>
      <c r="L1536" t="str">
        <f t="shared" si="171"/>
        <v>"id":"s1518",</v>
      </c>
      <c r="M1536" t="str">
        <v>"cate":"IC",</v>
      </c>
      <c r="N1536" t="str">
        <v>"des":"IC REF3030AIDBZ",</v>
      </c>
      <c r="O1536" t="str">
        <v>"mfg":"TEXAS INSTRUMENTS",</v>
      </c>
      <c r="P1536" t="str">
        <v>"pn":"REF3030AIDBZR",</v>
      </c>
      <c r="Q1536" t="str">
        <v>"qty":1074</v>
      </c>
      <c r="S1536" t="s">
        <v>2498</v>
      </c>
      <c r="T1536" t="str">
        <f t="shared" si="172"/>
        <v>"id":"s1518","cate":"IC","des":"IC REF3030AIDBZ","mfg":"TEXAS INSTRUMENTS","pn":"REF3030AIDBZR","qty":1074</v>
      </c>
      <c r="U1536" t="s">
        <v>2503</v>
      </c>
    </row>
    <row r="1537" spans="5:21" x14ac:dyDescent="0.25">
      <c r="E1537" t="s">
        <v>2194</v>
      </c>
      <c r="F1537" t="s">
        <v>2378</v>
      </c>
      <c r="G1537" t="s">
        <v>49</v>
      </c>
      <c r="H1537" t="s">
        <v>2093</v>
      </c>
      <c r="I1537">
        <v>1046</v>
      </c>
      <c r="K1537" t="s">
        <v>4022</v>
      </c>
      <c r="L1537" t="str">
        <f t="shared" si="171"/>
        <v>"id":"s1519",</v>
      </c>
      <c r="M1537" t="str">
        <v>"cate":"IC",</v>
      </c>
      <c r="N1537" t="str">
        <v>"des":"IC REF3030AIDBZ",</v>
      </c>
      <c r="O1537" t="str">
        <v>"mfg":"TEXAS INSTRUMENTS",</v>
      </c>
      <c r="P1537" t="str">
        <v>"pn":"REF3030AIDBZT",</v>
      </c>
      <c r="Q1537" t="str">
        <v>"qty":1074</v>
      </c>
      <c r="S1537" t="s">
        <v>2498</v>
      </c>
      <c r="T1537" t="str">
        <f t="shared" si="172"/>
        <v>"id":"s1519","cate":"IC","des":"IC REF3030AIDBZ","mfg":"TEXAS INSTRUMENTS","pn":"REF3030AIDBZT","qty":1074</v>
      </c>
      <c r="U1537" t="s">
        <v>2503</v>
      </c>
    </row>
    <row r="1538" spans="5:21" x14ac:dyDescent="0.25">
      <c r="E1538" t="s">
        <v>2194</v>
      </c>
      <c r="F1538" t="s">
        <v>2378</v>
      </c>
      <c r="G1538" t="s">
        <v>62</v>
      </c>
      <c r="H1538" t="s">
        <v>2094</v>
      </c>
      <c r="I1538">
        <v>1046</v>
      </c>
      <c r="K1538" t="s">
        <v>4023</v>
      </c>
      <c r="L1538" t="str">
        <f t="shared" si="171"/>
        <v>"id":"s1520",</v>
      </c>
      <c r="M1538" t="str">
        <v>"cate":"IC",</v>
      </c>
      <c r="N1538" t="str">
        <v>"des":"IC REF3030AIDBZ",</v>
      </c>
      <c r="O1538" t="str">
        <v>"mfg":"MAXIM",</v>
      </c>
      <c r="P1538" t="str">
        <v>"pn":"MAX6010AEUR+",</v>
      </c>
      <c r="Q1538" t="str">
        <v>"qty":1074</v>
      </c>
      <c r="S1538" t="s">
        <v>2498</v>
      </c>
      <c r="T1538" t="str">
        <f t="shared" si="172"/>
        <v>"id":"s1520","cate":"IC","des":"IC REF3030AIDBZ","mfg":"MAXIM","pn":"MAX6010AEUR+","qty":1074</v>
      </c>
      <c r="U1538" t="s">
        <v>2503</v>
      </c>
    </row>
    <row r="1539" spans="5:21" x14ac:dyDescent="0.25">
      <c r="E1539" t="s">
        <v>2405</v>
      </c>
      <c r="F1539" t="s">
        <v>2465</v>
      </c>
      <c r="G1539" t="s">
        <v>510</v>
      </c>
      <c r="H1539" t="s">
        <v>2095</v>
      </c>
      <c r="I1539">
        <v>1035</v>
      </c>
      <c r="K1539" t="s">
        <v>4024</v>
      </c>
      <c r="L1539" t="str">
        <f t="shared" si="171"/>
        <v>"id":"s1521",</v>
      </c>
      <c r="M1539" t="str">
        <v>"cate":"Diode",</v>
      </c>
      <c r="N1539" t="str">
        <v>"des":"DiodeE TVS 5V 9,4A",</v>
      </c>
      <c r="O1539" t="str">
        <v>"mfg":"ON SEMICONDUCTOR",</v>
      </c>
      <c r="P1539" t="str">
        <v>"pn":"ESD5Z5.0T5G",</v>
      </c>
      <c r="Q1539" t="str">
        <v>"qty":1073</v>
      </c>
      <c r="S1539" t="s">
        <v>2498</v>
      </c>
      <c r="T1539" t="str">
        <f t="shared" si="172"/>
        <v>"id":"s1521","cate":"Diode","des":"DiodeE TVS 5V 9,4A","mfg":"ON SEMICONDUCTOR","pn":"ESD5Z5.0T5G","qty":1073</v>
      </c>
      <c r="U1539" t="s">
        <v>2503</v>
      </c>
    </row>
    <row r="1540" spans="5:21" x14ac:dyDescent="0.25">
      <c r="E1540" t="s">
        <v>2405</v>
      </c>
      <c r="F1540" t="s">
        <v>2465</v>
      </c>
      <c r="G1540" t="s">
        <v>30</v>
      </c>
      <c r="H1540" t="s">
        <v>2096</v>
      </c>
      <c r="I1540">
        <v>1035</v>
      </c>
      <c r="K1540" t="s">
        <v>4025</v>
      </c>
      <c r="L1540" t="str">
        <f t="shared" si="171"/>
        <v>"id":"s1522",</v>
      </c>
      <c r="M1540" t="str">
        <v>"cate":"Capacitor",</v>
      </c>
      <c r="N1540" t="str">
        <v>"des":"Capacitor 4,7NF 400V TH",</v>
      </c>
      <c r="O1540" t="str">
        <v>"mfg":"VISHAY",</v>
      </c>
      <c r="P1540" t="str">
        <v>"pn":"VY1472M63Y5UG63V0",</v>
      </c>
      <c r="Q1540" t="str">
        <v>"qty":1071</v>
      </c>
      <c r="S1540" t="s">
        <v>2498</v>
      </c>
      <c r="T1540" t="str">
        <f t="shared" si="172"/>
        <v>"id":"s1522","cate":"Capacitor","des":"Capacitor 4,7NF 400V TH","mfg":"VISHAY","pn":"VY1472M63Y5UG63V0","qty":1071</v>
      </c>
      <c r="U1540" t="s">
        <v>2503</v>
      </c>
    </row>
    <row r="1541" spans="5:21" x14ac:dyDescent="0.25">
      <c r="E1541" s="6" t="s">
        <v>2194</v>
      </c>
      <c r="F1541" t="s">
        <v>2097</v>
      </c>
      <c r="G1541" t="s">
        <v>8</v>
      </c>
      <c r="H1541" t="s">
        <v>2098</v>
      </c>
      <c r="I1541">
        <v>1031</v>
      </c>
      <c r="K1541" t="s">
        <v>4026</v>
      </c>
      <c r="L1541" t="str">
        <f t="shared" si="171"/>
        <v>"id":"s1523",</v>
      </c>
      <c r="M1541" t="str">
        <v>"cate":"IC",</v>
      </c>
      <c r="N1541" t="str">
        <v>"des":"ICWM MP2451DT",</v>
      </c>
      <c r="O1541" t="str">
        <v>"mfg":"MPS -MonolithICower Sys",</v>
      </c>
      <c r="P1541" t="str">
        <v>"pn":"MP2451DT-LF-Z",</v>
      </c>
      <c r="Q1541" t="str">
        <v>"qty":1070</v>
      </c>
      <c r="S1541" t="s">
        <v>2498</v>
      </c>
      <c r="T1541" t="str">
        <f t="shared" si="172"/>
        <v>"id":"s1523","cate":"IC","des":"ICWM MP2451DT","mfg":"MPS -MonolithICower Sys","pn":"MP2451DT-LF-Z","qty":1070</v>
      </c>
      <c r="U1541" t="s">
        <v>2503</v>
      </c>
    </row>
    <row r="1542" spans="5:21" x14ac:dyDescent="0.25">
      <c r="E1542" t="s">
        <v>2194</v>
      </c>
      <c r="F1542" t="s">
        <v>2379</v>
      </c>
      <c r="G1542" t="s">
        <v>13</v>
      </c>
      <c r="H1542" t="s">
        <v>2099</v>
      </c>
      <c r="I1542">
        <v>1030</v>
      </c>
      <c r="K1542" t="s">
        <v>4027</v>
      </c>
      <c r="L1542" t="str">
        <f t="shared" si="171"/>
        <v>"id":"s1524",</v>
      </c>
      <c r="M1542" t="str">
        <v>"cate":"IC",</v>
      </c>
      <c r="N1542" t="str">
        <v>"des":"ICWM MP2451DT",</v>
      </c>
      <c r="O1542" t="str">
        <v>"mfg":"POWER INTEGRATIONS",</v>
      </c>
      <c r="P1542" t="str">
        <v>"pn":"MP2451DT-LF-Z",</v>
      </c>
      <c r="Q1542" t="str">
        <v>"qty":1070</v>
      </c>
      <c r="S1542" t="s">
        <v>2498</v>
      </c>
      <c r="T1542" t="str">
        <f t="shared" si="172"/>
        <v>"id":"s1524","cate":"IC","des":"ICWM MP2451DT","mfg":"POWER INTEGRATIONS","pn":"MP2451DT-LF-Z","qty":1070</v>
      </c>
      <c r="U1542" t="s">
        <v>2503</v>
      </c>
    </row>
    <row r="1543" spans="5:21" x14ac:dyDescent="0.25">
      <c r="E1543" t="s">
        <v>2194</v>
      </c>
      <c r="F1543" t="s">
        <v>2379</v>
      </c>
      <c r="G1543" t="s">
        <v>47</v>
      </c>
      <c r="H1543" t="s">
        <v>2100</v>
      </c>
      <c r="I1543">
        <v>1030</v>
      </c>
      <c r="K1543" t="s">
        <v>4028</v>
      </c>
      <c r="L1543" t="str">
        <f t="shared" si="171"/>
        <v>"id":"s1525",</v>
      </c>
      <c r="M1543" t="str">
        <v>"cate":"Diode",</v>
      </c>
      <c r="N1543" t="str">
        <v>"des":"DiodeE 60A 200VTO247",</v>
      </c>
      <c r="O1543" t="str">
        <v>"mfg":"IXYS",</v>
      </c>
      <c r="P1543" t="str">
        <v>"pn":"DSSK60-02A",</v>
      </c>
      <c r="Q1543" t="str">
        <v>"qty":1067</v>
      </c>
      <c r="S1543" t="s">
        <v>2498</v>
      </c>
      <c r="T1543" t="str">
        <f t="shared" si="172"/>
        <v>"id":"s1525","cate":"Diode","des":"DiodeE 60A 200VTO247","mfg":"IXYS","pn":"DSSK60-02A","qty":1067</v>
      </c>
      <c r="U1543" t="s">
        <v>2503</v>
      </c>
    </row>
    <row r="1544" spans="5:21" x14ac:dyDescent="0.25">
      <c r="E1544" t="s">
        <v>2194</v>
      </c>
      <c r="F1544" t="s">
        <v>2379</v>
      </c>
      <c r="G1544" t="s">
        <v>49</v>
      </c>
      <c r="H1544" t="s">
        <v>2101</v>
      </c>
      <c r="I1544">
        <v>1030</v>
      </c>
      <c r="K1544" t="s">
        <v>4029</v>
      </c>
      <c r="L1544" t="str">
        <f t="shared" si="171"/>
        <v>"id":"s1526",</v>
      </c>
      <c r="M1544" t="str">
        <v>"cate":"Diode",</v>
      </c>
      <c r="N1544" t="str">
        <v>"des":"DiodeE 60A 200VTO247",</v>
      </c>
      <c r="O1544" t="str">
        <v>"mfg":"STMICROELECTRONICS",</v>
      </c>
      <c r="P1544" t="str">
        <v>"pn":"STPS60SM200CW",</v>
      </c>
      <c r="Q1544" t="str">
        <v>"qty":1067</v>
      </c>
      <c r="S1544" t="s">
        <v>2498</v>
      </c>
      <c r="T1544" t="str">
        <f t="shared" si="172"/>
        <v>"id":"s1526","cate":"Diode","des":"DiodeE 60A 200VTO247","mfg":"STMICROELECTRONICS","pn":"STPS60SM200CW","qty":1067</v>
      </c>
      <c r="U1544" t="s">
        <v>2503</v>
      </c>
    </row>
    <row r="1545" spans="5:21" x14ac:dyDescent="0.25">
      <c r="E1545" t="s">
        <v>2194</v>
      </c>
      <c r="F1545" t="s">
        <v>2380</v>
      </c>
      <c r="G1545" t="s">
        <v>64</v>
      </c>
      <c r="H1545" t="s">
        <v>2102</v>
      </c>
      <c r="I1545">
        <v>1026</v>
      </c>
      <c r="K1545" t="s">
        <v>4030</v>
      </c>
      <c r="L1545" t="str">
        <f t="shared" si="171"/>
        <v>"id":"s1527",</v>
      </c>
      <c r="M1545" t="str">
        <v>"cate":"Diode",</v>
      </c>
      <c r="N1545" t="str">
        <v>"des":"DiodeE 60A 200VTO247",</v>
      </c>
      <c r="O1545" t="str">
        <v>"mfg":"MICROSEMI",</v>
      </c>
      <c r="P1545" t="str">
        <v>"pn":"APT60S20B2CTG",</v>
      </c>
      <c r="Q1545" t="str">
        <v>"qty":1067</v>
      </c>
      <c r="S1545" t="s">
        <v>2498</v>
      </c>
      <c r="T1545" t="str">
        <f t="shared" si="172"/>
        <v>"id":"s1527","cate":"Diode","des":"DiodeE 60A 200VTO247","mfg":"MICROSEMI","pn":"APT60S20B2CTG","qty":1067</v>
      </c>
      <c r="U1545" t="s">
        <v>2503</v>
      </c>
    </row>
    <row r="1546" spans="5:21" x14ac:dyDescent="0.25">
      <c r="E1546" t="s">
        <v>2193</v>
      </c>
      <c r="F1546" t="s">
        <v>2103</v>
      </c>
      <c r="G1546" t="s">
        <v>13</v>
      </c>
      <c r="H1546" t="s">
        <v>2104</v>
      </c>
      <c r="I1546">
        <v>1021</v>
      </c>
      <c r="K1546" t="s">
        <v>4031</v>
      </c>
      <c r="L1546" t="str">
        <f t="shared" si="171"/>
        <v>"id":"s1528",</v>
      </c>
      <c r="M1546" t="str">
        <v>"cate":"MA-1",</v>
      </c>
      <c r="N1546" t="str">
        <v>"des":"MA-1150572STG",</v>
      </c>
      <c r="O1546" t="str">
        <v>"mfg":"JOHANSON",</v>
      </c>
      <c r="P1546" t="str">
        <v>"pn":"500R07S8R2CV4T",</v>
      </c>
      <c r="Q1546" t="str">
        <v>"qty":1064</v>
      </c>
      <c r="S1546" t="s">
        <v>2498</v>
      </c>
      <c r="T1546" t="str">
        <f t="shared" si="172"/>
        <v>"id":"s1528","cate":"MA-1","des":"MA-1150572STG","mfg":"JOHANSON","pn":"500R07S8R2CV4T","qty":1064</v>
      </c>
      <c r="U1546" t="s">
        <v>2503</v>
      </c>
    </row>
    <row r="1547" spans="5:21" x14ac:dyDescent="0.25">
      <c r="E1547" t="s">
        <v>2193</v>
      </c>
      <c r="F1547" t="s">
        <v>2103</v>
      </c>
      <c r="G1547" t="s">
        <v>5</v>
      </c>
      <c r="H1547" t="s">
        <v>2105</v>
      </c>
      <c r="I1547">
        <v>1021</v>
      </c>
      <c r="K1547" t="s">
        <v>4032</v>
      </c>
      <c r="L1547" t="str">
        <f t="shared" si="171"/>
        <v>"id":"s1529",</v>
      </c>
      <c r="M1547" t="str">
        <v>"cate":"Capacitor",</v>
      </c>
      <c r="N1547" t="str">
        <v>"des":"Capacitor 47UF/25V 20%-A",</v>
      </c>
      <c r="O1547" t="str">
        <v>"mfg":"PANASONIC",</v>
      </c>
      <c r="P1547" t="str">
        <v>"pn":"EEE-FK1E470P",</v>
      </c>
      <c r="Q1547" t="str">
        <v>"qty":1055</v>
      </c>
      <c r="S1547" t="s">
        <v>2498</v>
      </c>
      <c r="T1547" t="str">
        <f t="shared" si="172"/>
        <v>"id":"s1529","cate":"Capacitor","des":"Capacitor 47UF/25V 20%-A","mfg":"PANASONIC","pn":"EEE-FK1E470P","qty":1055</v>
      </c>
      <c r="U1547" t="s">
        <v>2503</v>
      </c>
    </row>
    <row r="1548" spans="5:21" x14ac:dyDescent="0.25">
      <c r="E1548" t="s">
        <v>2193</v>
      </c>
      <c r="F1548" t="s">
        <v>2103</v>
      </c>
      <c r="G1548" t="s">
        <v>320</v>
      </c>
      <c r="H1548" t="s">
        <v>2106</v>
      </c>
      <c r="I1548">
        <v>1021</v>
      </c>
      <c r="K1548" t="s">
        <v>4033</v>
      </c>
      <c r="L1548" t="str">
        <f t="shared" si="171"/>
        <v>"id":"s1530",</v>
      </c>
      <c r="M1548" t="str">
        <v>"cate":"Resistor ",</v>
      </c>
      <c r="N1548" t="str">
        <v>"des":"RST 150K 1W5%2512",</v>
      </c>
      <c r="O1548" t="str">
        <v>"mfg":"VISHAY",</v>
      </c>
      <c r="P1548" t="str">
        <v>"pn":"CRCW2512150KJNEG",</v>
      </c>
      <c r="Q1548" t="str">
        <v>"qty":1054</v>
      </c>
      <c r="S1548" t="s">
        <v>2498</v>
      </c>
      <c r="T1548" t="str">
        <f t="shared" si="172"/>
        <v>"id":"s1530","cate":"Resistor ","des":"RST 150K 1W5%2512","mfg":"VISHAY","pn":"CRCW2512150KJNEG","qty":1054</v>
      </c>
      <c r="U1548" t="s">
        <v>2503</v>
      </c>
    </row>
    <row r="1549" spans="5:21" x14ac:dyDescent="0.25">
      <c r="E1549" t="s">
        <v>2405</v>
      </c>
      <c r="F1549" t="s">
        <v>2466</v>
      </c>
      <c r="G1549" t="s">
        <v>2467</v>
      </c>
      <c r="H1549" t="s">
        <v>2107</v>
      </c>
      <c r="I1549">
        <v>1006</v>
      </c>
      <c r="K1549" t="s">
        <v>4034</v>
      </c>
      <c r="L1549" t="str">
        <f t="shared" si="171"/>
        <v>"id":"s1531",</v>
      </c>
      <c r="M1549" t="str">
        <v>"cate":"Resistor ",</v>
      </c>
      <c r="N1549" t="str">
        <v>"des":"RST 150K 1W5%2512",</v>
      </c>
      <c r="O1549" t="str">
        <v>"mfg":"MULTICOMP",</v>
      </c>
      <c r="P1549" t="str">
        <v>"pn":"MCHVR12JTET1503",</v>
      </c>
      <c r="Q1549" t="str">
        <v>"qty":1054</v>
      </c>
      <c r="S1549" t="s">
        <v>2498</v>
      </c>
      <c r="T1549" t="str">
        <f t="shared" si="172"/>
        <v>"id":"s1531","cate":"Resistor ","des":"RST 150K 1W5%2512","mfg":"MULTICOMP","pn":"MCHVR12JTET1503","qty":1054</v>
      </c>
      <c r="U1549" t="s">
        <v>2503</v>
      </c>
    </row>
    <row r="1550" spans="5:21" x14ac:dyDescent="0.25">
      <c r="E1550" t="s">
        <v>2405</v>
      </c>
      <c r="F1550" t="s">
        <v>2466</v>
      </c>
      <c r="G1550" t="s">
        <v>28</v>
      </c>
      <c r="H1550" t="s">
        <v>2108</v>
      </c>
      <c r="I1550">
        <v>1006</v>
      </c>
      <c r="K1550" t="s">
        <v>4035</v>
      </c>
      <c r="L1550" t="str">
        <f t="shared" si="171"/>
        <v>"id":"s1532",</v>
      </c>
      <c r="M1550" t="str">
        <v>"cate":"Capacitor",</v>
      </c>
      <c r="N1550" t="str">
        <v>"des":"Capacitor 4,7UF 100V1210",</v>
      </c>
      <c r="O1550" t="str">
        <v>"mfg":"AVX",</v>
      </c>
      <c r="P1550" t="str">
        <v>"pn":"12101C475K4Z2A",</v>
      </c>
      <c r="Q1550" t="str">
        <v>"qty":1046</v>
      </c>
      <c r="S1550" t="s">
        <v>2498</v>
      </c>
      <c r="T1550" t="str">
        <f t="shared" si="172"/>
        <v>"id":"s1532","cate":"Capacitor","des":"Capacitor 4,7UF 100V1210","mfg":"AVX","pn":"12101C475K4Z2A","qty":1046</v>
      </c>
      <c r="U1550" t="s">
        <v>2503</v>
      </c>
    </row>
    <row r="1551" spans="5:21" x14ac:dyDescent="0.25">
      <c r="E1551" t="s">
        <v>2405</v>
      </c>
      <c r="F1551" t="s">
        <v>2466</v>
      </c>
      <c r="G1551" t="s">
        <v>28</v>
      </c>
      <c r="H1551" t="s">
        <v>2109</v>
      </c>
      <c r="I1551">
        <v>1006</v>
      </c>
      <c r="K1551" t="s">
        <v>4036</v>
      </c>
      <c r="L1551" t="str">
        <f t="shared" si="171"/>
        <v>"id":"s1533",</v>
      </c>
      <c r="M1551" t="str">
        <v>"cate":"Capacitor",</v>
      </c>
      <c r="N1551" t="str">
        <v>"des":"Capacitor 4,7UF 100V1210",</v>
      </c>
      <c r="O1551" t="str">
        <v>"mfg":"TDK",</v>
      </c>
      <c r="P1551" t="str">
        <v>"pn":"CNA6P1X7R2A475K250AE",</v>
      </c>
      <c r="Q1551" t="str">
        <v>"qty":1046</v>
      </c>
      <c r="S1551" t="s">
        <v>2498</v>
      </c>
      <c r="T1551" t="str">
        <f t="shared" si="172"/>
        <v>"id":"s1533","cate":"Capacitor","des":"Capacitor 4,7UF 100V1210","mfg":"TDK","pn":"CNA6P1X7R2A475K250AE","qty":1046</v>
      </c>
      <c r="U1551" t="s">
        <v>2503</v>
      </c>
    </row>
    <row r="1552" spans="5:21" x14ac:dyDescent="0.25">
      <c r="E1552" t="s">
        <v>2194</v>
      </c>
      <c r="F1552" t="s">
        <v>2381</v>
      </c>
      <c r="G1552" t="s">
        <v>62</v>
      </c>
      <c r="H1552" t="s">
        <v>2110</v>
      </c>
      <c r="I1552">
        <v>1000</v>
      </c>
      <c r="K1552" t="s">
        <v>4037</v>
      </c>
      <c r="L1552" t="str">
        <f t="shared" si="171"/>
        <v>"id":"s1534",</v>
      </c>
      <c r="M1552" t="str">
        <v>"cate":"Diode",</v>
      </c>
      <c r="N1552" t="str">
        <v>"des":"DiodeE ZE 18V0,4WSMT",</v>
      </c>
      <c r="O1552" t="str">
        <v>"mfg":"ROHM SEMICONDUCTOR",</v>
      </c>
      <c r="P1552" t="str">
        <v>"pn":"UDZ18B",</v>
      </c>
      <c r="Q1552" t="str">
        <v>"qty":1035</v>
      </c>
      <c r="S1552" t="s">
        <v>2498</v>
      </c>
      <c r="T1552" t="str">
        <f t="shared" si="172"/>
        <v>"id":"s1534","cate":"Diode","des":"DiodeE ZE 18V0,4WSMT","mfg":"ROHM SEMICONDUCTOR","pn":"UDZ18B","qty":1035</v>
      </c>
      <c r="U1552" t="s">
        <v>2503</v>
      </c>
    </row>
    <row r="1553" spans="5:21" x14ac:dyDescent="0.25">
      <c r="E1553" t="s">
        <v>2194</v>
      </c>
      <c r="F1553" t="s">
        <v>2381</v>
      </c>
      <c r="G1553" t="s">
        <v>62</v>
      </c>
      <c r="H1553" t="s">
        <v>2111</v>
      </c>
      <c r="I1553">
        <v>1000</v>
      </c>
      <c r="K1553" t="s">
        <v>4038</v>
      </c>
      <c r="L1553" t="str">
        <f t="shared" si="171"/>
        <v>"id":"s1535",</v>
      </c>
      <c r="M1553" t="str">
        <v>"cate":"Diode",</v>
      </c>
      <c r="N1553" t="str">
        <v>"des":"DiodeE ZE 18V0,4WSMT",</v>
      </c>
      <c r="O1553" t="str">
        <v>"mfg":"NEXPERIA",</v>
      </c>
      <c r="P1553" t="str">
        <v>"pn":"PDZ18B,115",</v>
      </c>
      <c r="Q1553" t="str">
        <v>"qty":1035</v>
      </c>
      <c r="S1553" t="s">
        <v>2498</v>
      </c>
      <c r="T1553" t="str">
        <f t="shared" si="172"/>
        <v>"id":"s1535","cate":"Diode","des":"DiodeE ZE 18V0,4WSMT","mfg":"NEXPERIA","pn":"PDZ18B,115","qty":1035</v>
      </c>
      <c r="U1553" t="s">
        <v>2503</v>
      </c>
    </row>
    <row r="1554" spans="5:21" x14ac:dyDescent="0.25">
      <c r="E1554" t="s">
        <v>2123</v>
      </c>
      <c r="F1554" t="s">
        <v>2112</v>
      </c>
      <c r="G1554" t="s">
        <v>762</v>
      </c>
      <c r="H1554" t="s">
        <v>2113</v>
      </c>
      <c r="I1554">
        <v>1000</v>
      </c>
      <c r="K1554" t="s">
        <v>4039</v>
      </c>
      <c r="L1554" t="str">
        <f t="shared" si="171"/>
        <v>"id":"s1536",</v>
      </c>
      <c r="M1554" t="str">
        <v>"cate":"Capacitor",</v>
      </c>
      <c r="N1554" t="str">
        <v>"des":"CAP 1NF/100V 10%805",</v>
      </c>
      <c r="O1554" t="str">
        <v>"mfg":"SAMSUNG",</v>
      </c>
      <c r="P1554" t="str">
        <v>"pn":"CL21B102KCANNNC",</v>
      </c>
      <c r="Q1554" t="str">
        <v>"qty":1031</v>
      </c>
      <c r="S1554" t="s">
        <v>2498</v>
      </c>
      <c r="T1554" t="str">
        <f t="shared" si="172"/>
        <v>"id":"s1536","cate":"Capacitor","des":"CAP 1NF/100V 10%805","mfg":"SAMSUNG","pn":"CL21B102KCANNNC","qty":1031</v>
      </c>
      <c r="U1554" t="s">
        <v>2503</v>
      </c>
    </row>
    <row r="1555" spans="5:21" x14ac:dyDescent="0.25">
      <c r="E1555" t="s">
        <v>2188</v>
      </c>
      <c r="F1555" t="s">
        <v>2114</v>
      </c>
      <c r="G1555" t="s">
        <v>2115</v>
      </c>
      <c r="H1555" t="s">
        <v>2116</v>
      </c>
      <c r="I1555">
        <v>1000</v>
      </c>
      <c r="K1555" t="s">
        <v>4040</v>
      </c>
      <c r="L1555" t="str">
        <f t="shared" si="171"/>
        <v>"id":"s1537",</v>
      </c>
      <c r="M1555" t="str">
        <v>"cate":"Capacitor",</v>
      </c>
      <c r="N1555" t="str">
        <v>"des":"Capacitor 100NF50V 0603A",</v>
      </c>
      <c r="O1555" t="str">
        <v>"mfg":"YAGEO",</v>
      </c>
      <c r="P1555" t="str">
        <v>"pn":"CC0603KRX7R9BB104",</v>
      </c>
      <c r="Q1555" t="str">
        <v>"qty":1030</v>
      </c>
      <c r="S1555" t="s">
        <v>2498</v>
      </c>
      <c r="T1555" t="str">
        <f t="shared" si="172"/>
        <v>"id":"s1537","cate":"Capacitor","des":"Capacitor 100NF50V 0603A","mfg":"YAGEO","pn":"CC0603KRX7R9BB104","qty":1030</v>
      </c>
      <c r="U1555" t="s">
        <v>2503</v>
      </c>
    </row>
    <row r="1556" spans="5:21" x14ac:dyDescent="0.25">
      <c r="E1556" t="s">
        <v>2193</v>
      </c>
      <c r="F1556" t="s">
        <v>2117</v>
      </c>
      <c r="G1556" t="s">
        <v>5</v>
      </c>
      <c r="H1556" t="s">
        <v>2118</v>
      </c>
      <c r="I1556">
        <v>1000</v>
      </c>
      <c r="K1556" t="s">
        <v>4041</v>
      </c>
      <c r="L1556" t="str">
        <f t="shared" ref="L1556:L1569" si="173">_xlfn.CONCAT("""","id","""",":","""",K1556,"""",",")</f>
        <v>"id":"s1538",</v>
      </c>
      <c r="M1556" t="str">
        <v>"cate":"Capacitor",</v>
      </c>
      <c r="N1556" t="str">
        <v>"des":"Capacitor 100NF50V 0603A",</v>
      </c>
      <c r="O1556" t="str">
        <v>"mfg":"KEMET",</v>
      </c>
      <c r="P1556" t="str">
        <v>"pn":"C0603X104K5RACXX",</v>
      </c>
      <c r="Q1556" t="str">
        <v>"qty":1030</v>
      </c>
      <c r="S1556" t="s">
        <v>2498</v>
      </c>
      <c r="T1556" t="str">
        <f t="shared" ref="T1556:T1569" si="174">_xlfn.CONCAT(L1556:Q1556)</f>
        <v>"id":"s1538","cate":"Capacitor","des":"Capacitor 100NF50V 0603A","mfg":"KEMET","pn":"C0603X104K5RACXX","qty":1030</v>
      </c>
      <c r="U1556" t="s">
        <v>2503</v>
      </c>
    </row>
    <row r="1557" spans="5:21" x14ac:dyDescent="0.25">
      <c r="K1557" t="s">
        <v>4042</v>
      </c>
      <c r="L1557" t="str">
        <f t="shared" si="173"/>
        <v>"id":"s1539",</v>
      </c>
      <c r="M1557" t="str">
        <v>"cate":"Capacitor",</v>
      </c>
      <c r="N1557" t="str">
        <v>"des":"Capacitor 100NF50V 0603A",</v>
      </c>
      <c r="O1557" t="str">
        <v>"mfg":"AVX",</v>
      </c>
      <c r="P1557" t="str">
        <v>"pn":"06035C104KXXXX",</v>
      </c>
      <c r="Q1557" t="str">
        <v>"qty":1030</v>
      </c>
      <c r="S1557" t="s">
        <v>2498</v>
      </c>
      <c r="T1557" t="str">
        <f t="shared" si="174"/>
        <v>"id":"s1539","cate":"Capacitor","des":"Capacitor 100NF50V 0603A","mfg":"AVX","pn":"06035C104KXXXX","qty":1030</v>
      </c>
      <c r="U1557" t="s">
        <v>2503</v>
      </c>
    </row>
    <row r="1558" spans="5:21" x14ac:dyDescent="0.25">
      <c r="K1558" t="s">
        <v>4043</v>
      </c>
      <c r="L1558" t="str">
        <f t="shared" si="173"/>
        <v>"id":"s1540",</v>
      </c>
      <c r="M1558" t="str">
        <v>"cate":"Capacitor",</v>
      </c>
      <c r="N1558" t="str">
        <v>"des":"Capacitor 100PF/50V 0603",</v>
      </c>
      <c r="O1558" t="str">
        <v>"mfg":"MURATA MANUFACTURING",</v>
      </c>
      <c r="P1558" t="str">
        <v>"pn":"GRM1885C1H101JA01D",</v>
      </c>
      <c r="Q1558" t="str">
        <v>"qty":1026</v>
      </c>
      <c r="S1558" t="s">
        <v>2498</v>
      </c>
      <c r="T1558" t="str">
        <f t="shared" si="174"/>
        <v>"id":"s1540","cate":"Capacitor","des":"Capacitor 100PF/50V 0603","mfg":"MURATA MANUFACTURING","pn":"GRM1885C1H101JA01D","qty":1026</v>
      </c>
      <c r="U1558" t="s">
        <v>2503</v>
      </c>
    </row>
    <row r="1559" spans="5:21" x14ac:dyDescent="0.25">
      <c r="K1559" t="s">
        <v>4044</v>
      </c>
      <c r="L1559" t="str">
        <f t="shared" si="173"/>
        <v>"id":"s1541",</v>
      </c>
      <c r="M1559" t="str">
        <v>"cate":"Resistor ",</v>
      </c>
      <c r="N1559" t="str">
        <v>"des":"RST 4,7 1/4W 5%0805",</v>
      </c>
      <c r="O1559" t="str">
        <v>"mfg":"YAGEO",</v>
      </c>
      <c r="P1559" t="str">
        <v>"pn":"SR0805JR-7W4R7L",</v>
      </c>
      <c r="Q1559" t="str">
        <v>"qty":1021</v>
      </c>
      <c r="S1559" t="s">
        <v>2498</v>
      </c>
      <c r="T1559" t="str">
        <f t="shared" si="174"/>
        <v>"id":"s1541","cate":"Resistor ","des":"RST 4,7 1/4W 5%0805","mfg":"YAGEO","pn":"SR0805JR-7W4R7L","qty":1021</v>
      </c>
      <c r="U1559" t="s">
        <v>2503</v>
      </c>
    </row>
    <row r="1560" spans="5:21" x14ac:dyDescent="0.25">
      <c r="K1560" t="s">
        <v>4045</v>
      </c>
      <c r="L1560" t="str">
        <f t="shared" si="173"/>
        <v>"id":"s1542",</v>
      </c>
      <c r="M1560" t="str">
        <v>"cate":"Resistor ",</v>
      </c>
      <c r="N1560" t="str">
        <v>"des":"RST 4,7 1/4W 5%0805",</v>
      </c>
      <c r="O1560" t="str">
        <v>"mfg":"KOA",</v>
      </c>
      <c r="P1560" t="str">
        <v>"pn":"RK73B2ATTD4R7J",</v>
      </c>
      <c r="Q1560" t="str">
        <v>"qty":1021</v>
      </c>
      <c r="S1560" t="s">
        <v>2498</v>
      </c>
      <c r="T1560" t="str">
        <f t="shared" si="174"/>
        <v>"id":"s1542","cate":"Resistor ","des":"RST 4,7 1/4W 5%0805","mfg":"KOA","pn":"RK73B2ATTD4R7J","qty":1021</v>
      </c>
      <c r="U1560" t="s">
        <v>2503</v>
      </c>
    </row>
    <row r="1561" spans="5:21" x14ac:dyDescent="0.25">
      <c r="K1561" t="s">
        <v>4046</v>
      </c>
      <c r="L1561" t="str">
        <f t="shared" si="173"/>
        <v>"id":"s1543",</v>
      </c>
      <c r="M1561" t="str">
        <v>"cate":"Resistor ",</v>
      </c>
      <c r="N1561" t="str">
        <v>"des":"RST 4,7 1/4W 5%0805",</v>
      </c>
      <c r="O1561" t="str">
        <v>"mfg":"ROYAL OHM",</v>
      </c>
      <c r="P1561" t="str">
        <v>"pn":"HP05W3J047JT5E",</v>
      </c>
      <c r="Q1561" t="str">
        <v>"qty":1021</v>
      </c>
      <c r="S1561" t="s">
        <v>2498</v>
      </c>
      <c r="T1561" t="str">
        <f t="shared" si="174"/>
        <v>"id":"s1543","cate":"Resistor ","des":"RST 4,7 1/4W 5%0805","mfg":"ROYAL OHM","pn":"HP05W3J047JT5E","qty":1021</v>
      </c>
      <c r="U1561" t="s">
        <v>2503</v>
      </c>
    </row>
    <row r="1562" spans="5:21" x14ac:dyDescent="0.25">
      <c r="K1562" t="s">
        <v>4047</v>
      </c>
      <c r="L1562" t="str">
        <f t="shared" si="173"/>
        <v>"id":"s1544",</v>
      </c>
      <c r="M1562" t="str">
        <v>"cate":"Diode",</v>
      </c>
      <c r="N1562" t="str">
        <v>"des":"DiodeE 0,5A 20V",</v>
      </c>
      <c r="O1562" t="str">
        <v>"mfg":"DiodeES INC.",</v>
      </c>
      <c r="P1562" t="str">
        <v>"pn":"B0520LW-7-F",</v>
      </c>
      <c r="Q1562" t="str">
        <v>"qty":1006</v>
      </c>
      <c r="S1562" t="s">
        <v>2498</v>
      </c>
      <c r="T1562" t="str">
        <f t="shared" si="174"/>
        <v>"id":"s1544","cate":"Diode","des":"DiodeE 0,5A 20V","mfg":"DiodeES INC.","pn":"B0520LW-7-F","qty":1006</v>
      </c>
      <c r="U1562" t="s">
        <v>2503</v>
      </c>
    </row>
    <row r="1563" spans="5:21" x14ac:dyDescent="0.25">
      <c r="K1563" t="s">
        <v>4048</v>
      </c>
      <c r="L1563" t="str">
        <f t="shared" si="173"/>
        <v>"id":"s1545",</v>
      </c>
      <c r="M1563" t="str">
        <v>"cate":"Diode",</v>
      </c>
      <c r="N1563" t="str">
        <v>"des":"DiodeE 0,5A 20V",</v>
      </c>
      <c r="O1563" t="str">
        <v>"mfg":"ON SEMICONDUCTOR",</v>
      </c>
      <c r="P1563" t="str">
        <v>"pn":"MBR0520L",</v>
      </c>
      <c r="Q1563" t="str">
        <v>"qty":1006</v>
      </c>
      <c r="S1563" t="s">
        <v>2498</v>
      </c>
      <c r="T1563" t="str">
        <f t="shared" si="174"/>
        <v>"id":"s1545","cate":"Diode","des":"DiodeE 0,5A 20V","mfg":"ON SEMICONDUCTOR","pn":"MBR0520L","qty":1006</v>
      </c>
      <c r="U1563" t="s">
        <v>2503</v>
      </c>
    </row>
    <row r="1564" spans="5:21" x14ac:dyDescent="0.25">
      <c r="K1564" t="s">
        <v>4049</v>
      </c>
      <c r="L1564" t="str">
        <f t="shared" si="173"/>
        <v>"id":"s1546",</v>
      </c>
      <c r="M1564" t="str">
        <v>"cate":"Diode",</v>
      </c>
      <c r="N1564" t="str">
        <v>"des":"DiodeE 0,5A 20V",</v>
      </c>
      <c r="O1564" t="str">
        <v>"mfg":"ON SEMICONDUCTOR",</v>
      </c>
      <c r="P1564" t="str">
        <v>"pn":"MBR0520LT1G",</v>
      </c>
      <c r="Q1564" t="str">
        <v>"qty":1006</v>
      </c>
      <c r="S1564" t="s">
        <v>2498</v>
      </c>
      <c r="T1564" t="str">
        <f t="shared" si="174"/>
        <v>"id":"s1546","cate":"Diode","des":"DiodeE 0,5A 20V","mfg":"ON SEMICONDUCTOR","pn":"MBR0520LT1G","qty":1006</v>
      </c>
      <c r="U1564" t="s">
        <v>2503</v>
      </c>
    </row>
    <row r="1565" spans="5:21" x14ac:dyDescent="0.25">
      <c r="K1565" t="s">
        <v>4050</v>
      </c>
      <c r="L1565" t="str">
        <f t="shared" si="173"/>
        <v>"id":"s1547",</v>
      </c>
      <c r="M1565" t="str">
        <v>"cate":"Capacitor",</v>
      </c>
      <c r="N1565" t="str">
        <v>"des":"Capacitor 12NF/1KV5%1210",</v>
      </c>
      <c r="O1565" t="str">
        <v>"mfg":"TDK",</v>
      </c>
      <c r="P1565" t="str">
        <v>"pn":"C3225C0G3A123JT000N",</v>
      </c>
      <c r="Q1565" t="str">
        <v>"qty":1000</v>
      </c>
      <c r="S1565" t="s">
        <v>2498</v>
      </c>
      <c r="T1565" t="str">
        <f t="shared" si="174"/>
        <v>"id":"s1547","cate":"Capacitor","des":"Capacitor 12NF/1KV5%1210","mfg":"TDK","pn":"C3225C0G3A123JT000N","qty":1000</v>
      </c>
      <c r="U1565" t="s">
        <v>2503</v>
      </c>
    </row>
    <row r="1566" spans="5:21" x14ac:dyDescent="0.25">
      <c r="K1566" t="s">
        <v>4051</v>
      </c>
      <c r="L1566" t="str">
        <f t="shared" si="173"/>
        <v>"id":"s1548",</v>
      </c>
      <c r="M1566" t="str">
        <v>"cate":"Capacitor",</v>
      </c>
      <c r="N1566" t="str">
        <v>"des":"Capacitor 12NF/1KV5%1210",</v>
      </c>
      <c r="O1566" t="str">
        <v>"mfg":"TDK",</v>
      </c>
      <c r="P1566" t="str">
        <v>"pn":"C3225C0G3A123J250AC",</v>
      </c>
      <c r="Q1566" t="str">
        <v>"qty":1000</v>
      </c>
      <c r="S1566" t="s">
        <v>2498</v>
      </c>
      <c r="T1566" t="str">
        <f t="shared" si="174"/>
        <v>"id":"s1548","cate":"Capacitor","des":"Capacitor 12NF/1KV5%1210","mfg":"TDK","pn":"C3225C0G3A123J250AC","qty":1000</v>
      </c>
      <c r="U1566" t="s">
        <v>2503</v>
      </c>
    </row>
    <row r="1567" spans="5:21" x14ac:dyDescent="0.25">
      <c r="K1567" t="s">
        <v>4052</v>
      </c>
      <c r="L1567" t="str">
        <f t="shared" si="173"/>
        <v>"id":"s1549",</v>
      </c>
      <c r="M1567" t="str">
        <v>"cate":"LED ",</v>
      </c>
      <c r="N1567" t="str">
        <v>"des":"LED DIA 5 MM CL-GRN",</v>
      </c>
      <c r="O1567" t="str">
        <v>"mfg":"NICHIA CORPORATION",</v>
      </c>
      <c r="P1567" t="str">
        <v>"pn":"NSPG510BS",</v>
      </c>
      <c r="Q1567" t="str">
        <v>"qty":1000</v>
      </c>
      <c r="S1567" t="s">
        <v>2498</v>
      </c>
      <c r="T1567" t="str">
        <f t="shared" si="174"/>
        <v>"id":"s1549","cate":"LED ","des":"LED DIA 5 MM CL-GRN","mfg":"NICHIA CORPORATION","pn":"NSPG510BS","qty":1000</v>
      </c>
      <c r="U1567" t="s">
        <v>2503</v>
      </c>
    </row>
    <row r="1568" spans="5:21" x14ac:dyDescent="0.25">
      <c r="K1568" t="s">
        <v>4053</v>
      </c>
      <c r="L1568" t="str">
        <f t="shared" si="173"/>
        <v>"id":"s1550",</v>
      </c>
      <c r="M1568" t="str">
        <v>"cate":"LW00",</v>
      </c>
      <c r="N1568" t="str">
        <v>"des":"LW0010X0,070 ETFE",</v>
      </c>
      <c r="O1568" t="str">
        <v>"mfg":"GREAT LEOFLON",</v>
      </c>
      <c r="P1568" t="str">
        <v>"pn":"TRW (F)(L)-007/010 0.07MM",</v>
      </c>
      <c r="Q1568" t="str">
        <v>"qty":1000</v>
      </c>
      <c r="S1568" t="s">
        <v>2498</v>
      </c>
      <c r="T1568" t="str">
        <f t="shared" si="174"/>
        <v>"id":"s1550","cate":"LW00","des":"LW0010X0,070 ETFE","mfg":"GREAT LEOFLON","pn":"TRW (F)(L)-007/010 0.07MM","qty":1000</v>
      </c>
      <c r="U1568" t="s">
        <v>2503</v>
      </c>
    </row>
    <row r="1569" spans="11:21" x14ac:dyDescent="0.25">
      <c r="K1569" t="s">
        <v>4054</v>
      </c>
      <c r="L1569" t="str">
        <f t="shared" si="173"/>
        <v>"id":"s1551",</v>
      </c>
      <c r="M1569" t="str">
        <v>"cate":"Resistor ",</v>
      </c>
      <c r="N1569" t="str">
        <v>"des":"RST 4,7K 1/4W 5%805",</v>
      </c>
      <c r="O1569" t="str">
        <v>"mfg":"KOA",</v>
      </c>
      <c r="P1569" t="str">
        <v>"pn":"RK73B2ATTD472J",</v>
      </c>
      <c r="Q1569" t="str">
        <v>"qty":1000</v>
      </c>
      <c r="S1569" t="s">
        <v>2498</v>
      </c>
      <c r="T1569" t="str">
        <f t="shared" si="174"/>
        <v>"id":"s1551","cate":"Resistor ","des":"RST 4,7K 1/4W 5%805","mfg":"KOA","pn":"RK73B2ATTD472J","qty":1000</v>
      </c>
      <c r="U1569" t="s">
        <v>2497</v>
      </c>
    </row>
  </sheetData>
  <autoFilter ref="E5:I1556" xr:uid="{F9D2617F-86E2-4E25-9E28-8FD61AE5C734}"/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list</vt:lpstr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Nunnapat Torkratoke</dc:creator>
  <cp:lastModifiedBy>Nataphong T</cp:lastModifiedBy>
  <dcterms:created xsi:type="dcterms:W3CDTF">2024-11-20T04:31:44Z</dcterms:created>
  <dcterms:modified xsi:type="dcterms:W3CDTF">2025-06-29T15:55:49Z</dcterms:modified>
</cp:coreProperties>
</file>